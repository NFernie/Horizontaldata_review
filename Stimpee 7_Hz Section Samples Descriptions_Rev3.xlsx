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 (2022)/11. Operations/Wellfiles/Stimpee 7/"/>
    </mc:Choice>
  </mc:AlternateContent>
  <xr:revisionPtr revIDLastSave="1472" documentId="8_{FAC3A219-5ED2-47BB-B3DB-DE474F4E77FF}" xr6:coauthVersionLast="47" xr6:coauthVersionMax="47" xr10:uidLastSave="{19327919-DF8B-413B-9434-B41BDFDBF234}"/>
  <bookViews>
    <workbookView minimized="1" xWindow="3480" yWindow="4140" windowWidth="20025" windowHeight="11355" firstSheet="3" activeTab="3" xr2:uid="{E2BF6B37-D27E-43C7-ACEF-0EDF7AA232FB}"/>
  </bookViews>
  <sheets>
    <sheet name="Example Sheet" sheetId="16" r:id="rId1"/>
    <sheet name="Input Sheet" sheetId="14" r:id="rId2"/>
    <sheet name="Long Sample Name" sheetId="15" state="hidden" r:id="rId3"/>
    <sheet name="Calculations Sheet" sheetId="4" r:id="rId4"/>
    <sheet name="Lists" sheetId="3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1" i="14" l="1"/>
  <c r="H150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P93" i="4"/>
  <c r="Q93" i="4"/>
  <c r="R93" i="4"/>
  <c r="S93" i="4"/>
  <c r="T93" i="4"/>
  <c r="P94" i="4"/>
  <c r="Q94" i="4"/>
  <c r="R94" i="4"/>
  <c r="S94" i="4"/>
  <c r="T94" i="4"/>
  <c r="P95" i="4"/>
  <c r="Q95" i="4"/>
  <c r="R95" i="4"/>
  <c r="S95" i="4"/>
  <c r="T95" i="4"/>
  <c r="P96" i="4"/>
  <c r="Q96" i="4"/>
  <c r="R96" i="4"/>
  <c r="S96" i="4"/>
  <c r="T96" i="4"/>
  <c r="P97" i="4"/>
  <c r="Q97" i="4"/>
  <c r="R97" i="4"/>
  <c r="S97" i="4"/>
  <c r="T97" i="4"/>
  <c r="P98" i="4"/>
  <c r="Q98" i="4"/>
  <c r="R98" i="4"/>
  <c r="S98" i="4"/>
  <c r="T98" i="4"/>
  <c r="P99" i="4"/>
  <c r="Q99" i="4"/>
  <c r="R99" i="4"/>
  <c r="S99" i="4"/>
  <c r="T99" i="4"/>
  <c r="P100" i="4"/>
  <c r="Q100" i="4"/>
  <c r="R100" i="4"/>
  <c r="S100" i="4"/>
  <c r="T100" i="4"/>
  <c r="P101" i="4"/>
  <c r="Q101" i="4"/>
  <c r="R101" i="4"/>
  <c r="S101" i="4"/>
  <c r="T101" i="4"/>
  <c r="P102" i="4"/>
  <c r="Q102" i="4"/>
  <c r="R102" i="4"/>
  <c r="S102" i="4"/>
  <c r="T102" i="4"/>
  <c r="P103" i="4"/>
  <c r="Q103" i="4"/>
  <c r="R103" i="4"/>
  <c r="S103" i="4"/>
  <c r="T103" i="4"/>
  <c r="P104" i="4"/>
  <c r="Q104" i="4"/>
  <c r="R104" i="4"/>
  <c r="S104" i="4"/>
  <c r="T104" i="4"/>
  <c r="P105" i="4"/>
  <c r="Q105" i="4"/>
  <c r="R105" i="4"/>
  <c r="S105" i="4"/>
  <c r="T105" i="4"/>
  <c r="P106" i="4"/>
  <c r="Q106" i="4"/>
  <c r="R106" i="4"/>
  <c r="S106" i="4"/>
  <c r="T106" i="4"/>
  <c r="P107" i="4"/>
  <c r="Q107" i="4"/>
  <c r="R107" i="4"/>
  <c r="S107" i="4"/>
  <c r="T107" i="4"/>
  <c r="P108" i="4"/>
  <c r="Q108" i="4"/>
  <c r="R108" i="4"/>
  <c r="S108" i="4"/>
  <c r="T108" i="4"/>
  <c r="P109" i="4"/>
  <c r="Q109" i="4"/>
  <c r="R109" i="4"/>
  <c r="S109" i="4"/>
  <c r="T109" i="4"/>
  <c r="P110" i="4"/>
  <c r="Q110" i="4"/>
  <c r="R110" i="4"/>
  <c r="S110" i="4"/>
  <c r="T110" i="4"/>
  <c r="P111" i="4"/>
  <c r="Q111" i="4"/>
  <c r="R111" i="4"/>
  <c r="S111" i="4"/>
  <c r="T111" i="4"/>
  <c r="P112" i="4"/>
  <c r="Q112" i="4"/>
  <c r="R112" i="4"/>
  <c r="S112" i="4"/>
  <c r="T112" i="4"/>
  <c r="P113" i="4"/>
  <c r="Q113" i="4"/>
  <c r="R113" i="4"/>
  <c r="S113" i="4"/>
  <c r="T113" i="4"/>
  <c r="P114" i="4"/>
  <c r="Q114" i="4"/>
  <c r="R114" i="4"/>
  <c r="S114" i="4"/>
  <c r="T114" i="4"/>
  <c r="P115" i="4"/>
  <c r="Q115" i="4"/>
  <c r="R115" i="4"/>
  <c r="S115" i="4"/>
  <c r="T115" i="4"/>
  <c r="P116" i="4"/>
  <c r="Q116" i="4"/>
  <c r="R116" i="4"/>
  <c r="S116" i="4"/>
  <c r="T116" i="4"/>
  <c r="P117" i="4"/>
  <c r="Q117" i="4"/>
  <c r="R117" i="4"/>
  <c r="S117" i="4"/>
  <c r="T117" i="4"/>
  <c r="P118" i="4"/>
  <c r="Q118" i="4"/>
  <c r="R118" i="4"/>
  <c r="S118" i="4"/>
  <c r="T118" i="4"/>
  <c r="G98" i="4"/>
  <c r="G99" i="4"/>
  <c r="G100" i="4"/>
  <c r="D148" i="4"/>
  <c r="E148" i="4"/>
  <c r="F148" i="4"/>
  <c r="G148" i="4"/>
  <c r="K148" i="4"/>
  <c r="L148" i="4"/>
  <c r="M148" i="4"/>
  <c r="N148" i="4"/>
  <c r="D149" i="4"/>
  <c r="E149" i="4"/>
  <c r="F149" i="4"/>
  <c r="G149" i="4"/>
  <c r="H149" i="4"/>
  <c r="I149" i="4"/>
  <c r="J149" i="4"/>
  <c r="K149" i="4"/>
  <c r="L149" i="4"/>
  <c r="M149" i="4"/>
  <c r="N149" i="4"/>
  <c r="D150" i="4"/>
  <c r="E150" i="4"/>
  <c r="F150" i="4"/>
  <c r="G150" i="4"/>
  <c r="H150" i="4"/>
  <c r="I150" i="4"/>
  <c r="J150" i="4"/>
  <c r="K150" i="4"/>
  <c r="L150" i="4"/>
  <c r="M150" i="4"/>
  <c r="N150" i="4"/>
  <c r="D151" i="4"/>
  <c r="E151" i="4"/>
  <c r="F151" i="4"/>
  <c r="G151" i="4"/>
  <c r="H151" i="4"/>
  <c r="I151" i="4"/>
  <c r="J151" i="4"/>
  <c r="K151" i="4"/>
  <c r="L151" i="4"/>
  <c r="M151" i="4"/>
  <c r="N151" i="4"/>
  <c r="D152" i="4"/>
  <c r="E152" i="4"/>
  <c r="F152" i="4"/>
  <c r="G152" i="4"/>
  <c r="H152" i="4"/>
  <c r="I152" i="4"/>
  <c r="J152" i="4"/>
  <c r="K152" i="4"/>
  <c r="L152" i="4"/>
  <c r="M152" i="4"/>
  <c r="N152" i="4"/>
  <c r="D153" i="4"/>
  <c r="E153" i="4"/>
  <c r="F153" i="4"/>
  <c r="G153" i="4"/>
  <c r="H153" i="4"/>
  <c r="I153" i="4"/>
  <c r="J153" i="4"/>
  <c r="K153" i="4"/>
  <c r="L153" i="4"/>
  <c r="M153" i="4"/>
  <c r="N153" i="4"/>
  <c r="D154" i="4"/>
  <c r="E154" i="4"/>
  <c r="F154" i="4"/>
  <c r="G154" i="4"/>
  <c r="H154" i="4"/>
  <c r="I154" i="4"/>
  <c r="J154" i="4"/>
  <c r="K154" i="4"/>
  <c r="L154" i="4"/>
  <c r="M154" i="4"/>
  <c r="N154" i="4"/>
  <c r="D155" i="4"/>
  <c r="E155" i="4"/>
  <c r="F155" i="4"/>
  <c r="G155" i="4"/>
  <c r="H155" i="4"/>
  <c r="I155" i="4"/>
  <c r="J155" i="4"/>
  <c r="K155" i="4"/>
  <c r="L155" i="4"/>
  <c r="M155" i="4"/>
  <c r="N155" i="4"/>
  <c r="D156" i="4"/>
  <c r="E156" i="4"/>
  <c r="F156" i="4"/>
  <c r="G156" i="4"/>
  <c r="H156" i="4"/>
  <c r="I156" i="4"/>
  <c r="J156" i="4"/>
  <c r="K156" i="4"/>
  <c r="L156" i="4"/>
  <c r="M156" i="4"/>
  <c r="N156" i="4"/>
  <c r="D157" i="4"/>
  <c r="E157" i="4"/>
  <c r="F157" i="4"/>
  <c r="G157" i="4"/>
  <c r="H157" i="4"/>
  <c r="I157" i="4"/>
  <c r="J157" i="4"/>
  <c r="K157" i="4"/>
  <c r="L157" i="4"/>
  <c r="M157" i="4"/>
  <c r="N157" i="4"/>
  <c r="A158" i="4"/>
  <c r="D158" i="4"/>
  <c r="E158" i="4"/>
  <c r="F158" i="4"/>
  <c r="G158" i="4"/>
  <c r="H158" i="4"/>
  <c r="I158" i="4"/>
  <c r="J158" i="4"/>
  <c r="K158" i="4"/>
  <c r="L158" i="4"/>
  <c r="M158" i="4"/>
  <c r="N158" i="4"/>
  <c r="A159" i="4"/>
  <c r="D159" i="4"/>
  <c r="E159" i="4"/>
  <c r="F159" i="4"/>
  <c r="G159" i="4"/>
  <c r="H159" i="4"/>
  <c r="I159" i="4"/>
  <c r="J159" i="4"/>
  <c r="K159" i="4"/>
  <c r="L159" i="4"/>
  <c r="M159" i="4"/>
  <c r="N159" i="4"/>
  <c r="A160" i="4"/>
  <c r="D160" i="4"/>
  <c r="E160" i="4"/>
  <c r="F160" i="4"/>
  <c r="G160" i="4"/>
  <c r="H160" i="4"/>
  <c r="I160" i="4"/>
  <c r="J160" i="4"/>
  <c r="K160" i="4"/>
  <c r="L160" i="4"/>
  <c r="M160" i="4"/>
  <c r="N160" i="4"/>
  <c r="A161" i="4"/>
  <c r="D161" i="4"/>
  <c r="E161" i="4"/>
  <c r="F161" i="4"/>
  <c r="G161" i="4"/>
  <c r="H161" i="4"/>
  <c r="I161" i="4"/>
  <c r="J161" i="4"/>
  <c r="K161" i="4"/>
  <c r="L161" i="4"/>
  <c r="M161" i="4"/>
  <c r="N161" i="4"/>
  <c r="A162" i="4"/>
  <c r="D162" i="4"/>
  <c r="E162" i="4"/>
  <c r="F162" i="4"/>
  <c r="G162" i="4"/>
  <c r="H162" i="4"/>
  <c r="I162" i="4"/>
  <c r="J162" i="4"/>
  <c r="K162" i="4"/>
  <c r="L162" i="4"/>
  <c r="M162" i="4"/>
  <c r="N162" i="4"/>
  <c r="A163" i="4"/>
  <c r="D163" i="4"/>
  <c r="E163" i="4"/>
  <c r="F163" i="4"/>
  <c r="G163" i="4"/>
  <c r="H163" i="4"/>
  <c r="I163" i="4"/>
  <c r="J163" i="4"/>
  <c r="K163" i="4"/>
  <c r="L163" i="4"/>
  <c r="M163" i="4"/>
  <c r="N163" i="4"/>
  <c r="A164" i="4"/>
  <c r="D164" i="4"/>
  <c r="E164" i="4"/>
  <c r="F164" i="4"/>
  <c r="G164" i="4"/>
  <c r="H164" i="4"/>
  <c r="I164" i="4"/>
  <c r="J164" i="4"/>
  <c r="K164" i="4"/>
  <c r="L164" i="4"/>
  <c r="M164" i="4"/>
  <c r="N164" i="4"/>
  <c r="A165" i="4"/>
  <c r="D165" i="4"/>
  <c r="E165" i="4"/>
  <c r="F165" i="4"/>
  <c r="G165" i="4"/>
  <c r="H165" i="4"/>
  <c r="I165" i="4"/>
  <c r="J165" i="4"/>
  <c r="K165" i="4"/>
  <c r="L165" i="4"/>
  <c r="M165" i="4"/>
  <c r="N165" i="4"/>
  <c r="A166" i="4"/>
  <c r="D166" i="4"/>
  <c r="E166" i="4"/>
  <c r="F166" i="4"/>
  <c r="G166" i="4"/>
  <c r="H166" i="4"/>
  <c r="I166" i="4"/>
  <c r="J166" i="4"/>
  <c r="K166" i="4"/>
  <c r="L166" i="4"/>
  <c r="M166" i="4"/>
  <c r="N166" i="4"/>
  <c r="A167" i="4"/>
  <c r="D167" i="4"/>
  <c r="E167" i="4"/>
  <c r="F167" i="4"/>
  <c r="G167" i="4"/>
  <c r="H167" i="4"/>
  <c r="I167" i="4"/>
  <c r="J167" i="4"/>
  <c r="K167" i="4"/>
  <c r="L167" i="4"/>
  <c r="M167" i="4"/>
  <c r="N167" i="4"/>
  <c r="A168" i="4"/>
  <c r="D168" i="4"/>
  <c r="E168" i="4"/>
  <c r="F168" i="4"/>
  <c r="G168" i="4"/>
  <c r="H168" i="4"/>
  <c r="I168" i="4"/>
  <c r="J168" i="4"/>
  <c r="K168" i="4"/>
  <c r="L168" i="4"/>
  <c r="M168" i="4"/>
  <c r="N168" i="4"/>
  <c r="A169" i="4"/>
  <c r="D169" i="4"/>
  <c r="E169" i="4"/>
  <c r="F169" i="4"/>
  <c r="G169" i="4"/>
  <c r="H169" i="4"/>
  <c r="I169" i="4"/>
  <c r="J169" i="4"/>
  <c r="K169" i="4"/>
  <c r="L169" i="4"/>
  <c r="M169" i="4"/>
  <c r="N169" i="4"/>
  <c r="A170" i="4"/>
  <c r="D170" i="4"/>
  <c r="E170" i="4"/>
  <c r="F170" i="4"/>
  <c r="G170" i="4"/>
  <c r="H170" i="4"/>
  <c r="I170" i="4"/>
  <c r="J170" i="4"/>
  <c r="K170" i="4"/>
  <c r="L170" i="4"/>
  <c r="M170" i="4"/>
  <c r="N170" i="4"/>
  <c r="A171" i="4"/>
  <c r="D171" i="4"/>
  <c r="E171" i="4"/>
  <c r="F171" i="4"/>
  <c r="G171" i="4"/>
  <c r="H171" i="4"/>
  <c r="I171" i="4"/>
  <c r="J171" i="4"/>
  <c r="K171" i="4"/>
  <c r="L171" i="4"/>
  <c r="M171" i="4"/>
  <c r="N171" i="4"/>
  <c r="A172" i="4"/>
  <c r="D172" i="4"/>
  <c r="E172" i="4"/>
  <c r="F172" i="4"/>
  <c r="G172" i="4"/>
  <c r="H172" i="4"/>
  <c r="I172" i="4"/>
  <c r="J172" i="4"/>
  <c r="K172" i="4"/>
  <c r="L172" i="4"/>
  <c r="M172" i="4"/>
  <c r="N172" i="4"/>
  <c r="A173" i="4"/>
  <c r="D173" i="4"/>
  <c r="E173" i="4"/>
  <c r="F173" i="4"/>
  <c r="G173" i="4"/>
  <c r="H173" i="4"/>
  <c r="I173" i="4"/>
  <c r="J173" i="4"/>
  <c r="K173" i="4"/>
  <c r="L173" i="4"/>
  <c r="M173" i="4"/>
  <c r="N173" i="4"/>
  <c r="A174" i="4"/>
  <c r="D174" i="4"/>
  <c r="E174" i="4"/>
  <c r="F174" i="4"/>
  <c r="G174" i="4"/>
  <c r="H174" i="4"/>
  <c r="I174" i="4"/>
  <c r="J174" i="4"/>
  <c r="K174" i="4"/>
  <c r="L174" i="4"/>
  <c r="M174" i="4"/>
  <c r="N174" i="4"/>
  <c r="A175" i="4"/>
  <c r="D175" i="4"/>
  <c r="E175" i="4"/>
  <c r="F175" i="4"/>
  <c r="G175" i="4"/>
  <c r="H175" i="4"/>
  <c r="I175" i="4"/>
  <c r="J175" i="4"/>
  <c r="K175" i="4"/>
  <c r="L175" i="4"/>
  <c r="M175" i="4"/>
  <c r="N175" i="4"/>
  <c r="A176" i="4"/>
  <c r="D176" i="4"/>
  <c r="E176" i="4"/>
  <c r="F176" i="4"/>
  <c r="G176" i="4"/>
  <c r="H176" i="4"/>
  <c r="I176" i="4"/>
  <c r="J176" i="4"/>
  <c r="K176" i="4"/>
  <c r="L176" i="4"/>
  <c r="M176" i="4"/>
  <c r="N176" i="4"/>
  <c r="A177" i="4"/>
  <c r="D177" i="4"/>
  <c r="E177" i="4"/>
  <c r="F177" i="4"/>
  <c r="G177" i="4"/>
  <c r="H177" i="4"/>
  <c r="I177" i="4"/>
  <c r="J177" i="4"/>
  <c r="K177" i="4"/>
  <c r="L177" i="4"/>
  <c r="M177" i="4"/>
  <c r="N177" i="4"/>
  <c r="A178" i="4"/>
  <c r="D178" i="4"/>
  <c r="E178" i="4"/>
  <c r="F178" i="4"/>
  <c r="G178" i="4"/>
  <c r="H178" i="4"/>
  <c r="I178" i="4"/>
  <c r="J178" i="4"/>
  <c r="K178" i="4"/>
  <c r="L178" i="4"/>
  <c r="M178" i="4"/>
  <c r="N178" i="4"/>
  <c r="A179" i="4"/>
  <c r="D179" i="4"/>
  <c r="E179" i="4"/>
  <c r="F179" i="4"/>
  <c r="G179" i="4"/>
  <c r="H179" i="4"/>
  <c r="I179" i="4"/>
  <c r="J179" i="4"/>
  <c r="K179" i="4"/>
  <c r="L179" i="4"/>
  <c r="M179" i="4"/>
  <c r="N179" i="4"/>
  <c r="A180" i="4"/>
  <c r="D180" i="4"/>
  <c r="E180" i="4"/>
  <c r="F180" i="4"/>
  <c r="G180" i="4"/>
  <c r="H180" i="4"/>
  <c r="I180" i="4"/>
  <c r="J180" i="4"/>
  <c r="K180" i="4"/>
  <c r="L180" i="4"/>
  <c r="M180" i="4"/>
  <c r="N180" i="4"/>
  <c r="A181" i="4"/>
  <c r="D181" i="4"/>
  <c r="E181" i="4"/>
  <c r="F181" i="4"/>
  <c r="G181" i="4"/>
  <c r="H181" i="4"/>
  <c r="I181" i="4"/>
  <c r="J181" i="4"/>
  <c r="K181" i="4"/>
  <c r="L181" i="4"/>
  <c r="M181" i="4"/>
  <c r="N181" i="4"/>
  <c r="A182" i="4"/>
  <c r="D182" i="4"/>
  <c r="E182" i="4"/>
  <c r="F182" i="4"/>
  <c r="G182" i="4"/>
  <c r="H182" i="4"/>
  <c r="I182" i="4"/>
  <c r="J182" i="4"/>
  <c r="K182" i="4"/>
  <c r="L182" i="4"/>
  <c r="M182" i="4"/>
  <c r="N182" i="4"/>
  <c r="A183" i="4"/>
  <c r="D183" i="4"/>
  <c r="E183" i="4"/>
  <c r="F183" i="4"/>
  <c r="G183" i="4"/>
  <c r="H183" i="4"/>
  <c r="I183" i="4"/>
  <c r="J183" i="4"/>
  <c r="K183" i="4"/>
  <c r="L183" i="4"/>
  <c r="M183" i="4"/>
  <c r="N183" i="4"/>
  <c r="A184" i="4"/>
  <c r="D184" i="4"/>
  <c r="E184" i="4"/>
  <c r="F184" i="4"/>
  <c r="G184" i="4"/>
  <c r="H184" i="4"/>
  <c r="I184" i="4"/>
  <c r="J184" i="4"/>
  <c r="K184" i="4"/>
  <c r="L184" i="4"/>
  <c r="M184" i="4"/>
  <c r="N184" i="4"/>
  <c r="A185" i="4"/>
  <c r="D185" i="4"/>
  <c r="E185" i="4"/>
  <c r="F185" i="4"/>
  <c r="G185" i="4"/>
  <c r="H185" i="4"/>
  <c r="I185" i="4"/>
  <c r="J185" i="4"/>
  <c r="K185" i="4"/>
  <c r="L185" i="4"/>
  <c r="M185" i="4"/>
  <c r="N185" i="4"/>
  <c r="A186" i="4"/>
  <c r="D186" i="4"/>
  <c r="E186" i="4"/>
  <c r="F186" i="4"/>
  <c r="G186" i="4"/>
  <c r="H186" i="4"/>
  <c r="I186" i="4"/>
  <c r="J186" i="4"/>
  <c r="K186" i="4"/>
  <c r="L186" i="4"/>
  <c r="M186" i="4"/>
  <c r="N186" i="4"/>
  <c r="A187" i="4"/>
  <c r="D187" i="4"/>
  <c r="E187" i="4"/>
  <c r="F187" i="4"/>
  <c r="G187" i="4"/>
  <c r="H187" i="4"/>
  <c r="I187" i="4"/>
  <c r="J187" i="4"/>
  <c r="K187" i="4"/>
  <c r="L187" i="4"/>
  <c r="M187" i="4"/>
  <c r="N187" i="4"/>
  <c r="A188" i="4"/>
  <c r="D188" i="4"/>
  <c r="E188" i="4"/>
  <c r="F188" i="4"/>
  <c r="G188" i="4"/>
  <c r="H188" i="4"/>
  <c r="I188" i="4"/>
  <c r="J188" i="4"/>
  <c r="K188" i="4"/>
  <c r="L188" i="4"/>
  <c r="M188" i="4"/>
  <c r="N188" i="4"/>
  <c r="A189" i="4"/>
  <c r="D189" i="4"/>
  <c r="E189" i="4"/>
  <c r="F189" i="4"/>
  <c r="G189" i="4"/>
  <c r="H189" i="4"/>
  <c r="I189" i="4"/>
  <c r="J189" i="4"/>
  <c r="K189" i="4"/>
  <c r="L189" i="4"/>
  <c r="M189" i="4"/>
  <c r="N189" i="4"/>
  <c r="A190" i="4"/>
  <c r="D190" i="4"/>
  <c r="E190" i="4"/>
  <c r="F190" i="4"/>
  <c r="G190" i="4"/>
  <c r="H190" i="4"/>
  <c r="I190" i="4"/>
  <c r="J190" i="4"/>
  <c r="K190" i="4"/>
  <c r="L190" i="4"/>
  <c r="M190" i="4"/>
  <c r="N190" i="4"/>
  <c r="A191" i="4"/>
  <c r="D191" i="4"/>
  <c r="E191" i="4"/>
  <c r="F191" i="4"/>
  <c r="G191" i="4"/>
  <c r="H191" i="4"/>
  <c r="I191" i="4"/>
  <c r="J191" i="4"/>
  <c r="K191" i="4"/>
  <c r="L191" i="4"/>
  <c r="M191" i="4"/>
  <c r="N191" i="4"/>
  <c r="A192" i="4"/>
  <c r="D192" i="4"/>
  <c r="E192" i="4"/>
  <c r="F192" i="4"/>
  <c r="G192" i="4"/>
  <c r="H192" i="4"/>
  <c r="I192" i="4"/>
  <c r="J192" i="4"/>
  <c r="K192" i="4"/>
  <c r="L192" i="4"/>
  <c r="M192" i="4"/>
  <c r="N192" i="4"/>
  <c r="A193" i="4"/>
  <c r="D193" i="4"/>
  <c r="E193" i="4"/>
  <c r="F193" i="4"/>
  <c r="G193" i="4"/>
  <c r="H193" i="4"/>
  <c r="I193" i="4"/>
  <c r="J193" i="4"/>
  <c r="K193" i="4"/>
  <c r="L193" i="4"/>
  <c r="M193" i="4"/>
  <c r="N193" i="4"/>
  <c r="A194" i="4"/>
  <c r="D194" i="4"/>
  <c r="E194" i="4"/>
  <c r="F194" i="4"/>
  <c r="G194" i="4"/>
  <c r="H194" i="4"/>
  <c r="I194" i="4"/>
  <c r="J194" i="4"/>
  <c r="K194" i="4"/>
  <c r="L194" i="4"/>
  <c r="M194" i="4"/>
  <c r="N194" i="4"/>
  <c r="A195" i="4"/>
  <c r="D195" i="4"/>
  <c r="E195" i="4"/>
  <c r="F195" i="4"/>
  <c r="G195" i="4"/>
  <c r="H195" i="4"/>
  <c r="I195" i="4"/>
  <c r="J195" i="4"/>
  <c r="K195" i="4"/>
  <c r="L195" i="4"/>
  <c r="M195" i="4"/>
  <c r="N195" i="4"/>
  <c r="A196" i="4"/>
  <c r="D196" i="4"/>
  <c r="E196" i="4"/>
  <c r="F196" i="4"/>
  <c r="G196" i="4"/>
  <c r="H196" i="4"/>
  <c r="I196" i="4"/>
  <c r="J196" i="4"/>
  <c r="K196" i="4"/>
  <c r="L196" i="4"/>
  <c r="M196" i="4"/>
  <c r="N196" i="4"/>
  <c r="A197" i="4"/>
  <c r="D197" i="4"/>
  <c r="E197" i="4"/>
  <c r="F197" i="4"/>
  <c r="G197" i="4"/>
  <c r="H197" i="4"/>
  <c r="I197" i="4"/>
  <c r="J197" i="4"/>
  <c r="K197" i="4"/>
  <c r="L197" i="4"/>
  <c r="M197" i="4"/>
  <c r="N197" i="4"/>
  <c r="A198" i="4"/>
  <c r="D198" i="4"/>
  <c r="E198" i="4"/>
  <c r="F198" i="4"/>
  <c r="G198" i="4"/>
  <c r="H198" i="4"/>
  <c r="I198" i="4"/>
  <c r="J198" i="4"/>
  <c r="K198" i="4"/>
  <c r="L198" i="4"/>
  <c r="M198" i="4"/>
  <c r="N198" i="4"/>
  <c r="A199" i="4"/>
  <c r="D199" i="4"/>
  <c r="E199" i="4"/>
  <c r="F199" i="4"/>
  <c r="G199" i="4"/>
  <c r="H199" i="4"/>
  <c r="I199" i="4"/>
  <c r="J199" i="4"/>
  <c r="K199" i="4"/>
  <c r="L199" i="4"/>
  <c r="M199" i="4"/>
  <c r="N199" i="4"/>
  <c r="A200" i="4"/>
  <c r="D200" i="4"/>
  <c r="E200" i="4"/>
  <c r="F200" i="4"/>
  <c r="G200" i="4"/>
  <c r="H200" i="4"/>
  <c r="I200" i="4"/>
  <c r="J200" i="4"/>
  <c r="K200" i="4"/>
  <c r="L200" i="4"/>
  <c r="M200" i="4"/>
  <c r="N200" i="4"/>
  <c r="A93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A94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A95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A96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A97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A98" i="4"/>
  <c r="B98" i="4"/>
  <c r="C98" i="4"/>
  <c r="D98" i="4"/>
  <c r="E98" i="4"/>
  <c r="F98" i="4"/>
  <c r="H98" i="4"/>
  <c r="I98" i="4"/>
  <c r="J98" i="4"/>
  <c r="K98" i="4"/>
  <c r="L98" i="4"/>
  <c r="M98" i="4"/>
  <c r="N98" i="4"/>
  <c r="B99" i="4"/>
  <c r="C99" i="4"/>
  <c r="D99" i="4"/>
  <c r="E99" i="4"/>
  <c r="F99" i="4"/>
  <c r="H99" i="4"/>
  <c r="I99" i="4"/>
  <c r="J99" i="4"/>
  <c r="K99" i="4"/>
  <c r="L99" i="4"/>
  <c r="M99" i="4"/>
  <c r="N99" i="4"/>
  <c r="B100" i="4"/>
  <c r="C100" i="4"/>
  <c r="D100" i="4"/>
  <c r="E100" i="4"/>
  <c r="F100" i="4"/>
  <c r="H100" i="4"/>
  <c r="I100" i="4"/>
  <c r="J100" i="4"/>
  <c r="K100" i="4"/>
  <c r="L100" i="4"/>
  <c r="M100" i="4"/>
  <c r="N100" i="4"/>
  <c r="A101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A102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A103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A104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A105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A106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A107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A108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A109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A110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A111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A112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A113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A114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A115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A116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A117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A118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D120" i="4"/>
  <c r="E120" i="4"/>
  <c r="F120" i="4"/>
  <c r="G120" i="4"/>
  <c r="H120" i="4"/>
  <c r="I120" i="4"/>
  <c r="J120" i="4"/>
  <c r="K120" i="4"/>
  <c r="L120" i="4"/>
  <c r="M120" i="4"/>
  <c r="N120" i="4"/>
  <c r="D121" i="4"/>
  <c r="E121" i="4"/>
  <c r="F121" i="4"/>
  <c r="G121" i="4"/>
  <c r="H121" i="4"/>
  <c r="I121" i="4"/>
  <c r="J121" i="4"/>
  <c r="K121" i="4"/>
  <c r="L121" i="4"/>
  <c r="M121" i="4"/>
  <c r="N121" i="4"/>
  <c r="D122" i="4"/>
  <c r="E122" i="4"/>
  <c r="F122" i="4"/>
  <c r="G122" i="4"/>
  <c r="H122" i="4"/>
  <c r="I122" i="4"/>
  <c r="J122" i="4"/>
  <c r="K122" i="4"/>
  <c r="L122" i="4"/>
  <c r="M122" i="4"/>
  <c r="N122" i="4"/>
  <c r="D123" i="4"/>
  <c r="E123" i="4"/>
  <c r="F123" i="4"/>
  <c r="G123" i="4"/>
  <c r="H123" i="4"/>
  <c r="I123" i="4"/>
  <c r="J123" i="4"/>
  <c r="K123" i="4"/>
  <c r="L123" i="4"/>
  <c r="M123" i="4"/>
  <c r="N123" i="4"/>
  <c r="D124" i="4"/>
  <c r="E124" i="4"/>
  <c r="F124" i="4"/>
  <c r="G124" i="4"/>
  <c r="H124" i="4"/>
  <c r="I124" i="4"/>
  <c r="J124" i="4"/>
  <c r="K124" i="4"/>
  <c r="L124" i="4"/>
  <c r="M124" i="4"/>
  <c r="N124" i="4"/>
  <c r="D125" i="4"/>
  <c r="E125" i="4"/>
  <c r="F125" i="4"/>
  <c r="G125" i="4"/>
  <c r="H125" i="4"/>
  <c r="I125" i="4"/>
  <c r="J125" i="4"/>
  <c r="K125" i="4"/>
  <c r="L125" i="4"/>
  <c r="M125" i="4"/>
  <c r="N125" i="4"/>
  <c r="D126" i="4"/>
  <c r="E126" i="4"/>
  <c r="F126" i="4"/>
  <c r="G126" i="4"/>
  <c r="H126" i="4"/>
  <c r="I126" i="4"/>
  <c r="J126" i="4"/>
  <c r="K126" i="4"/>
  <c r="L126" i="4"/>
  <c r="M126" i="4"/>
  <c r="N126" i="4"/>
  <c r="D127" i="4"/>
  <c r="E127" i="4"/>
  <c r="F127" i="4"/>
  <c r="G127" i="4"/>
  <c r="H127" i="4"/>
  <c r="I127" i="4"/>
  <c r="J127" i="4"/>
  <c r="K127" i="4"/>
  <c r="L127" i="4"/>
  <c r="M127" i="4"/>
  <c r="N127" i="4"/>
  <c r="D128" i="4"/>
  <c r="E128" i="4"/>
  <c r="F128" i="4"/>
  <c r="G128" i="4"/>
  <c r="H128" i="4"/>
  <c r="I128" i="4"/>
  <c r="J128" i="4"/>
  <c r="K128" i="4"/>
  <c r="L128" i="4"/>
  <c r="M128" i="4"/>
  <c r="N128" i="4"/>
  <c r="D129" i="4"/>
  <c r="E129" i="4"/>
  <c r="F129" i="4"/>
  <c r="G129" i="4"/>
  <c r="H129" i="4"/>
  <c r="I129" i="4"/>
  <c r="J129" i="4"/>
  <c r="K129" i="4"/>
  <c r="L129" i="4"/>
  <c r="M129" i="4"/>
  <c r="N129" i="4"/>
  <c r="D130" i="4"/>
  <c r="E130" i="4"/>
  <c r="F130" i="4"/>
  <c r="G130" i="4"/>
  <c r="H130" i="4"/>
  <c r="I130" i="4"/>
  <c r="J130" i="4"/>
  <c r="K130" i="4"/>
  <c r="L130" i="4"/>
  <c r="M130" i="4"/>
  <c r="N130" i="4"/>
  <c r="D131" i="4"/>
  <c r="E131" i="4"/>
  <c r="F131" i="4"/>
  <c r="G131" i="4"/>
  <c r="H131" i="4"/>
  <c r="I131" i="4"/>
  <c r="J131" i="4"/>
  <c r="K131" i="4"/>
  <c r="L131" i="4"/>
  <c r="M131" i="4"/>
  <c r="N131" i="4"/>
  <c r="D132" i="4"/>
  <c r="E132" i="4"/>
  <c r="F132" i="4"/>
  <c r="G132" i="4"/>
  <c r="H132" i="4"/>
  <c r="I132" i="4"/>
  <c r="J132" i="4"/>
  <c r="K132" i="4"/>
  <c r="L132" i="4"/>
  <c r="M132" i="4"/>
  <c r="N132" i="4"/>
  <c r="D133" i="4"/>
  <c r="E133" i="4"/>
  <c r="F133" i="4"/>
  <c r="G133" i="4"/>
  <c r="H133" i="4"/>
  <c r="I133" i="4"/>
  <c r="J133" i="4"/>
  <c r="K133" i="4"/>
  <c r="L133" i="4"/>
  <c r="M133" i="4"/>
  <c r="N133" i="4"/>
  <c r="D134" i="4"/>
  <c r="E134" i="4"/>
  <c r="F134" i="4"/>
  <c r="G134" i="4"/>
  <c r="H134" i="4"/>
  <c r="I134" i="4"/>
  <c r="J134" i="4"/>
  <c r="K134" i="4"/>
  <c r="L134" i="4"/>
  <c r="M134" i="4"/>
  <c r="N134" i="4"/>
  <c r="D135" i="4"/>
  <c r="E135" i="4"/>
  <c r="F135" i="4"/>
  <c r="G135" i="4"/>
  <c r="H135" i="4"/>
  <c r="I135" i="4"/>
  <c r="J135" i="4"/>
  <c r="K135" i="4"/>
  <c r="L135" i="4"/>
  <c r="M135" i="4"/>
  <c r="N135" i="4"/>
  <c r="D136" i="4"/>
  <c r="E136" i="4"/>
  <c r="F136" i="4"/>
  <c r="G136" i="4"/>
  <c r="H136" i="4"/>
  <c r="I136" i="4"/>
  <c r="J136" i="4"/>
  <c r="K136" i="4"/>
  <c r="L136" i="4"/>
  <c r="M136" i="4"/>
  <c r="N136" i="4"/>
  <c r="D137" i="4"/>
  <c r="E137" i="4"/>
  <c r="F137" i="4"/>
  <c r="G137" i="4"/>
  <c r="H137" i="4"/>
  <c r="I137" i="4"/>
  <c r="J137" i="4"/>
  <c r="K137" i="4"/>
  <c r="L137" i="4"/>
  <c r="M137" i="4"/>
  <c r="N137" i="4"/>
  <c r="D138" i="4"/>
  <c r="E138" i="4"/>
  <c r="F138" i="4"/>
  <c r="G138" i="4"/>
  <c r="H138" i="4"/>
  <c r="I138" i="4"/>
  <c r="J138" i="4"/>
  <c r="K138" i="4"/>
  <c r="L138" i="4"/>
  <c r="M138" i="4"/>
  <c r="N138" i="4"/>
  <c r="D139" i="4"/>
  <c r="E139" i="4"/>
  <c r="F139" i="4"/>
  <c r="G139" i="4"/>
  <c r="H139" i="4"/>
  <c r="I139" i="4"/>
  <c r="J139" i="4"/>
  <c r="K139" i="4"/>
  <c r="L139" i="4"/>
  <c r="M139" i="4"/>
  <c r="N139" i="4"/>
  <c r="D140" i="4"/>
  <c r="E140" i="4"/>
  <c r="F140" i="4"/>
  <c r="G140" i="4"/>
  <c r="H140" i="4"/>
  <c r="I140" i="4"/>
  <c r="J140" i="4"/>
  <c r="K140" i="4"/>
  <c r="L140" i="4"/>
  <c r="M140" i="4"/>
  <c r="N140" i="4"/>
  <c r="D141" i="4"/>
  <c r="E141" i="4"/>
  <c r="F141" i="4"/>
  <c r="G141" i="4"/>
  <c r="H141" i="4"/>
  <c r="I141" i="4"/>
  <c r="J141" i="4"/>
  <c r="K141" i="4"/>
  <c r="L141" i="4"/>
  <c r="M141" i="4"/>
  <c r="N141" i="4"/>
  <c r="D142" i="4"/>
  <c r="E142" i="4"/>
  <c r="F142" i="4"/>
  <c r="G142" i="4"/>
  <c r="H142" i="4"/>
  <c r="I142" i="4"/>
  <c r="J142" i="4"/>
  <c r="K142" i="4"/>
  <c r="L142" i="4"/>
  <c r="M142" i="4"/>
  <c r="N142" i="4"/>
  <c r="D143" i="4"/>
  <c r="E143" i="4"/>
  <c r="F143" i="4"/>
  <c r="G143" i="4"/>
  <c r="H143" i="4"/>
  <c r="I143" i="4"/>
  <c r="J143" i="4"/>
  <c r="K143" i="4"/>
  <c r="L143" i="4"/>
  <c r="M143" i="4"/>
  <c r="N143" i="4"/>
  <c r="D144" i="4"/>
  <c r="E144" i="4"/>
  <c r="F144" i="4"/>
  <c r="G144" i="4"/>
  <c r="H144" i="4"/>
  <c r="I144" i="4"/>
  <c r="J144" i="4"/>
  <c r="K144" i="4"/>
  <c r="L144" i="4"/>
  <c r="M144" i="4"/>
  <c r="N144" i="4"/>
  <c r="D145" i="4"/>
  <c r="E145" i="4"/>
  <c r="F145" i="4"/>
  <c r="G145" i="4"/>
  <c r="H145" i="4"/>
  <c r="I145" i="4"/>
  <c r="J145" i="4"/>
  <c r="K145" i="4"/>
  <c r="L145" i="4"/>
  <c r="M145" i="4"/>
  <c r="N145" i="4"/>
  <c r="D146" i="4"/>
  <c r="E146" i="4"/>
  <c r="F146" i="4"/>
  <c r="G146" i="4"/>
  <c r="H146" i="4"/>
  <c r="I146" i="4"/>
  <c r="J146" i="4"/>
  <c r="K146" i="4"/>
  <c r="L146" i="4"/>
  <c r="M146" i="4"/>
  <c r="N146" i="4"/>
  <c r="D147" i="4"/>
  <c r="H148" i="4" s="1"/>
  <c r="I148" i="4" s="1"/>
  <c r="J148" i="4" s="1"/>
  <c r="E147" i="4"/>
  <c r="F147" i="4"/>
  <c r="G147" i="4"/>
  <c r="H147" i="4"/>
  <c r="I147" i="4"/>
  <c r="J147" i="4"/>
  <c r="K147" i="4"/>
  <c r="L147" i="4"/>
  <c r="M147" i="4"/>
  <c r="N147" i="4"/>
  <c r="H110" i="14"/>
  <c r="H109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90" i="14"/>
  <c r="H91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K92" i="4" s="1"/>
  <c r="L92" i="4" s="1"/>
  <c r="F6" i="4"/>
  <c r="A58" i="4"/>
  <c r="B58" i="4"/>
  <c r="C58" i="4"/>
  <c r="D58" i="4"/>
  <c r="E58" i="4"/>
  <c r="M58" i="4"/>
  <c r="N58" i="4"/>
  <c r="P58" i="4"/>
  <c r="Q58" i="4"/>
  <c r="S58" i="4"/>
  <c r="T58" i="4"/>
  <c r="A59" i="4"/>
  <c r="B59" i="4"/>
  <c r="C59" i="4"/>
  <c r="D59" i="4"/>
  <c r="E59" i="4"/>
  <c r="H59" i="4"/>
  <c r="I59" i="4"/>
  <c r="J59" i="4"/>
  <c r="K59" i="4"/>
  <c r="L59" i="4"/>
  <c r="M59" i="4"/>
  <c r="N59" i="4"/>
  <c r="P59" i="4"/>
  <c r="Q59" i="4"/>
  <c r="R59" i="4"/>
  <c r="S59" i="4"/>
  <c r="T59" i="4"/>
  <c r="A60" i="4"/>
  <c r="B60" i="4"/>
  <c r="C60" i="4"/>
  <c r="D60" i="4"/>
  <c r="E60" i="4"/>
  <c r="H60" i="4"/>
  <c r="I60" i="4"/>
  <c r="J60" i="4"/>
  <c r="K60" i="4"/>
  <c r="L60" i="4"/>
  <c r="M60" i="4"/>
  <c r="N60" i="4"/>
  <c r="P60" i="4"/>
  <c r="Q60" i="4"/>
  <c r="R60" i="4"/>
  <c r="S60" i="4"/>
  <c r="T60" i="4"/>
  <c r="A61" i="4"/>
  <c r="B61" i="4"/>
  <c r="C61" i="4"/>
  <c r="D61" i="4"/>
  <c r="E61" i="4"/>
  <c r="H61" i="4"/>
  <c r="I61" i="4"/>
  <c r="J61" i="4"/>
  <c r="K61" i="4"/>
  <c r="L61" i="4"/>
  <c r="M61" i="4"/>
  <c r="N61" i="4"/>
  <c r="P61" i="4"/>
  <c r="Q61" i="4"/>
  <c r="R61" i="4"/>
  <c r="S61" i="4"/>
  <c r="T61" i="4"/>
  <c r="A62" i="4"/>
  <c r="B62" i="4"/>
  <c r="C62" i="4"/>
  <c r="D62" i="4"/>
  <c r="E62" i="4"/>
  <c r="H62" i="4"/>
  <c r="I62" i="4"/>
  <c r="J62" i="4"/>
  <c r="K62" i="4"/>
  <c r="L62" i="4"/>
  <c r="M62" i="4"/>
  <c r="N62" i="4"/>
  <c r="P62" i="4"/>
  <c r="Q62" i="4"/>
  <c r="R62" i="4"/>
  <c r="S62" i="4"/>
  <c r="T62" i="4"/>
  <c r="A63" i="4"/>
  <c r="B63" i="4"/>
  <c r="C63" i="4"/>
  <c r="D63" i="4"/>
  <c r="E63" i="4"/>
  <c r="H63" i="4"/>
  <c r="I63" i="4"/>
  <c r="J63" i="4"/>
  <c r="K63" i="4"/>
  <c r="L63" i="4"/>
  <c r="M63" i="4"/>
  <c r="N63" i="4"/>
  <c r="P63" i="4"/>
  <c r="Q63" i="4"/>
  <c r="R63" i="4"/>
  <c r="S63" i="4"/>
  <c r="T63" i="4"/>
  <c r="A64" i="4"/>
  <c r="B64" i="4"/>
  <c r="C64" i="4"/>
  <c r="D64" i="4"/>
  <c r="E64" i="4"/>
  <c r="H64" i="4"/>
  <c r="I64" i="4"/>
  <c r="J64" i="4"/>
  <c r="K64" i="4"/>
  <c r="L64" i="4"/>
  <c r="M64" i="4"/>
  <c r="N64" i="4"/>
  <c r="P64" i="4"/>
  <c r="Q64" i="4"/>
  <c r="R64" i="4"/>
  <c r="S64" i="4"/>
  <c r="T64" i="4"/>
  <c r="A65" i="4"/>
  <c r="B65" i="4"/>
  <c r="C65" i="4"/>
  <c r="D65" i="4"/>
  <c r="E65" i="4"/>
  <c r="H65" i="4"/>
  <c r="I65" i="4"/>
  <c r="J65" i="4"/>
  <c r="K65" i="4"/>
  <c r="L65" i="4"/>
  <c r="M65" i="4"/>
  <c r="N65" i="4"/>
  <c r="P65" i="4"/>
  <c r="Q65" i="4"/>
  <c r="R65" i="4"/>
  <c r="S65" i="4"/>
  <c r="T65" i="4"/>
  <c r="A66" i="4"/>
  <c r="B66" i="4"/>
  <c r="C66" i="4"/>
  <c r="D66" i="4"/>
  <c r="E66" i="4"/>
  <c r="H66" i="4"/>
  <c r="I66" i="4"/>
  <c r="J66" i="4"/>
  <c r="K66" i="4"/>
  <c r="L66" i="4"/>
  <c r="M66" i="4"/>
  <c r="N66" i="4"/>
  <c r="P66" i="4"/>
  <c r="Q66" i="4"/>
  <c r="R66" i="4"/>
  <c r="S66" i="4"/>
  <c r="T66" i="4"/>
  <c r="A67" i="4"/>
  <c r="B67" i="4"/>
  <c r="C67" i="4"/>
  <c r="D67" i="4"/>
  <c r="E67" i="4"/>
  <c r="H67" i="4"/>
  <c r="I67" i="4"/>
  <c r="J67" i="4"/>
  <c r="K67" i="4"/>
  <c r="L67" i="4"/>
  <c r="M67" i="4"/>
  <c r="N67" i="4"/>
  <c r="P67" i="4"/>
  <c r="Q67" i="4"/>
  <c r="R67" i="4"/>
  <c r="S67" i="4"/>
  <c r="T67" i="4"/>
  <c r="A68" i="4"/>
  <c r="B68" i="4"/>
  <c r="C68" i="4"/>
  <c r="D68" i="4"/>
  <c r="E68" i="4"/>
  <c r="H68" i="4"/>
  <c r="I68" i="4"/>
  <c r="J68" i="4"/>
  <c r="K68" i="4"/>
  <c r="L68" i="4"/>
  <c r="M68" i="4"/>
  <c r="N68" i="4"/>
  <c r="P68" i="4"/>
  <c r="Q68" i="4"/>
  <c r="R68" i="4"/>
  <c r="S68" i="4"/>
  <c r="T68" i="4"/>
  <c r="A69" i="4"/>
  <c r="B69" i="4"/>
  <c r="C69" i="4"/>
  <c r="D69" i="4"/>
  <c r="E69" i="4"/>
  <c r="H69" i="4"/>
  <c r="I69" i="4"/>
  <c r="J69" i="4"/>
  <c r="K69" i="4"/>
  <c r="L69" i="4"/>
  <c r="M69" i="4"/>
  <c r="N69" i="4"/>
  <c r="P69" i="4"/>
  <c r="Q69" i="4"/>
  <c r="R69" i="4"/>
  <c r="S69" i="4"/>
  <c r="T69" i="4"/>
  <c r="A70" i="4"/>
  <c r="B70" i="4"/>
  <c r="C70" i="4"/>
  <c r="D70" i="4"/>
  <c r="E70" i="4"/>
  <c r="H70" i="4"/>
  <c r="I70" i="4"/>
  <c r="J70" i="4"/>
  <c r="K70" i="4"/>
  <c r="L70" i="4"/>
  <c r="M70" i="4"/>
  <c r="N70" i="4"/>
  <c r="P70" i="4"/>
  <c r="Q70" i="4"/>
  <c r="R70" i="4"/>
  <c r="S70" i="4"/>
  <c r="T70" i="4"/>
  <c r="A71" i="4"/>
  <c r="B71" i="4"/>
  <c r="C71" i="4"/>
  <c r="D71" i="4"/>
  <c r="E71" i="4"/>
  <c r="H71" i="4"/>
  <c r="I71" i="4"/>
  <c r="J71" i="4"/>
  <c r="K71" i="4"/>
  <c r="L71" i="4"/>
  <c r="M71" i="4"/>
  <c r="N71" i="4"/>
  <c r="P71" i="4"/>
  <c r="Q71" i="4"/>
  <c r="R71" i="4"/>
  <c r="S71" i="4"/>
  <c r="T71" i="4"/>
  <c r="A72" i="4"/>
  <c r="B72" i="4"/>
  <c r="C72" i="4"/>
  <c r="D72" i="4"/>
  <c r="E72" i="4"/>
  <c r="H72" i="4"/>
  <c r="I72" i="4"/>
  <c r="J72" i="4"/>
  <c r="K72" i="4"/>
  <c r="L72" i="4"/>
  <c r="M72" i="4"/>
  <c r="N72" i="4"/>
  <c r="P72" i="4"/>
  <c r="Q72" i="4"/>
  <c r="R72" i="4"/>
  <c r="S72" i="4"/>
  <c r="T72" i="4"/>
  <c r="A73" i="4"/>
  <c r="B73" i="4"/>
  <c r="C73" i="4"/>
  <c r="D73" i="4"/>
  <c r="E73" i="4"/>
  <c r="H73" i="4"/>
  <c r="I73" i="4"/>
  <c r="J73" i="4"/>
  <c r="K73" i="4"/>
  <c r="L73" i="4"/>
  <c r="M73" i="4"/>
  <c r="N73" i="4"/>
  <c r="P73" i="4"/>
  <c r="Q73" i="4"/>
  <c r="R73" i="4"/>
  <c r="S73" i="4"/>
  <c r="T73" i="4"/>
  <c r="A74" i="4"/>
  <c r="B74" i="4"/>
  <c r="C74" i="4"/>
  <c r="D74" i="4"/>
  <c r="E74" i="4"/>
  <c r="H74" i="4"/>
  <c r="I74" i="4"/>
  <c r="J74" i="4"/>
  <c r="K74" i="4"/>
  <c r="L74" i="4"/>
  <c r="M74" i="4"/>
  <c r="N74" i="4"/>
  <c r="P74" i="4"/>
  <c r="Q74" i="4"/>
  <c r="R74" i="4"/>
  <c r="S74" i="4"/>
  <c r="T74" i="4"/>
  <c r="A75" i="4"/>
  <c r="B75" i="4"/>
  <c r="C75" i="4"/>
  <c r="D75" i="4"/>
  <c r="E75" i="4"/>
  <c r="H75" i="4"/>
  <c r="I75" i="4"/>
  <c r="J75" i="4"/>
  <c r="K75" i="4"/>
  <c r="L75" i="4"/>
  <c r="M75" i="4"/>
  <c r="N75" i="4"/>
  <c r="P75" i="4"/>
  <c r="Q75" i="4"/>
  <c r="R75" i="4"/>
  <c r="S75" i="4"/>
  <c r="T75" i="4"/>
  <c r="A76" i="4"/>
  <c r="B76" i="4"/>
  <c r="C76" i="4"/>
  <c r="D76" i="4"/>
  <c r="E76" i="4"/>
  <c r="H76" i="4"/>
  <c r="I76" i="4"/>
  <c r="J76" i="4"/>
  <c r="K76" i="4"/>
  <c r="L76" i="4"/>
  <c r="M76" i="4"/>
  <c r="N76" i="4"/>
  <c r="P76" i="4"/>
  <c r="Q76" i="4"/>
  <c r="R76" i="4"/>
  <c r="S76" i="4"/>
  <c r="T76" i="4"/>
  <c r="A77" i="4"/>
  <c r="B77" i="4"/>
  <c r="C77" i="4"/>
  <c r="D77" i="4"/>
  <c r="E77" i="4"/>
  <c r="H77" i="4"/>
  <c r="I77" i="4"/>
  <c r="J77" i="4"/>
  <c r="K77" i="4"/>
  <c r="L77" i="4"/>
  <c r="M77" i="4"/>
  <c r="N77" i="4"/>
  <c r="P77" i="4"/>
  <c r="Q77" i="4"/>
  <c r="R77" i="4"/>
  <c r="S77" i="4"/>
  <c r="T77" i="4"/>
  <c r="A78" i="4"/>
  <c r="B78" i="4"/>
  <c r="C78" i="4"/>
  <c r="D78" i="4"/>
  <c r="E78" i="4"/>
  <c r="H78" i="4"/>
  <c r="I78" i="4"/>
  <c r="J78" i="4"/>
  <c r="K78" i="4"/>
  <c r="L78" i="4"/>
  <c r="M78" i="4"/>
  <c r="N78" i="4"/>
  <c r="P78" i="4"/>
  <c r="Q78" i="4"/>
  <c r="R78" i="4"/>
  <c r="S78" i="4"/>
  <c r="T78" i="4"/>
  <c r="B79" i="4"/>
  <c r="D79" i="4"/>
  <c r="E79" i="4"/>
  <c r="H79" i="4"/>
  <c r="I79" i="4"/>
  <c r="J79" i="4"/>
  <c r="K79" i="4"/>
  <c r="L79" i="4"/>
  <c r="M79" i="4"/>
  <c r="N79" i="4"/>
  <c r="P79" i="4"/>
  <c r="Q79" i="4"/>
  <c r="R79" i="4"/>
  <c r="S79" i="4"/>
  <c r="T79" i="4"/>
  <c r="B80" i="4"/>
  <c r="D80" i="4"/>
  <c r="E80" i="4"/>
  <c r="H80" i="4"/>
  <c r="I80" i="4"/>
  <c r="J80" i="4"/>
  <c r="K80" i="4"/>
  <c r="L80" i="4"/>
  <c r="M80" i="4"/>
  <c r="N80" i="4"/>
  <c r="P80" i="4"/>
  <c r="Q80" i="4"/>
  <c r="R80" i="4"/>
  <c r="S80" i="4"/>
  <c r="T80" i="4"/>
  <c r="B81" i="4"/>
  <c r="D81" i="4"/>
  <c r="E81" i="4"/>
  <c r="H81" i="4"/>
  <c r="I81" i="4"/>
  <c r="J81" i="4"/>
  <c r="K81" i="4"/>
  <c r="L81" i="4"/>
  <c r="M81" i="4"/>
  <c r="N81" i="4"/>
  <c r="P81" i="4"/>
  <c r="Q81" i="4"/>
  <c r="R81" i="4"/>
  <c r="S81" i="4"/>
  <c r="T81" i="4"/>
  <c r="B82" i="4"/>
  <c r="D82" i="4"/>
  <c r="E82" i="4"/>
  <c r="H82" i="4"/>
  <c r="I82" i="4"/>
  <c r="J82" i="4"/>
  <c r="K82" i="4"/>
  <c r="L82" i="4"/>
  <c r="M82" i="4"/>
  <c r="N82" i="4"/>
  <c r="P82" i="4"/>
  <c r="Q82" i="4"/>
  <c r="R82" i="4"/>
  <c r="S82" i="4"/>
  <c r="T82" i="4"/>
  <c r="B83" i="4"/>
  <c r="D83" i="4"/>
  <c r="E83" i="4"/>
  <c r="H83" i="4"/>
  <c r="I83" i="4"/>
  <c r="J83" i="4"/>
  <c r="K83" i="4"/>
  <c r="L83" i="4"/>
  <c r="M83" i="4"/>
  <c r="N83" i="4"/>
  <c r="P83" i="4"/>
  <c r="Q83" i="4"/>
  <c r="R83" i="4"/>
  <c r="S83" i="4"/>
  <c r="T83" i="4"/>
  <c r="B84" i="4"/>
  <c r="D84" i="4"/>
  <c r="E84" i="4"/>
  <c r="H84" i="4"/>
  <c r="I84" i="4"/>
  <c r="J84" i="4"/>
  <c r="K84" i="4"/>
  <c r="L84" i="4"/>
  <c r="M84" i="4"/>
  <c r="N84" i="4"/>
  <c r="P84" i="4"/>
  <c r="Q84" i="4"/>
  <c r="R84" i="4"/>
  <c r="S84" i="4"/>
  <c r="T84" i="4"/>
  <c r="B85" i="4"/>
  <c r="D85" i="4"/>
  <c r="E85" i="4"/>
  <c r="H85" i="4"/>
  <c r="I85" i="4"/>
  <c r="J85" i="4"/>
  <c r="K85" i="4"/>
  <c r="L85" i="4"/>
  <c r="M85" i="4"/>
  <c r="N85" i="4"/>
  <c r="P85" i="4"/>
  <c r="Q85" i="4"/>
  <c r="R85" i="4"/>
  <c r="S85" i="4"/>
  <c r="T85" i="4"/>
  <c r="B86" i="4"/>
  <c r="D86" i="4"/>
  <c r="E86" i="4"/>
  <c r="H86" i="4"/>
  <c r="I86" i="4"/>
  <c r="J86" i="4"/>
  <c r="K86" i="4"/>
  <c r="L86" i="4"/>
  <c r="M86" i="4"/>
  <c r="N86" i="4"/>
  <c r="P86" i="4"/>
  <c r="Q86" i="4"/>
  <c r="R86" i="4"/>
  <c r="S86" i="4"/>
  <c r="T86" i="4"/>
  <c r="B87" i="4"/>
  <c r="D87" i="4"/>
  <c r="E87" i="4"/>
  <c r="H87" i="4"/>
  <c r="I87" i="4"/>
  <c r="J87" i="4"/>
  <c r="K87" i="4"/>
  <c r="L87" i="4"/>
  <c r="M87" i="4"/>
  <c r="N87" i="4"/>
  <c r="P87" i="4"/>
  <c r="Q87" i="4"/>
  <c r="R87" i="4"/>
  <c r="S87" i="4"/>
  <c r="T87" i="4"/>
  <c r="B88" i="4"/>
  <c r="D88" i="4"/>
  <c r="E88" i="4"/>
  <c r="H88" i="4"/>
  <c r="I88" i="4"/>
  <c r="J88" i="4"/>
  <c r="K88" i="4"/>
  <c r="L88" i="4"/>
  <c r="M88" i="4"/>
  <c r="N88" i="4"/>
  <c r="P88" i="4"/>
  <c r="Q88" i="4"/>
  <c r="R88" i="4"/>
  <c r="S88" i="4"/>
  <c r="T88" i="4"/>
  <c r="B89" i="4"/>
  <c r="D89" i="4"/>
  <c r="E89" i="4"/>
  <c r="H89" i="4"/>
  <c r="I89" i="4"/>
  <c r="J89" i="4" s="1"/>
  <c r="K89" i="4"/>
  <c r="L89" i="4" s="1"/>
  <c r="M89" i="4"/>
  <c r="N89" i="4" s="1"/>
  <c r="R89" i="4"/>
  <c r="T89" i="4"/>
  <c r="D90" i="4"/>
  <c r="H90" i="4" s="1"/>
  <c r="I90" i="4" s="1"/>
  <c r="J90" i="4" s="1"/>
  <c r="E90" i="4"/>
  <c r="K90" i="4"/>
  <c r="L90" i="4" s="1"/>
  <c r="M90" i="4"/>
  <c r="N90" i="4" s="1"/>
  <c r="D91" i="4"/>
  <c r="H91" i="4" s="1"/>
  <c r="E91" i="4"/>
  <c r="K91" i="4"/>
  <c r="L91" i="4" s="1"/>
  <c r="M91" i="4"/>
  <c r="S91" i="4" s="1"/>
  <c r="P91" i="4"/>
  <c r="R91" i="4"/>
  <c r="T91" i="4"/>
  <c r="D92" i="4"/>
  <c r="H92" i="4" s="1"/>
  <c r="E92" i="4"/>
  <c r="M92" i="4"/>
  <c r="R92" i="4" s="1"/>
  <c r="N92" i="4"/>
  <c r="K16" i="15"/>
  <c r="K17" i="15"/>
  <c r="K18" i="15"/>
  <c r="K19" i="15"/>
  <c r="K20" i="15"/>
  <c r="A16" i="15"/>
  <c r="A17" i="15"/>
  <c r="A18" i="15"/>
  <c r="A19" i="15"/>
  <c r="A20" i="15"/>
  <c r="A21" i="15"/>
  <c r="A22" i="15"/>
  <c r="A23" i="15"/>
  <c r="H33" i="14"/>
  <c r="H32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15" i="14"/>
  <c r="H16" i="14"/>
  <c r="H14" i="14"/>
  <c r="D20" i="4"/>
  <c r="C66" i="15"/>
  <c r="C112" i="15"/>
  <c r="C140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B66" i="15"/>
  <c r="B140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R152" i="14"/>
  <c r="S152" i="14"/>
  <c r="R153" i="14"/>
  <c r="S153" i="14"/>
  <c r="R154" i="14"/>
  <c r="S154" i="14"/>
  <c r="R155" i="14"/>
  <c r="S155" i="14"/>
  <c r="R156" i="14"/>
  <c r="S156" i="14"/>
  <c r="R157" i="14"/>
  <c r="S157" i="14"/>
  <c r="R158" i="14"/>
  <c r="S158" i="14"/>
  <c r="R159" i="14"/>
  <c r="S159" i="14"/>
  <c r="R160" i="14"/>
  <c r="S160" i="14"/>
  <c r="R161" i="14"/>
  <c r="S161" i="14"/>
  <c r="R162" i="14"/>
  <c r="S162" i="14"/>
  <c r="R163" i="14"/>
  <c r="S163" i="14"/>
  <c r="R164" i="14"/>
  <c r="S164" i="14"/>
  <c r="R165" i="14"/>
  <c r="S165" i="14"/>
  <c r="R166" i="14"/>
  <c r="S166" i="14"/>
  <c r="R167" i="14"/>
  <c r="S167" i="14"/>
  <c r="R168" i="14"/>
  <c r="S168" i="14"/>
  <c r="R169" i="14"/>
  <c r="S169" i="14"/>
  <c r="R170" i="14"/>
  <c r="S170" i="14"/>
  <c r="R171" i="14"/>
  <c r="S171" i="14"/>
  <c r="R172" i="14"/>
  <c r="S172" i="14"/>
  <c r="R173" i="14"/>
  <c r="S173" i="14"/>
  <c r="R174" i="14"/>
  <c r="S174" i="14"/>
  <c r="R175" i="14"/>
  <c r="S175" i="14"/>
  <c r="R176" i="14"/>
  <c r="S176" i="14"/>
  <c r="R177" i="14"/>
  <c r="S177" i="14"/>
  <c r="R178" i="14"/>
  <c r="S178" i="14"/>
  <c r="R179" i="14"/>
  <c r="S179" i="14"/>
  <c r="R180" i="14"/>
  <c r="S180" i="14"/>
  <c r="R181" i="14"/>
  <c r="S181" i="14"/>
  <c r="R182" i="14"/>
  <c r="S182" i="14"/>
  <c r="R183" i="14"/>
  <c r="S183" i="14"/>
  <c r="R184" i="14"/>
  <c r="S184" i="14"/>
  <c r="R185" i="14"/>
  <c r="S185" i="14"/>
  <c r="R186" i="14"/>
  <c r="S186" i="14"/>
  <c r="R187" i="14"/>
  <c r="S187" i="14"/>
  <c r="R188" i="14"/>
  <c r="S188" i="14"/>
  <c r="R189" i="14"/>
  <c r="S189" i="14"/>
  <c r="R190" i="14"/>
  <c r="S190" i="14"/>
  <c r="R191" i="14"/>
  <c r="S191" i="14"/>
  <c r="R192" i="14"/>
  <c r="S192" i="14"/>
  <c r="R193" i="14"/>
  <c r="S193" i="14"/>
  <c r="R194" i="14"/>
  <c r="S194" i="14"/>
  <c r="R195" i="14"/>
  <c r="S195" i="14"/>
  <c r="R196" i="14"/>
  <c r="S196" i="14"/>
  <c r="R197" i="14"/>
  <c r="S197" i="14"/>
  <c r="R198" i="14"/>
  <c r="S198" i="14"/>
  <c r="R199" i="14"/>
  <c r="S199" i="14"/>
  <c r="R200" i="14"/>
  <c r="S200" i="14"/>
  <c r="R201" i="14"/>
  <c r="S201" i="14"/>
  <c r="R202" i="14"/>
  <c r="S202" i="14"/>
  <c r="R203" i="14"/>
  <c r="S203" i="14"/>
  <c r="R204" i="14"/>
  <c r="S204" i="14"/>
  <c r="R205" i="14"/>
  <c r="S205" i="14"/>
  <c r="R206" i="14"/>
  <c r="S206" i="14"/>
  <c r="R207" i="14"/>
  <c r="S207" i="14"/>
  <c r="R208" i="14"/>
  <c r="S208" i="14"/>
  <c r="R209" i="14"/>
  <c r="S209" i="14"/>
  <c r="R210" i="14"/>
  <c r="S210" i="14"/>
  <c r="R211" i="14"/>
  <c r="S211" i="14"/>
  <c r="R212" i="14"/>
  <c r="S212" i="14"/>
  <c r="R213" i="14"/>
  <c r="S213" i="14"/>
  <c r="R214" i="14"/>
  <c r="S214" i="14"/>
  <c r="R215" i="14"/>
  <c r="S215" i="14"/>
  <c r="R216" i="14"/>
  <c r="S216" i="14"/>
  <c r="R217" i="14"/>
  <c r="S217" i="14"/>
  <c r="R218" i="14"/>
  <c r="S218" i="14"/>
  <c r="R219" i="14"/>
  <c r="S219" i="14"/>
  <c r="R220" i="14"/>
  <c r="S220" i="14"/>
  <c r="R221" i="14"/>
  <c r="S221" i="14"/>
  <c r="R222" i="14"/>
  <c r="S222" i="14"/>
  <c r="R223" i="14"/>
  <c r="S223" i="14"/>
  <c r="R224" i="14"/>
  <c r="S224" i="14"/>
  <c r="R225" i="14"/>
  <c r="S225" i="14"/>
  <c r="R226" i="14"/>
  <c r="S226" i="14"/>
  <c r="R227" i="14"/>
  <c r="S227" i="14"/>
  <c r="R228" i="14"/>
  <c r="S228" i="14"/>
  <c r="R229" i="14"/>
  <c r="S229" i="14"/>
  <c r="R230" i="14"/>
  <c r="S230" i="14"/>
  <c r="R231" i="14"/>
  <c r="S231" i="14"/>
  <c r="R232" i="14"/>
  <c r="S232" i="14"/>
  <c r="R233" i="14"/>
  <c r="S233" i="14"/>
  <c r="R234" i="14"/>
  <c r="S234" i="14"/>
  <c r="R235" i="14"/>
  <c r="S235" i="14"/>
  <c r="R236" i="14"/>
  <c r="S236" i="14"/>
  <c r="R237" i="14"/>
  <c r="S237" i="14"/>
  <c r="R238" i="14"/>
  <c r="S238" i="14"/>
  <c r="R239" i="14"/>
  <c r="S239" i="14"/>
  <c r="R240" i="14"/>
  <c r="S240" i="14"/>
  <c r="R241" i="14"/>
  <c r="S241" i="14"/>
  <c r="R242" i="14"/>
  <c r="S242" i="14"/>
  <c r="R243" i="14"/>
  <c r="S243" i="14"/>
  <c r="R244" i="14"/>
  <c r="S244" i="14"/>
  <c r="R245" i="14"/>
  <c r="S245" i="14"/>
  <c r="R246" i="14"/>
  <c r="S246" i="14"/>
  <c r="R247" i="14"/>
  <c r="S247" i="14"/>
  <c r="R248" i="14"/>
  <c r="S248" i="14"/>
  <c r="R249" i="14"/>
  <c r="S249" i="14"/>
  <c r="R250" i="14"/>
  <c r="S250" i="14"/>
  <c r="R251" i="14"/>
  <c r="S251" i="14"/>
  <c r="R252" i="14"/>
  <c r="S252" i="14"/>
  <c r="R253" i="14"/>
  <c r="S253" i="14"/>
  <c r="R254" i="14"/>
  <c r="S254" i="14"/>
  <c r="R255" i="14"/>
  <c r="S255" i="14"/>
  <c r="R256" i="14"/>
  <c r="S256" i="14"/>
  <c r="R257" i="14"/>
  <c r="S257" i="14"/>
  <c r="R258" i="14"/>
  <c r="S258" i="14"/>
  <c r="R259" i="14"/>
  <c r="S259" i="14"/>
  <c r="R260" i="14"/>
  <c r="S260" i="14"/>
  <c r="R261" i="14"/>
  <c r="S261" i="14"/>
  <c r="R262" i="14"/>
  <c r="S262" i="14"/>
  <c r="R263" i="14"/>
  <c r="S263" i="14"/>
  <c r="R264" i="14"/>
  <c r="S264" i="14"/>
  <c r="R265" i="14"/>
  <c r="S265" i="14"/>
  <c r="R266" i="14"/>
  <c r="S266" i="14"/>
  <c r="R267" i="14"/>
  <c r="S267" i="14"/>
  <c r="R268" i="14"/>
  <c r="S268" i="14"/>
  <c r="R269" i="14"/>
  <c r="S269" i="14"/>
  <c r="R270" i="14"/>
  <c r="S270" i="14"/>
  <c r="R271" i="14"/>
  <c r="S271" i="14"/>
  <c r="R272" i="14"/>
  <c r="S272" i="14"/>
  <c r="R273" i="14"/>
  <c r="S273" i="14"/>
  <c r="R274" i="14"/>
  <c r="S274" i="14"/>
  <c r="R275" i="14"/>
  <c r="S275" i="14"/>
  <c r="R276" i="14"/>
  <c r="S276" i="14"/>
  <c r="R277" i="14"/>
  <c r="S277" i="14"/>
  <c r="R278" i="14"/>
  <c r="S278" i="14"/>
  <c r="R279" i="14"/>
  <c r="S279" i="14"/>
  <c r="R280" i="14"/>
  <c r="S280" i="14"/>
  <c r="R281" i="14"/>
  <c r="S281" i="14"/>
  <c r="R282" i="14"/>
  <c r="S282" i="14"/>
  <c r="R283" i="14"/>
  <c r="S283" i="14"/>
  <c r="R284" i="14"/>
  <c r="S284" i="14"/>
  <c r="R285" i="14"/>
  <c r="S285" i="14"/>
  <c r="R286" i="14"/>
  <c r="S286" i="14"/>
  <c r="R287" i="14"/>
  <c r="S287" i="14"/>
  <c r="R288" i="14"/>
  <c r="S288" i="14"/>
  <c r="R289" i="14"/>
  <c r="S289" i="14"/>
  <c r="R290" i="14"/>
  <c r="S290" i="14"/>
  <c r="R291" i="14"/>
  <c r="S291" i="14"/>
  <c r="R292" i="14"/>
  <c r="S292" i="14"/>
  <c r="R293" i="14"/>
  <c r="S293" i="14"/>
  <c r="R294" i="14"/>
  <c r="S294" i="14"/>
  <c r="R295" i="14"/>
  <c r="S295" i="14"/>
  <c r="R296" i="14"/>
  <c r="S296" i="14"/>
  <c r="R297" i="14"/>
  <c r="S297" i="14"/>
  <c r="R298" i="14"/>
  <c r="S298" i="14"/>
  <c r="R299" i="14"/>
  <c r="S299" i="14"/>
  <c r="R300" i="14"/>
  <c r="S300" i="14"/>
  <c r="R301" i="14"/>
  <c r="S301" i="14"/>
  <c r="R302" i="14"/>
  <c r="S302" i="14"/>
  <c r="R303" i="14"/>
  <c r="S303" i="14"/>
  <c r="R304" i="14"/>
  <c r="S304" i="14"/>
  <c r="R305" i="14"/>
  <c r="S305" i="14"/>
  <c r="R306" i="14"/>
  <c r="S306" i="14"/>
  <c r="R307" i="14"/>
  <c r="S307" i="14"/>
  <c r="R308" i="14"/>
  <c r="S308" i="14"/>
  <c r="R309" i="14"/>
  <c r="S309" i="14"/>
  <c r="R310" i="14"/>
  <c r="S310" i="14"/>
  <c r="R311" i="14"/>
  <c r="S311" i="14"/>
  <c r="R312" i="14"/>
  <c r="S312" i="14"/>
  <c r="R313" i="14"/>
  <c r="S313" i="14"/>
  <c r="R314" i="14"/>
  <c r="S314" i="14"/>
  <c r="R315" i="14"/>
  <c r="S315" i="14"/>
  <c r="R316" i="14"/>
  <c r="S316" i="14"/>
  <c r="R317" i="14"/>
  <c r="S317" i="14"/>
  <c r="R318" i="14"/>
  <c r="S318" i="14"/>
  <c r="R319" i="14"/>
  <c r="S319" i="14"/>
  <c r="R320" i="14"/>
  <c r="S320" i="14"/>
  <c r="R321" i="14"/>
  <c r="S321" i="14"/>
  <c r="R322" i="14"/>
  <c r="S322" i="14"/>
  <c r="R323" i="14"/>
  <c r="S323" i="14"/>
  <c r="R324" i="14"/>
  <c r="S324" i="14"/>
  <c r="R325" i="14"/>
  <c r="S325" i="14"/>
  <c r="R326" i="14"/>
  <c r="S326" i="14"/>
  <c r="R327" i="14"/>
  <c r="S327" i="14"/>
  <c r="R328" i="14"/>
  <c r="S328" i="14"/>
  <c r="R329" i="14"/>
  <c r="S329" i="14"/>
  <c r="R330" i="14"/>
  <c r="S330" i="14"/>
  <c r="R331" i="14"/>
  <c r="S331" i="14"/>
  <c r="R332" i="14"/>
  <c r="S332" i="14"/>
  <c r="R333" i="14"/>
  <c r="S333" i="14"/>
  <c r="R334" i="14"/>
  <c r="S334" i="14"/>
  <c r="R335" i="14"/>
  <c r="S335" i="14"/>
  <c r="R336" i="14"/>
  <c r="S336" i="14"/>
  <c r="R337" i="14"/>
  <c r="S337" i="14"/>
  <c r="R338" i="14"/>
  <c r="S338" i="14"/>
  <c r="R339" i="14"/>
  <c r="S339" i="14"/>
  <c r="R340" i="14"/>
  <c r="S340" i="14"/>
  <c r="R341" i="14"/>
  <c r="S341" i="14"/>
  <c r="R342" i="14"/>
  <c r="S342" i="14"/>
  <c r="R343" i="14"/>
  <c r="S343" i="14"/>
  <c r="R344" i="14"/>
  <c r="S344" i="14"/>
  <c r="R345" i="14"/>
  <c r="S345" i="14"/>
  <c r="R346" i="14"/>
  <c r="S346" i="14"/>
  <c r="R347" i="14"/>
  <c r="S347" i="14"/>
  <c r="R348" i="14"/>
  <c r="S348" i="14"/>
  <c r="R349" i="14"/>
  <c r="S349" i="14"/>
  <c r="R350" i="14"/>
  <c r="S350" i="14"/>
  <c r="R351" i="14"/>
  <c r="S351" i="14"/>
  <c r="R352" i="14"/>
  <c r="S352" i="14"/>
  <c r="R353" i="14"/>
  <c r="S353" i="14"/>
  <c r="R354" i="14"/>
  <c r="S354" i="14"/>
  <c r="R355" i="14"/>
  <c r="S355" i="14"/>
  <c r="R356" i="14"/>
  <c r="S356" i="14"/>
  <c r="R357" i="14"/>
  <c r="S357" i="14"/>
  <c r="R358" i="14"/>
  <c r="S358" i="14"/>
  <c r="R359" i="14"/>
  <c r="S359" i="14"/>
  <c r="R360" i="14"/>
  <c r="S360" i="14"/>
  <c r="R361" i="14"/>
  <c r="S361" i="14"/>
  <c r="R362" i="14"/>
  <c r="S362" i="14"/>
  <c r="R363" i="14"/>
  <c r="S363" i="14"/>
  <c r="R364" i="14"/>
  <c r="S364" i="14"/>
  <c r="R365" i="14"/>
  <c r="S365" i="14"/>
  <c r="R366" i="14"/>
  <c r="S366" i="14"/>
  <c r="R367" i="14"/>
  <c r="S367" i="14"/>
  <c r="R368" i="14"/>
  <c r="S368" i="14"/>
  <c r="R369" i="14"/>
  <c r="S369" i="14"/>
  <c r="R370" i="14"/>
  <c r="S370" i="14"/>
  <c r="R371" i="14"/>
  <c r="S371" i="14"/>
  <c r="R372" i="14"/>
  <c r="S372" i="14"/>
  <c r="R373" i="14"/>
  <c r="S373" i="14"/>
  <c r="R374" i="14"/>
  <c r="S374" i="14"/>
  <c r="R375" i="14"/>
  <c r="S375" i="14"/>
  <c r="R376" i="14"/>
  <c r="S376" i="14"/>
  <c r="R377" i="14"/>
  <c r="S377" i="14"/>
  <c r="R378" i="14"/>
  <c r="S378" i="14"/>
  <c r="R379" i="14"/>
  <c r="S379" i="14"/>
  <c r="R380" i="14"/>
  <c r="S380" i="14"/>
  <c r="R381" i="14"/>
  <c r="S381" i="14"/>
  <c r="R382" i="14"/>
  <c r="S382" i="14"/>
  <c r="R383" i="14"/>
  <c r="S383" i="14"/>
  <c r="R384" i="14"/>
  <c r="S384" i="14"/>
  <c r="R385" i="14"/>
  <c r="S385" i="14"/>
  <c r="R386" i="14"/>
  <c r="S386" i="14"/>
  <c r="R387" i="14"/>
  <c r="S387" i="14"/>
  <c r="R388" i="14"/>
  <c r="S388" i="14"/>
  <c r="R389" i="14"/>
  <c r="S389" i="14"/>
  <c r="R390" i="14"/>
  <c r="S390" i="14"/>
  <c r="R391" i="14"/>
  <c r="S391" i="14"/>
  <c r="R392" i="14"/>
  <c r="S392" i="14"/>
  <c r="R393" i="14"/>
  <c r="S393" i="14"/>
  <c r="R394" i="14"/>
  <c r="S394" i="14"/>
  <c r="R395" i="14"/>
  <c r="S395" i="14"/>
  <c r="R396" i="14"/>
  <c r="S396" i="14"/>
  <c r="R397" i="14"/>
  <c r="S397" i="14"/>
  <c r="R398" i="14"/>
  <c r="S398" i="14"/>
  <c r="R399" i="14"/>
  <c r="S399" i="14"/>
  <c r="R400" i="14"/>
  <c r="S400" i="14"/>
  <c r="R401" i="14"/>
  <c r="S401" i="14"/>
  <c r="R402" i="14"/>
  <c r="S402" i="14"/>
  <c r="R403" i="14"/>
  <c r="S403" i="14"/>
  <c r="R404" i="14"/>
  <c r="S404" i="14"/>
  <c r="R405" i="14"/>
  <c r="S405" i="14"/>
  <c r="R406" i="14"/>
  <c r="S406" i="14"/>
  <c r="R407" i="14"/>
  <c r="S407" i="14"/>
  <c r="R408" i="14"/>
  <c r="S408" i="14"/>
  <c r="R409" i="14"/>
  <c r="S409" i="14"/>
  <c r="R410" i="14"/>
  <c r="S410" i="14"/>
  <c r="R411" i="14"/>
  <c r="S411" i="14"/>
  <c r="R412" i="14"/>
  <c r="S412" i="14"/>
  <c r="R413" i="14"/>
  <c r="S413" i="14"/>
  <c r="R414" i="14"/>
  <c r="S414" i="14"/>
  <c r="R415" i="14"/>
  <c r="S415" i="14"/>
  <c r="R416" i="14"/>
  <c r="S416" i="14"/>
  <c r="R417" i="14"/>
  <c r="S417" i="14"/>
  <c r="R418" i="14"/>
  <c r="S418" i="14"/>
  <c r="R419" i="14"/>
  <c r="S419" i="14"/>
  <c r="R420" i="14"/>
  <c r="S420" i="14"/>
  <c r="R421" i="14"/>
  <c r="S421" i="14"/>
  <c r="R422" i="14"/>
  <c r="S422" i="14"/>
  <c r="R423" i="14"/>
  <c r="S423" i="14"/>
  <c r="R424" i="14"/>
  <c r="S424" i="14"/>
  <c r="R425" i="14"/>
  <c r="S425" i="14"/>
  <c r="R426" i="14"/>
  <c r="S426" i="14"/>
  <c r="R427" i="14"/>
  <c r="S427" i="14"/>
  <c r="R428" i="14"/>
  <c r="S428" i="14"/>
  <c r="R429" i="14"/>
  <c r="S429" i="14"/>
  <c r="R430" i="14"/>
  <c r="S430" i="14"/>
  <c r="R431" i="14"/>
  <c r="S431" i="14"/>
  <c r="R432" i="14"/>
  <c r="S432" i="14"/>
  <c r="R433" i="14"/>
  <c r="S433" i="14"/>
  <c r="R434" i="14"/>
  <c r="S434" i="14"/>
  <c r="R435" i="14"/>
  <c r="S435" i="14"/>
  <c r="R436" i="14"/>
  <c r="S436" i="14"/>
  <c r="R437" i="14"/>
  <c r="S437" i="14"/>
  <c r="R438" i="14"/>
  <c r="S438" i="14"/>
  <c r="R439" i="14"/>
  <c r="S439" i="14"/>
  <c r="R440" i="14"/>
  <c r="S440" i="14"/>
  <c r="R441" i="14"/>
  <c r="S441" i="14"/>
  <c r="R442" i="14"/>
  <c r="S442" i="14"/>
  <c r="R443" i="14"/>
  <c r="S443" i="14"/>
  <c r="R444" i="14"/>
  <c r="S444" i="14"/>
  <c r="R445" i="14"/>
  <c r="S445" i="14"/>
  <c r="R446" i="14"/>
  <c r="S446" i="14"/>
  <c r="R447" i="14"/>
  <c r="S447" i="14"/>
  <c r="R448" i="14"/>
  <c r="S448" i="14"/>
  <c r="R449" i="14"/>
  <c r="S449" i="14"/>
  <c r="R450" i="14"/>
  <c r="S450" i="14"/>
  <c r="R451" i="14"/>
  <c r="S451" i="14"/>
  <c r="R452" i="14"/>
  <c r="S452" i="14"/>
  <c r="R453" i="14"/>
  <c r="S453" i="14"/>
  <c r="R454" i="14"/>
  <c r="S454" i="14"/>
  <c r="R455" i="14"/>
  <c r="S455" i="14"/>
  <c r="R456" i="14"/>
  <c r="S456" i="14"/>
  <c r="R457" i="14"/>
  <c r="S457" i="14"/>
  <c r="R458" i="14"/>
  <c r="S458" i="14"/>
  <c r="R459" i="14"/>
  <c r="S459" i="14"/>
  <c r="R460" i="14"/>
  <c r="S460" i="14"/>
  <c r="R461" i="14"/>
  <c r="S461" i="14"/>
  <c r="R462" i="14"/>
  <c r="S462" i="14"/>
  <c r="R463" i="14"/>
  <c r="S463" i="14"/>
  <c r="R464" i="14"/>
  <c r="S464" i="14"/>
  <c r="R465" i="14"/>
  <c r="S465" i="14"/>
  <c r="R466" i="14"/>
  <c r="S466" i="14"/>
  <c r="R467" i="14"/>
  <c r="S467" i="14"/>
  <c r="R468" i="14"/>
  <c r="S468" i="14"/>
  <c r="R469" i="14"/>
  <c r="S469" i="14"/>
  <c r="R470" i="14"/>
  <c r="S470" i="14"/>
  <c r="R471" i="14"/>
  <c r="S471" i="14"/>
  <c r="R472" i="14"/>
  <c r="S472" i="14"/>
  <c r="R473" i="14"/>
  <c r="S473" i="14"/>
  <c r="R474" i="14"/>
  <c r="S474" i="14"/>
  <c r="R475" i="14"/>
  <c r="S475" i="14"/>
  <c r="R476" i="14"/>
  <c r="S476" i="14"/>
  <c r="R477" i="14"/>
  <c r="S477" i="14"/>
  <c r="R478" i="14"/>
  <c r="S478" i="14"/>
  <c r="R479" i="14"/>
  <c r="S479" i="14"/>
  <c r="R480" i="14"/>
  <c r="S480" i="14"/>
  <c r="R481" i="14"/>
  <c r="S481" i="14"/>
  <c r="R482" i="14"/>
  <c r="S482" i="14"/>
  <c r="R483" i="14"/>
  <c r="S483" i="14"/>
  <c r="R484" i="14"/>
  <c r="S484" i="14"/>
  <c r="R485" i="14"/>
  <c r="S485" i="14"/>
  <c r="R486" i="14"/>
  <c r="S486" i="14"/>
  <c r="R487" i="14"/>
  <c r="S487" i="14"/>
  <c r="R488" i="14"/>
  <c r="S488" i="14"/>
  <c r="R489" i="14"/>
  <c r="S489" i="14"/>
  <c r="R490" i="14"/>
  <c r="S490" i="14"/>
  <c r="R491" i="14"/>
  <c r="S491" i="14"/>
  <c r="R492" i="14"/>
  <c r="S492" i="14"/>
  <c r="R493" i="14"/>
  <c r="S493" i="14"/>
  <c r="R494" i="14"/>
  <c r="S494" i="14"/>
  <c r="R495" i="14"/>
  <c r="S495" i="14"/>
  <c r="R496" i="14"/>
  <c r="S496" i="14"/>
  <c r="R497" i="14"/>
  <c r="S497" i="14"/>
  <c r="R498" i="14"/>
  <c r="S498" i="14"/>
  <c r="R499" i="14"/>
  <c r="S499" i="14"/>
  <c r="R500" i="14"/>
  <c r="S500" i="14"/>
  <c r="R501" i="14"/>
  <c r="S501" i="14"/>
  <c r="R502" i="14"/>
  <c r="S502" i="14"/>
  <c r="R503" i="14"/>
  <c r="S503" i="14"/>
  <c r="R504" i="14"/>
  <c r="S504" i="14"/>
  <c r="R505" i="14"/>
  <c r="S505" i="14"/>
  <c r="R506" i="14"/>
  <c r="S506" i="14"/>
  <c r="R507" i="14"/>
  <c r="S507" i="14"/>
  <c r="R508" i="14"/>
  <c r="S508" i="14"/>
  <c r="R509" i="14"/>
  <c r="S509" i="14"/>
  <c r="R510" i="14"/>
  <c r="S510" i="14"/>
  <c r="R511" i="14"/>
  <c r="S511" i="14"/>
  <c r="R512" i="14"/>
  <c r="S512" i="14"/>
  <c r="R513" i="14"/>
  <c r="S513" i="14"/>
  <c r="R514" i="14"/>
  <c r="S514" i="14"/>
  <c r="R515" i="14"/>
  <c r="S515" i="14"/>
  <c r="R516" i="14"/>
  <c r="S516" i="14"/>
  <c r="R517" i="14"/>
  <c r="S517" i="14"/>
  <c r="R518" i="14"/>
  <c r="S518" i="14"/>
  <c r="R519" i="14"/>
  <c r="S519" i="14"/>
  <c r="R520" i="14"/>
  <c r="S520" i="14"/>
  <c r="R521" i="14"/>
  <c r="S521" i="14"/>
  <c r="R522" i="14"/>
  <c r="S522" i="14"/>
  <c r="R523" i="14"/>
  <c r="S523" i="14"/>
  <c r="R524" i="14"/>
  <c r="S524" i="14"/>
  <c r="R525" i="14"/>
  <c r="S525" i="14"/>
  <c r="R526" i="14"/>
  <c r="S526" i="14"/>
  <c r="R527" i="14"/>
  <c r="S527" i="14"/>
  <c r="R528" i="14"/>
  <c r="S528" i="14"/>
  <c r="R529" i="14"/>
  <c r="S529" i="14"/>
  <c r="R530" i="14"/>
  <c r="S530" i="14"/>
  <c r="R531" i="14"/>
  <c r="S531" i="14"/>
  <c r="R532" i="14"/>
  <c r="S532" i="14"/>
  <c r="R533" i="14"/>
  <c r="S533" i="14"/>
  <c r="R534" i="14"/>
  <c r="S534" i="14"/>
  <c r="R535" i="14"/>
  <c r="S535" i="14"/>
  <c r="R536" i="14"/>
  <c r="S536" i="14"/>
  <c r="R537" i="14"/>
  <c r="S537" i="14"/>
  <c r="R538" i="14"/>
  <c r="S538" i="14"/>
  <c r="R539" i="14"/>
  <c r="S539" i="14"/>
  <c r="R540" i="14"/>
  <c r="S540" i="14"/>
  <c r="R541" i="14"/>
  <c r="S541" i="14"/>
  <c r="R542" i="14"/>
  <c r="S542" i="14"/>
  <c r="R543" i="14"/>
  <c r="S543" i="14"/>
  <c r="R544" i="14"/>
  <c r="S544" i="14"/>
  <c r="R545" i="14"/>
  <c r="S545" i="14"/>
  <c r="R546" i="14"/>
  <c r="S546" i="14"/>
  <c r="R547" i="14"/>
  <c r="S547" i="14"/>
  <c r="R548" i="14"/>
  <c r="S548" i="14"/>
  <c r="R549" i="14"/>
  <c r="S549" i="14"/>
  <c r="R550" i="14"/>
  <c r="S550" i="14"/>
  <c r="R551" i="14"/>
  <c r="S551" i="14"/>
  <c r="R552" i="14"/>
  <c r="S552" i="14"/>
  <c r="R553" i="14"/>
  <c r="S553" i="14"/>
  <c r="R554" i="14"/>
  <c r="S554" i="14"/>
  <c r="R555" i="14"/>
  <c r="S555" i="14"/>
  <c r="R556" i="14"/>
  <c r="S556" i="14"/>
  <c r="R557" i="14"/>
  <c r="S557" i="14"/>
  <c r="R558" i="14"/>
  <c r="S558" i="14"/>
  <c r="R559" i="14"/>
  <c r="S559" i="14"/>
  <c r="R560" i="14"/>
  <c r="S560" i="14"/>
  <c r="R561" i="14"/>
  <c r="S561" i="14"/>
  <c r="R562" i="14"/>
  <c r="S562" i="14"/>
  <c r="R563" i="14"/>
  <c r="S563" i="14"/>
  <c r="R564" i="14"/>
  <c r="S564" i="14"/>
  <c r="R565" i="14"/>
  <c r="S565" i="14"/>
  <c r="R566" i="14"/>
  <c r="S566" i="14"/>
  <c r="R567" i="14"/>
  <c r="S567" i="14"/>
  <c r="R568" i="14"/>
  <c r="S568" i="14"/>
  <c r="R569" i="14"/>
  <c r="S569" i="14"/>
  <c r="R570" i="14"/>
  <c r="S570" i="14"/>
  <c r="R571" i="14"/>
  <c r="S571" i="14"/>
  <c r="R572" i="14"/>
  <c r="S572" i="14"/>
  <c r="R573" i="14"/>
  <c r="S573" i="14"/>
  <c r="R574" i="14"/>
  <c r="S574" i="14"/>
  <c r="R575" i="14"/>
  <c r="S575" i="14"/>
  <c r="R576" i="14"/>
  <c r="S576" i="14"/>
  <c r="R577" i="14"/>
  <c r="S577" i="14"/>
  <c r="R578" i="14"/>
  <c r="S578" i="14"/>
  <c r="R579" i="14"/>
  <c r="S579" i="14"/>
  <c r="R580" i="14"/>
  <c r="S580" i="14"/>
  <c r="R581" i="14"/>
  <c r="S581" i="14"/>
  <c r="R582" i="14"/>
  <c r="S582" i="14"/>
  <c r="R583" i="14"/>
  <c r="S583" i="14"/>
  <c r="R584" i="14"/>
  <c r="S584" i="14"/>
  <c r="R585" i="14"/>
  <c r="S585" i="14"/>
  <c r="R586" i="14"/>
  <c r="S586" i="14"/>
  <c r="R587" i="14"/>
  <c r="S587" i="14"/>
  <c r="R588" i="14"/>
  <c r="S588" i="14"/>
  <c r="R589" i="14"/>
  <c r="S589" i="14"/>
  <c r="R590" i="14"/>
  <c r="S590" i="14"/>
  <c r="R591" i="14"/>
  <c r="S591" i="14"/>
  <c r="R592" i="14"/>
  <c r="S592" i="14"/>
  <c r="R593" i="14"/>
  <c r="S593" i="14"/>
  <c r="R594" i="14"/>
  <c r="S594" i="14"/>
  <c r="R595" i="14"/>
  <c r="S595" i="14"/>
  <c r="R596" i="14"/>
  <c r="S596" i="14"/>
  <c r="R597" i="14"/>
  <c r="S597" i="14"/>
  <c r="R598" i="14"/>
  <c r="S598" i="14"/>
  <c r="R599" i="14"/>
  <c r="S599" i="14"/>
  <c r="R600" i="14"/>
  <c r="S600" i="14"/>
  <c r="R601" i="14"/>
  <c r="S601" i="14"/>
  <c r="R602" i="14"/>
  <c r="S602" i="14"/>
  <c r="R603" i="14"/>
  <c r="S603" i="14"/>
  <c r="R604" i="14"/>
  <c r="S604" i="14"/>
  <c r="R605" i="14"/>
  <c r="S605" i="14"/>
  <c r="R606" i="14"/>
  <c r="S606" i="14"/>
  <c r="R607" i="14"/>
  <c r="S607" i="14"/>
  <c r="R608" i="14"/>
  <c r="S608" i="14"/>
  <c r="R609" i="14"/>
  <c r="S609" i="14"/>
  <c r="R610" i="14"/>
  <c r="S610" i="14"/>
  <c r="R611" i="14"/>
  <c r="S611" i="14"/>
  <c r="R612" i="14"/>
  <c r="S612" i="14"/>
  <c r="R613" i="14"/>
  <c r="S613" i="14"/>
  <c r="R614" i="14"/>
  <c r="S614" i="14"/>
  <c r="R615" i="14"/>
  <c r="S615" i="14"/>
  <c r="R616" i="14"/>
  <c r="S616" i="14"/>
  <c r="R617" i="14"/>
  <c r="S617" i="14"/>
  <c r="R618" i="14"/>
  <c r="S618" i="14"/>
  <c r="R619" i="14"/>
  <c r="S619" i="14"/>
  <c r="R620" i="14"/>
  <c r="S620" i="14"/>
  <c r="R621" i="14"/>
  <c r="S621" i="14"/>
  <c r="R622" i="14"/>
  <c r="S622" i="14"/>
  <c r="R623" i="14"/>
  <c r="S623" i="14"/>
  <c r="R624" i="14"/>
  <c r="S624" i="14"/>
  <c r="R625" i="14"/>
  <c r="S625" i="14"/>
  <c r="R626" i="14"/>
  <c r="S626" i="14"/>
  <c r="R627" i="14"/>
  <c r="S627" i="14"/>
  <c r="R628" i="14"/>
  <c r="S628" i="14"/>
  <c r="R629" i="14"/>
  <c r="S629" i="14"/>
  <c r="R630" i="14"/>
  <c r="S630" i="14"/>
  <c r="R631" i="14"/>
  <c r="S631" i="14"/>
  <c r="R632" i="14"/>
  <c r="S632" i="14"/>
  <c r="R633" i="14"/>
  <c r="S633" i="14"/>
  <c r="R634" i="14"/>
  <c r="S634" i="14"/>
  <c r="R635" i="14"/>
  <c r="S635" i="14"/>
  <c r="R636" i="14"/>
  <c r="S636" i="14"/>
  <c r="R637" i="14"/>
  <c r="S637" i="14"/>
  <c r="R638" i="14"/>
  <c r="S638" i="14"/>
  <c r="R639" i="14"/>
  <c r="S639" i="14"/>
  <c r="R640" i="14"/>
  <c r="S640" i="14"/>
  <c r="R641" i="14"/>
  <c r="S641" i="14"/>
  <c r="R642" i="14"/>
  <c r="S642" i="14"/>
  <c r="R643" i="14"/>
  <c r="S643" i="14"/>
  <c r="R644" i="14"/>
  <c r="S644" i="14"/>
  <c r="R645" i="14"/>
  <c r="S645" i="14"/>
  <c r="R646" i="14"/>
  <c r="S646" i="14"/>
  <c r="R647" i="14"/>
  <c r="S647" i="14"/>
  <c r="R648" i="14"/>
  <c r="S648" i="14"/>
  <c r="R649" i="14"/>
  <c r="S649" i="14"/>
  <c r="R650" i="14"/>
  <c r="S650" i="14"/>
  <c r="R651" i="14"/>
  <c r="S651" i="14"/>
  <c r="R652" i="14"/>
  <c r="S652" i="14"/>
  <c r="R653" i="14"/>
  <c r="S653" i="14"/>
  <c r="R654" i="14"/>
  <c r="S654" i="14"/>
  <c r="R655" i="14"/>
  <c r="S655" i="14"/>
  <c r="R656" i="14"/>
  <c r="S656" i="14"/>
  <c r="R657" i="14"/>
  <c r="S657" i="14"/>
  <c r="R658" i="14"/>
  <c r="S658" i="14"/>
  <c r="R659" i="14"/>
  <c r="S659" i="14"/>
  <c r="R660" i="14"/>
  <c r="S660" i="14"/>
  <c r="R661" i="14"/>
  <c r="S661" i="14"/>
  <c r="R662" i="14"/>
  <c r="S662" i="14"/>
  <c r="R663" i="14"/>
  <c r="S663" i="14"/>
  <c r="R664" i="14"/>
  <c r="S664" i="14"/>
  <c r="R665" i="14"/>
  <c r="S665" i="14"/>
  <c r="R666" i="14"/>
  <c r="S666" i="14"/>
  <c r="R667" i="14"/>
  <c r="S667" i="14"/>
  <c r="R668" i="14"/>
  <c r="S668" i="14"/>
  <c r="R669" i="14"/>
  <c r="S669" i="14"/>
  <c r="R670" i="14"/>
  <c r="S670" i="14"/>
  <c r="R671" i="14"/>
  <c r="S671" i="14"/>
  <c r="R672" i="14"/>
  <c r="S672" i="14"/>
  <c r="R673" i="14"/>
  <c r="S673" i="14"/>
  <c r="R674" i="14"/>
  <c r="S674" i="14"/>
  <c r="R675" i="14"/>
  <c r="S675" i="14"/>
  <c r="R676" i="14"/>
  <c r="S676" i="14"/>
  <c r="R677" i="14"/>
  <c r="S677" i="14"/>
  <c r="R678" i="14"/>
  <c r="S678" i="14"/>
  <c r="R679" i="14"/>
  <c r="S679" i="14"/>
  <c r="R680" i="14"/>
  <c r="S680" i="14"/>
  <c r="R681" i="14"/>
  <c r="S681" i="14"/>
  <c r="R682" i="14"/>
  <c r="S682" i="14"/>
  <c r="R683" i="14"/>
  <c r="S683" i="14"/>
  <c r="R684" i="14"/>
  <c r="S684" i="14"/>
  <c r="R685" i="14"/>
  <c r="S685" i="14"/>
  <c r="R686" i="14"/>
  <c r="S686" i="14"/>
  <c r="R687" i="14"/>
  <c r="S687" i="14"/>
  <c r="R688" i="14"/>
  <c r="S688" i="14"/>
  <c r="R689" i="14"/>
  <c r="S689" i="14"/>
  <c r="R690" i="14"/>
  <c r="S690" i="14"/>
  <c r="R691" i="14"/>
  <c r="S691" i="14"/>
  <c r="R692" i="14"/>
  <c r="S692" i="14"/>
  <c r="R693" i="14"/>
  <c r="S693" i="14"/>
  <c r="R694" i="14"/>
  <c r="S694" i="14"/>
  <c r="R695" i="14"/>
  <c r="S695" i="14"/>
  <c r="R696" i="14"/>
  <c r="S696" i="14"/>
  <c r="R697" i="14"/>
  <c r="S697" i="14"/>
  <c r="R698" i="14"/>
  <c r="S698" i="14"/>
  <c r="R699" i="14"/>
  <c r="S699" i="14"/>
  <c r="R700" i="14"/>
  <c r="S700" i="14"/>
  <c r="R701" i="14"/>
  <c r="S701" i="14"/>
  <c r="R702" i="14"/>
  <c r="S702" i="14"/>
  <c r="R703" i="14"/>
  <c r="S703" i="14"/>
  <c r="R704" i="14"/>
  <c r="S704" i="14"/>
  <c r="R705" i="14"/>
  <c r="S705" i="14"/>
  <c r="R706" i="14"/>
  <c r="S706" i="14"/>
  <c r="R707" i="14"/>
  <c r="S707" i="14"/>
  <c r="R708" i="14"/>
  <c r="S708" i="14"/>
  <c r="R709" i="14"/>
  <c r="S709" i="14"/>
  <c r="R710" i="14"/>
  <c r="S710" i="14"/>
  <c r="R711" i="14"/>
  <c r="S711" i="14"/>
  <c r="R712" i="14"/>
  <c r="S712" i="14"/>
  <c r="R713" i="14"/>
  <c r="S713" i="14"/>
  <c r="R714" i="14"/>
  <c r="S714" i="14"/>
  <c r="R715" i="14"/>
  <c r="S715" i="14"/>
  <c r="R716" i="14"/>
  <c r="S716" i="14"/>
  <c r="R717" i="14"/>
  <c r="S717" i="14"/>
  <c r="R718" i="14"/>
  <c r="S718" i="14"/>
  <c r="R719" i="14"/>
  <c r="S719" i="14"/>
  <c r="R720" i="14"/>
  <c r="S720" i="14"/>
  <c r="R721" i="14"/>
  <c r="S721" i="14"/>
  <c r="R722" i="14"/>
  <c r="S722" i="14"/>
  <c r="R723" i="14"/>
  <c r="S723" i="14"/>
  <c r="R724" i="14"/>
  <c r="S724" i="14"/>
  <c r="R725" i="14"/>
  <c r="S725" i="14"/>
  <c r="R726" i="14"/>
  <c r="S726" i="14"/>
  <c r="R727" i="14"/>
  <c r="S727" i="14"/>
  <c r="R728" i="14"/>
  <c r="S728" i="14"/>
  <c r="R729" i="14"/>
  <c r="S729" i="14"/>
  <c r="R730" i="14"/>
  <c r="S730" i="14"/>
  <c r="R731" i="14"/>
  <c r="S731" i="14"/>
  <c r="R732" i="14"/>
  <c r="S732" i="14"/>
  <c r="R733" i="14"/>
  <c r="S733" i="14"/>
  <c r="R734" i="14"/>
  <c r="S734" i="14"/>
  <c r="R735" i="14"/>
  <c r="S735" i="14"/>
  <c r="R736" i="14"/>
  <c r="S736" i="14"/>
  <c r="R737" i="14"/>
  <c r="S737" i="14"/>
  <c r="R738" i="14"/>
  <c r="S738" i="14"/>
  <c r="R739" i="14"/>
  <c r="S739" i="14"/>
  <c r="R740" i="14"/>
  <c r="S740" i="14"/>
  <c r="R741" i="14"/>
  <c r="S741" i="14"/>
  <c r="R742" i="14"/>
  <c r="S742" i="14"/>
  <c r="R743" i="14"/>
  <c r="S743" i="14"/>
  <c r="R744" i="14"/>
  <c r="S744" i="14"/>
  <c r="R745" i="14"/>
  <c r="S745" i="14"/>
  <c r="R746" i="14"/>
  <c r="S746" i="14"/>
  <c r="R747" i="14"/>
  <c r="S747" i="14"/>
  <c r="R748" i="14"/>
  <c r="S748" i="14"/>
  <c r="R749" i="14"/>
  <c r="S749" i="14"/>
  <c r="R750" i="14"/>
  <c r="S750" i="14"/>
  <c r="R751" i="14"/>
  <c r="S751" i="14"/>
  <c r="R752" i="14"/>
  <c r="S752" i="14"/>
  <c r="R753" i="14"/>
  <c r="S753" i="14"/>
  <c r="R754" i="14"/>
  <c r="S754" i="14"/>
  <c r="R755" i="14"/>
  <c r="S755" i="14"/>
  <c r="R756" i="14"/>
  <c r="S756" i="14"/>
  <c r="R757" i="14"/>
  <c r="S757" i="14"/>
  <c r="R758" i="14"/>
  <c r="S758" i="14"/>
  <c r="R759" i="14"/>
  <c r="S759" i="14"/>
  <c r="R760" i="14"/>
  <c r="S760" i="14"/>
  <c r="R761" i="14"/>
  <c r="S761" i="14"/>
  <c r="R762" i="14"/>
  <c r="S762" i="14"/>
  <c r="R763" i="14"/>
  <c r="S763" i="14"/>
  <c r="R764" i="14"/>
  <c r="S764" i="14"/>
  <c r="R765" i="14"/>
  <c r="S765" i="14"/>
  <c r="R766" i="14"/>
  <c r="S766" i="14"/>
  <c r="R767" i="14"/>
  <c r="S767" i="14"/>
  <c r="R768" i="14"/>
  <c r="S768" i="14"/>
  <c r="R769" i="14"/>
  <c r="S769" i="14"/>
  <c r="R770" i="14"/>
  <c r="S770" i="14"/>
  <c r="R771" i="14"/>
  <c r="S771" i="14"/>
  <c r="R772" i="14"/>
  <c r="S772" i="14"/>
  <c r="R773" i="14"/>
  <c r="S773" i="14"/>
  <c r="R774" i="14"/>
  <c r="S774" i="14"/>
  <c r="R775" i="14"/>
  <c r="S775" i="14"/>
  <c r="R776" i="14"/>
  <c r="S776" i="14"/>
  <c r="R777" i="14"/>
  <c r="S777" i="14"/>
  <c r="R778" i="14"/>
  <c r="S778" i="14"/>
  <c r="R779" i="14"/>
  <c r="S779" i="14"/>
  <c r="R780" i="14"/>
  <c r="S780" i="14"/>
  <c r="R781" i="14"/>
  <c r="S781" i="14"/>
  <c r="R782" i="14"/>
  <c r="S782" i="14"/>
  <c r="R783" i="14"/>
  <c r="S783" i="14"/>
  <c r="R784" i="14"/>
  <c r="S784" i="14"/>
  <c r="R785" i="14"/>
  <c r="S785" i="14"/>
  <c r="R786" i="14"/>
  <c r="S786" i="14"/>
  <c r="R787" i="14"/>
  <c r="S787" i="14"/>
  <c r="R788" i="14"/>
  <c r="S788" i="14"/>
  <c r="R789" i="14"/>
  <c r="S789" i="14"/>
  <c r="R790" i="14"/>
  <c r="S790" i="14"/>
  <c r="R791" i="14"/>
  <c r="S791" i="14"/>
  <c r="R792" i="14"/>
  <c r="S792" i="14"/>
  <c r="R793" i="14"/>
  <c r="S793" i="14"/>
  <c r="R794" i="14"/>
  <c r="S794" i="14"/>
  <c r="R795" i="14"/>
  <c r="S795" i="14"/>
  <c r="R796" i="14"/>
  <c r="S796" i="14"/>
  <c r="R797" i="14"/>
  <c r="S797" i="14"/>
  <c r="R798" i="14"/>
  <c r="S798" i="14"/>
  <c r="R799" i="14"/>
  <c r="S799" i="14"/>
  <c r="R800" i="14"/>
  <c r="S800" i="14"/>
  <c r="R801" i="14"/>
  <c r="S801" i="14"/>
  <c r="R802" i="14"/>
  <c r="S802" i="14"/>
  <c r="R803" i="14"/>
  <c r="S803" i="14"/>
  <c r="R804" i="14"/>
  <c r="S804" i="14"/>
  <c r="R805" i="14"/>
  <c r="S805" i="14"/>
  <c r="R806" i="14"/>
  <c r="S806" i="14"/>
  <c r="R807" i="14"/>
  <c r="S807" i="14"/>
  <c r="R808" i="14"/>
  <c r="S808" i="14"/>
  <c r="R809" i="14"/>
  <c r="S809" i="14"/>
  <c r="R810" i="14"/>
  <c r="S810" i="14"/>
  <c r="R811" i="14"/>
  <c r="S811" i="14"/>
  <c r="R812" i="14"/>
  <c r="S812" i="14"/>
  <c r="R813" i="14"/>
  <c r="S813" i="14"/>
  <c r="R814" i="14"/>
  <c r="S814" i="14"/>
  <c r="R815" i="14"/>
  <c r="S815" i="14"/>
  <c r="R816" i="14"/>
  <c r="S816" i="14"/>
  <c r="R817" i="14"/>
  <c r="S817" i="14"/>
  <c r="R818" i="14"/>
  <c r="S818" i="14"/>
  <c r="R819" i="14"/>
  <c r="S819" i="14"/>
  <c r="R820" i="14"/>
  <c r="S820" i="14"/>
  <c r="R821" i="14"/>
  <c r="S821" i="14"/>
  <c r="R822" i="14"/>
  <c r="S822" i="14"/>
  <c r="R823" i="14"/>
  <c r="S823" i="14"/>
  <c r="R824" i="14"/>
  <c r="S824" i="14"/>
  <c r="R825" i="14"/>
  <c r="S825" i="14"/>
  <c r="R826" i="14"/>
  <c r="S826" i="14"/>
  <c r="R827" i="14"/>
  <c r="S827" i="14"/>
  <c r="R828" i="14"/>
  <c r="S828" i="14"/>
  <c r="R829" i="14"/>
  <c r="S829" i="14"/>
  <c r="R830" i="14"/>
  <c r="S830" i="14"/>
  <c r="R831" i="14"/>
  <c r="S831" i="14"/>
  <c r="R832" i="14"/>
  <c r="S832" i="14"/>
  <c r="R833" i="14"/>
  <c r="S833" i="14"/>
  <c r="R834" i="14"/>
  <c r="S834" i="14"/>
  <c r="R835" i="14"/>
  <c r="S835" i="14"/>
  <c r="R836" i="14"/>
  <c r="S836" i="14"/>
  <c r="R837" i="14"/>
  <c r="S837" i="14"/>
  <c r="R838" i="14"/>
  <c r="S838" i="14"/>
  <c r="R839" i="14"/>
  <c r="S839" i="14"/>
  <c r="R840" i="14"/>
  <c r="S840" i="14"/>
  <c r="R841" i="14"/>
  <c r="S841" i="14"/>
  <c r="R842" i="14"/>
  <c r="S842" i="14"/>
  <c r="R843" i="14"/>
  <c r="S843" i="14"/>
  <c r="R844" i="14"/>
  <c r="S844" i="14"/>
  <c r="R845" i="14"/>
  <c r="S845" i="14"/>
  <c r="R846" i="14"/>
  <c r="S846" i="14"/>
  <c r="R847" i="14"/>
  <c r="S847" i="14"/>
  <c r="R848" i="14"/>
  <c r="S848" i="14"/>
  <c r="R849" i="14"/>
  <c r="S849" i="14"/>
  <c r="R850" i="14"/>
  <c r="S850" i="14"/>
  <c r="R851" i="14"/>
  <c r="S851" i="14"/>
  <c r="R852" i="14"/>
  <c r="S852" i="14"/>
  <c r="R853" i="14"/>
  <c r="S853" i="14"/>
  <c r="R854" i="14"/>
  <c r="S854" i="14"/>
  <c r="R855" i="14"/>
  <c r="S855" i="14"/>
  <c r="R856" i="14"/>
  <c r="S856" i="14"/>
  <c r="R857" i="14"/>
  <c r="S857" i="14"/>
  <c r="R858" i="14"/>
  <c r="S858" i="14"/>
  <c r="R859" i="14"/>
  <c r="S859" i="14"/>
  <c r="R860" i="14"/>
  <c r="S860" i="14"/>
  <c r="R861" i="14"/>
  <c r="S861" i="14"/>
  <c r="R862" i="14"/>
  <c r="S862" i="14"/>
  <c r="R863" i="14"/>
  <c r="S863" i="14"/>
  <c r="R864" i="14"/>
  <c r="S864" i="14"/>
  <c r="R865" i="14"/>
  <c r="S865" i="14"/>
  <c r="R866" i="14"/>
  <c r="S866" i="14"/>
  <c r="R867" i="14"/>
  <c r="S867" i="14"/>
  <c r="R868" i="14"/>
  <c r="S868" i="14"/>
  <c r="R869" i="14"/>
  <c r="S869" i="14"/>
  <c r="R870" i="14"/>
  <c r="S870" i="14"/>
  <c r="R871" i="14"/>
  <c r="S871" i="14"/>
  <c r="R872" i="14"/>
  <c r="S872" i="14"/>
  <c r="R873" i="14"/>
  <c r="S873" i="14"/>
  <c r="R874" i="14"/>
  <c r="S874" i="14"/>
  <c r="R875" i="14"/>
  <c r="S875" i="14"/>
  <c r="R876" i="14"/>
  <c r="S876" i="14"/>
  <c r="R877" i="14"/>
  <c r="S877" i="14"/>
  <c r="R878" i="14"/>
  <c r="S878" i="14"/>
  <c r="R879" i="14"/>
  <c r="S879" i="14"/>
  <c r="R880" i="14"/>
  <c r="S880" i="14"/>
  <c r="R881" i="14"/>
  <c r="S881" i="14"/>
  <c r="R882" i="14"/>
  <c r="S882" i="14"/>
  <c r="R883" i="14"/>
  <c r="S883" i="14"/>
  <c r="R884" i="14"/>
  <c r="S884" i="14"/>
  <c r="R885" i="14"/>
  <c r="S885" i="14"/>
  <c r="R886" i="14"/>
  <c r="S886" i="14"/>
  <c r="R887" i="14"/>
  <c r="S887" i="14"/>
  <c r="R888" i="14"/>
  <c r="S888" i="14"/>
  <c r="R889" i="14"/>
  <c r="S889" i="14"/>
  <c r="R890" i="14"/>
  <c r="S890" i="14"/>
  <c r="R891" i="14"/>
  <c r="S891" i="14"/>
  <c r="R892" i="14"/>
  <c r="S892" i="14"/>
  <c r="R893" i="14"/>
  <c r="S893" i="14"/>
  <c r="R894" i="14"/>
  <c r="S894" i="14"/>
  <c r="R895" i="14"/>
  <c r="S895" i="14"/>
  <c r="R896" i="14"/>
  <c r="S896" i="14"/>
  <c r="R897" i="14"/>
  <c r="S897" i="14"/>
  <c r="R898" i="14"/>
  <c r="S898" i="14"/>
  <c r="R899" i="14"/>
  <c r="S899" i="14"/>
  <c r="R900" i="14"/>
  <c r="S900" i="14"/>
  <c r="R901" i="14"/>
  <c r="S901" i="14"/>
  <c r="R902" i="14"/>
  <c r="S902" i="14"/>
  <c r="R903" i="14"/>
  <c r="S903" i="14"/>
  <c r="R904" i="14"/>
  <c r="S904" i="14"/>
  <c r="R905" i="14"/>
  <c r="S905" i="14"/>
  <c r="R906" i="14"/>
  <c r="S906" i="14"/>
  <c r="R907" i="14"/>
  <c r="S907" i="14"/>
  <c r="R908" i="14"/>
  <c r="S908" i="14"/>
  <c r="R909" i="14"/>
  <c r="S909" i="14"/>
  <c r="R910" i="14"/>
  <c r="S910" i="14"/>
  <c r="R911" i="14"/>
  <c r="S911" i="14"/>
  <c r="R912" i="14"/>
  <c r="S912" i="14"/>
  <c r="R913" i="14"/>
  <c r="S913" i="14"/>
  <c r="R914" i="14"/>
  <c r="S914" i="14"/>
  <c r="R915" i="14"/>
  <c r="S915" i="14"/>
  <c r="R916" i="14"/>
  <c r="S916" i="14"/>
  <c r="R917" i="14"/>
  <c r="S917" i="14"/>
  <c r="R918" i="14"/>
  <c r="S918" i="14"/>
  <c r="R919" i="14"/>
  <c r="S919" i="14"/>
  <c r="R920" i="14"/>
  <c r="S920" i="14"/>
  <c r="R921" i="14"/>
  <c r="S921" i="14"/>
  <c r="R922" i="14"/>
  <c r="S922" i="14"/>
  <c r="R923" i="14"/>
  <c r="S923" i="14"/>
  <c r="R924" i="14"/>
  <c r="S924" i="14"/>
  <c r="R925" i="14"/>
  <c r="S925" i="14"/>
  <c r="R926" i="14"/>
  <c r="S926" i="14"/>
  <c r="R927" i="14"/>
  <c r="S927" i="14"/>
  <c r="R928" i="14"/>
  <c r="S928" i="14"/>
  <c r="R929" i="14"/>
  <c r="S929" i="14"/>
  <c r="R930" i="14"/>
  <c r="S930" i="14"/>
  <c r="R931" i="14"/>
  <c r="S931" i="14"/>
  <c r="R932" i="14"/>
  <c r="S932" i="14"/>
  <c r="R933" i="14"/>
  <c r="S933" i="14"/>
  <c r="R934" i="14"/>
  <c r="S934" i="14"/>
  <c r="R935" i="14"/>
  <c r="S935" i="14"/>
  <c r="R936" i="14"/>
  <c r="S936" i="14"/>
  <c r="R937" i="14"/>
  <c r="S937" i="14"/>
  <c r="R938" i="14"/>
  <c r="S938" i="14"/>
  <c r="R939" i="14"/>
  <c r="S939" i="14"/>
  <c r="R940" i="14"/>
  <c r="S940" i="14"/>
  <c r="R941" i="14"/>
  <c r="S941" i="14"/>
  <c r="R942" i="14"/>
  <c r="S942" i="14"/>
  <c r="R943" i="14"/>
  <c r="S943" i="14"/>
  <c r="R944" i="14"/>
  <c r="S944" i="14"/>
  <c r="R945" i="14"/>
  <c r="S945" i="14"/>
  <c r="R946" i="14"/>
  <c r="S946" i="14"/>
  <c r="R947" i="14"/>
  <c r="S947" i="14"/>
  <c r="R948" i="14"/>
  <c r="S948" i="14"/>
  <c r="R949" i="14"/>
  <c r="S949" i="14"/>
  <c r="R950" i="14"/>
  <c r="S950" i="14"/>
  <c r="R951" i="14"/>
  <c r="S951" i="14"/>
  <c r="R952" i="14"/>
  <c r="S952" i="14"/>
  <c r="R953" i="14"/>
  <c r="S953" i="14"/>
  <c r="R954" i="14"/>
  <c r="S954" i="14"/>
  <c r="R955" i="14"/>
  <c r="S955" i="14"/>
  <c r="R956" i="14"/>
  <c r="S956" i="14"/>
  <c r="R957" i="14"/>
  <c r="S957" i="14"/>
  <c r="R958" i="14"/>
  <c r="S958" i="14"/>
  <c r="R959" i="14"/>
  <c r="S959" i="14"/>
  <c r="R960" i="14"/>
  <c r="S960" i="14"/>
  <c r="R961" i="14"/>
  <c r="S961" i="14"/>
  <c r="R962" i="14"/>
  <c r="S962" i="14"/>
  <c r="R963" i="14"/>
  <c r="S963" i="14"/>
  <c r="R964" i="14"/>
  <c r="S964" i="14"/>
  <c r="R965" i="14"/>
  <c r="S965" i="14"/>
  <c r="R966" i="14"/>
  <c r="S966" i="14"/>
  <c r="R967" i="14"/>
  <c r="S967" i="14"/>
  <c r="R968" i="14"/>
  <c r="S968" i="14"/>
  <c r="R969" i="14"/>
  <c r="S969" i="14"/>
  <c r="R970" i="14"/>
  <c r="S970" i="14"/>
  <c r="R971" i="14"/>
  <c r="S971" i="14"/>
  <c r="R972" i="14"/>
  <c r="S972" i="14"/>
  <c r="R973" i="14"/>
  <c r="S973" i="14"/>
  <c r="R974" i="14"/>
  <c r="S974" i="14"/>
  <c r="R975" i="14"/>
  <c r="S975" i="14"/>
  <c r="R976" i="14"/>
  <c r="S976" i="14"/>
  <c r="R977" i="14"/>
  <c r="S977" i="14"/>
  <c r="R978" i="14"/>
  <c r="S978" i="14"/>
  <c r="R979" i="14"/>
  <c r="S979" i="14"/>
  <c r="R980" i="14"/>
  <c r="S980" i="14"/>
  <c r="R981" i="14"/>
  <c r="S981" i="14"/>
  <c r="R982" i="14"/>
  <c r="S982" i="14"/>
  <c r="R983" i="14"/>
  <c r="S983" i="14"/>
  <c r="R984" i="14"/>
  <c r="S984" i="14"/>
  <c r="R985" i="14"/>
  <c r="S985" i="14"/>
  <c r="R986" i="14"/>
  <c r="S986" i="14"/>
  <c r="R987" i="14"/>
  <c r="S987" i="14"/>
  <c r="R988" i="14"/>
  <c r="S988" i="14"/>
  <c r="R989" i="14"/>
  <c r="S989" i="14"/>
  <c r="R990" i="14"/>
  <c r="S990" i="14"/>
  <c r="R991" i="14"/>
  <c r="S991" i="14"/>
  <c r="R992" i="14"/>
  <c r="S992" i="14"/>
  <c r="R993" i="14"/>
  <c r="S993" i="14"/>
  <c r="R994" i="14"/>
  <c r="S994" i="14"/>
  <c r="R995" i="14"/>
  <c r="S995" i="14"/>
  <c r="R996" i="14"/>
  <c r="S996" i="14"/>
  <c r="R997" i="14"/>
  <c r="S997" i="14"/>
  <c r="R998" i="14"/>
  <c r="S998" i="14"/>
  <c r="R999" i="14"/>
  <c r="S999" i="14"/>
  <c r="R1000" i="14"/>
  <c r="S1000" i="14"/>
  <c r="R1001" i="14"/>
  <c r="S1001" i="14"/>
  <c r="R1002" i="14"/>
  <c r="S1002" i="14"/>
  <c r="R1003" i="14"/>
  <c r="S1003" i="14"/>
  <c r="R1004" i="14"/>
  <c r="S1004" i="14"/>
  <c r="R1005" i="14"/>
  <c r="S1005" i="14"/>
  <c r="R1006" i="14"/>
  <c r="S1006" i="14"/>
  <c r="R1007" i="14"/>
  <c r="S1007" i="14"/>
  <c r="R1008" i="14"/>
  <c r="S1008" i="14"/>
  <c r="R1009" i="14"/>
  <c r="S1009" i="14"/>
  <c r="R1010" i="14"/>
  <c r="S1010" i="14"/>
  <c r="R1011" i="14"/>
  <c r="S1011" i="14"/>
  <c r="R1012" i="14"/>
  <c r="S1012" i="14"/>
  <c r="R1013" i="14"/>
  <c r="S1013" i="14"/>
  <c r="R1014" i="14"/>
  <c r="S1014" i="14"/>
  <c r="R1015" i="14"/>
  <c r="S1015" i="14"/>
  <c r="R1016" i="14"/>
  <c r="S1016" i="14"/>
  <c r="R1017" i="14"/>
  <c r="S1017" i="14"/>
  <c r="R1018" i="14"/>
  <c r="S1018" i="14"/>
  <c r="R1019" i="14"/>
  <c r="S1019" i="14"/>
  <c r="R1020" i="14"/>
  <c r="S1020" i="14"/>
  <c r="R1021" i="14"/>
  <c r="S1021" i="14"/>
  <c r="R1022" i="14"/>
  <c r="S1022" i="14"/>
  <c r="R1023" i="14"/>
  <c r="S1023" i="14"/>
  <c r="R1024" i="14"/>
  <c r="S1024" i="14"/>
  <c r="R1025" i="14"/>
  <c r="S1025" i="14"/>
  <c r="R1026" i="14"/>
  <c r="S1026" i="14"/>
  <c r="R1027" i="14"/>
  <c r="S1027" i="14"/>
  <c r="R1028" i="14"/>
  <c r="S1028" i="14"/>
  <c r="R1029" i="14"/>
  <c r="S1029" i="14"/>
  <c r="R1030" i="14"/>
  <c r="S1030" i="14"/>
  <c r="R1031" i="14"/>
  <c r="S1031" i="14"/>
  <c r="R1032" i="14"/>
  <c r="S1032" i="14"/>
  <c r="R1033" i="14"/>
  <c r="S1033" i="14"/>
  <c r="R1034" i="14"/>
  <c r="S1034" i="14"/>
  <c r="R1035" i="14"/>
  <c r="S1035" i="14"/>
  <c r="R1036" i="14"/>
  <c r="S1036" i="14"/>
  <c r="R1037" i="14"/>
  <c r="S1037" i="14"/>
  <c r="R1038" i="14"/>
  <c r="S1038" i="14"/>
  <c r="R1039" i="14"/>
  <c r="S1039" i="14"/>
  <c r="R1040" i="14"/>
  <c r="S1040" i="14"/>
  <c r="R1041" i="14"/>
  <c r="S1041" i="14"/>
  <c r="R1042" i="14"/>
  <c r="S1042" i="14"/>
  <c r="R1043" i="14"/>
  <c r="S1043" i="14"/>
  <c r="R1044" i="14"/>
  <c r="S1044" i="14"/>
  <c r="R1045" i="14"/>
  <c r="S1045" i="14"/>
  <c r="R1046" i="14"/>
  <c r="S1046" i="14"/>
  <c r="R1047" i="14"/>
  <c r="S1047" i="14"/>
  <c r="R1048" i="14"/>
  <c r="S1048" i="14"/>
  <c r="R1049" i="14"/>
  <c r="S1049" i="14"/>
  <c r="R1050" i="14"/>
  <c r="S1050" i="14"/>
  <c r="R1051" i="14"/>
  <c r="S1051" i="14"/>
  <c r="R1052" i="14"/>
  <c r="S1052" i="14"/>
  <c r="R1053" i="14"/>
  <c r="S1053" i="14"/>
  <c r="R1054" i="14"/>
  <c r="S1054" i="14"/>
  <c r="R1055" i="14"/>
  <c r="S1055" i="14"/>
  <c r="R1056" i="14"/>
  <c r="S1056" i="14"/>
  <c r="R1057" i="14"/>
  <c r="S1057" i="14"/>
  <c r="R1058" i="14"/>
  <c r="S1058" i="14"/>
  <c r="R1059" i="14"/>
  <c r="S1059" i="14"/>
  <c r="R1060" i="14"/>
  <c r="S1060" i="14"/>
  <c r="R1061" i="14"/>
  <c r="S1061" i="14"/>
  <c r="R1062" i="14"/>
  <c r="S1062" i="14"/>
  <c r="R1063" i="14"/>
  <c r="S1063" i="14"/>
  <c r="R1064" i="14"/>
  <c r="S1064" i="14"/>
  <c r="R1065" i="14"/>
  <c r="S1065" i="14"/>
  <c r="R1066" i="14"/>
  <c r="S1066" i="14"/>
  <c r="R1067" i="14"/>
  <c r="S1067" i="14"/>
  <c r="R1068" i="14"/>
  <c r="S1068" i="14"/>
  <c r="R1069" i="14"/>
  <c r="S1069" i="14"/>
  <c r="R1070" i="14"/>
  <c r="S1070" i="14"/>
  <c r="R1071" i="14"/>
  <c r="S1071" i="14"/>
  <c r="R1072" i="14"/>
  <c r="S1072" i="14"/>
  <c r="R1073" i="14"/>
  <c r="S1073" i="14"/>
  <c r="R1074" i="14"/>
  <c r="S1074" i="14"/>
  <c r="R1075" i="14"/>
  <c r="S1075" i="14"/>
  <c r="R1076" i="14"/>
  <c r="S1076" i="14"/>
  <c r="R1077" i="14"/>
  <c r="S1077" i="14"/>
  <c r="R1078" i="14"/>
  <c r="S1078" i="14"/>
  <c r="R1079" i="14"/>
  <c r="S1079" i="14"/>
  <c r="R1080" i="14"/>
  <c r="S1080" i="14"/>
  <c r="R1081" i="14"/>
  <c r="S1081" i="14"/>
  <c r="R1082" i="14"/>
  <c r="S1082" i="14"/>
  <c r="R1083" i="14"/>
  <c r="S1083" i="14"/>
  <c r="R1084" i="14"/>
  <c r="S1084" i="14"/>
  <c r="R1085" i="14"/>
  <c r="S1085" i="14"/>
  <c r="R1086" i="14"/>
  <c r="S1086" i="14"/>
  <c r="R1087" i="14"/>
  <c r="S1087" i="14"/>
  <c r="R1088" i="14"/>
  <c r="S1088" i="14"/>
  <c r="R1089" i="14"/>
  <c r="S1089" i="14"/>
  <c r="R1090" i="14"/>
  <c r="S1090" i="14"/>
  <c r="R1091" i="14"/>
  <c r="S1091" i="14"/>
  <c r="R1092" i="14"/>
  <c r="S1092" i="14"/>
  <c r="R1093" i="14"/>
  <c r="S1093" i="14"/>
  <c r="R1094" i="14"/>
  <c r="S1094" i="14"/>
  <c r="R1095" i="14"/>
  <c r="S1095" i="14"/>
  <c r="R1096" i="14"/>
  <c r="S1096" i="14"/>
  <c r="R1097" i="14"/>
  <c r="S1097" i="14"/>
  <c r="R1098" i="14"/>
  <c r="S1098" i="14"/>
  <c r="R1099" i="14"/>
  <c r="S1099" i="14"/>
  <c r="R1100" i="14"/>
  <c r="S1100" i="14"/>
  <c r="R1101" i="14"/>
  <c r="S1101" i="14"/>
  <c r="R1102" i="14"/>
  <c r="S1102" i="14"/>
  <c r="R1103" i="14"/>
  <c r="S1103" i="14"/>
  <c r="R1104" i="14"/>
  <c r="S1104" i="14"/>
  <c r="R1105" i="14"/>
  <c r="S1105" i="14"/>
  <c r="R1106" i="14"/>
  <c r="S1106" i="14"/>
  <c r="R1107" i="14"/>
  <c r="S1107" i="14"/>
  <c r="R1108" i="14"/>
  <c r="S1108" i="14"/>
  <c r="R1109" i="14"/>
  <c r="S1109" i="14"/>
  <c r="R1110" i="14"/>
  <c r="S1110" i="14"/>
  <c r="R1111" i="14"/>
  <c r="S1111" i="14"/>
  <c r="R1112" i="14"/>
  <c r="S1112" i="14"/>
  <c r="R1113" i="14"/>
  <c r="S1113" i="14"/>
  <c r="R1114" i="14"/>
  <c r="S1114" i="14"/>
  <c r="R1115" i="14"/>
  <c r="S1115" i="14"/>
  <c r="R1116" i="14"/>
  <c r="S1116" i="14"/>
  <c r="R1117" i="14"/>
  <c r="S1117" i="14"/>
  <c r="R1118" i="14"/>
  <c r="S1118" i="14"/>
  <c r="R1119" i="14"/>
  <c r="S1119" i="14"/>
  <c r="R1120" i="14"/>
  <c r="S1120" i="14"/>
  <c r="R1121" i="14"/>
  <c r="S1121" i="14"/>
  <c r="R1122" i="14"/>
  <c r="S1122" i="14"/>
  <c r="R1123" i="14"/>
  <c r="S1123" i="14"/>
  <c r="R1124" i="14"/>
  <c r="S1124" i="14"/>
  <c r="R1125" i="14"/>
  <c r="S1125" i="14"/>
  <c r="R1126" i="14"/>
  <c r="S1126" i="14"/>
  <c r="R1127" i="14"/>
  <c r="S1127" i="14"/>
  <c r="R1128" i="14"/>
  <c r="S1128" i="14"/>
  <c r="R1129" i="14"/>
  <c r="S1129" i="14"/>
  <c r="R1130" i="14"/>
  <c r="S1130" i="14"/>
  <c r="R1131" i="14"/>
  <c r="S1131" i="14"/>
  <c r="R1132" i="14"/>
  <c r="S1132" i="14"/>
  <c r="R1133" i="14"/>
  <c r="S1133" i="14"/>
  <c r="R1134" i="14"/>
  <c r="S1134" i="14"/>
  <c r="R1135" i="14"/>
  <c r="S1135" i="14"/>
  <c r="R1136" i="14"/>
  <c r="S1136" i="14"/>
  <c r="R1137" i="14"/>
  <c r="S1137" i="14"/>
  <c r="R1138" i="14"/>
  <c r="S1138" i="14"/>
  <c r="R1139" i="14"/>
  <c r="S1139" i="14"/>
  <c r="R1140" i="14"/>
  <c r="S1140" i="14"/>
  <c r="R1141" i="14"/>
  <c r="S1141" i="14"/>
  <c r="R1142" i="14"/>
  <c r="S1142" i="14"/>
  <c r="R1143" i="14"/>
  <c r="S1143" i="14"/>
  <c r="R1144" i="14"/>
  <c r="S1144" i="14"/>
  <c r="R1145" i="14"/>
  <c r="S1145" i="14"/>
  <c r="R1146" i="14"/>
  <c r="S1146" i="14"/>
  <c r="R1147" i="14"/>
  <c r="S1147" i="14"/>
  <c r="R1148" i="14"/>
  <c r="S1148" i="14"/>
  <c r="R1149" i="14"/>
  <c r="S1149" i="14"/>
  <c r="R1150" i="14"/>
  <c r="S1150" i="14"/>
  <c r="R1151" i="14"/>
  <c r="S1151" i="14"/>
  <c r="R1152" i="14"/>
  <c r="S1152" i="14"/>
  <c r="R1153" i="14"/>
  <c r="S1153" i="14"/>
  <c r="R1154" i="14"/>
  <c r="S1154" i="14"/>
  <c r="R1155" i="14"/>
  <c r="S1155" i="14"/>
  <c r="R1156" i="14"/>
  <c r="S1156" i="14"/>
  <c r="R1157" i="14"/>
  <c r="S1157" i="14"/>
  <c r="R1158" i="14"/>
  <c r="S1158" i="14"/>
  <c r="R1159" i="14"/>
  <c r="S1159" i="14"/>
  <c r="R1160" i="14"/>
  <c r="S1160" i="14"/>
  <c r="R1161" i="14"/>
  <c r="S1161" i="14"/>
  <c r="R1162" i="14"/>
  <c r="S1162" i="14"/>
  <c r="R1163" i="14"/>
  <c r="S1163" i="14"/>
  <c r="R1164" i="14"/>
  <c r="S1164" i="14"/>
  <c r="R1165" i="14"/>
  <c r="S1165" i="14"/>
  <c r="R1166" i="14"/>
  <c r="S1166" i="14"/>
  <c r="R1167" i="14"/>
  <c r="S1167" i="14"/>
  <c r="R1168" i="14"/>
  <c r="S1168" i="14"/>
  <c r="R1169" i="14"/>
  <c r="S1169" i="14"/>
  <c r="R1170" i="14"/>
  <c r="S1170" i="14"/>
  <c r="R1171" i="14"/>
  <c r="S1171" i="14"/>
  <c r="R1172" i="14"/>
  <c r="S1172" i="14"/>
  <c r="R1173" i="14"/>
  <c r="S1173" i="14"/>
  <c r="R1174" i="14"/>
  <c r="S1174" i="14"/>
  <c r="R1175" i="14"/>
  <c r="S1175" i="14"/>
  <c r="R1176" i="14"/>
  <c r="S1176" i="14"/>
  <c r="R1177" i="14"/>
  <c r="S1177" i="14"/>
  <c r="R1178" i="14"/>
  <c r="S1178" i="14"/>
  <c r="R1179" i="14"/>
  <c r="S1179" i="14"/>
  <c r="R1180" i="14"/>
  <c r="S1180" i="14"/>
  <c r="R1181" i="14"/>
  <c r="S1181" i="14"/>
  <c r="R1182" i="14"/>
  <c r="S1182" i="14"/>
  <c r="R1183" i="14"/>
  <c r="S1183" i="14"/>
  <c r="R1184" i="14"/>
  <c r="S1184" i="14"/>
  <c r="R1185" i="14"/>
  <c r="S1185" i="14"/>
  <c r="R1186" i="14"/>
  <c r="S1186" i="14"/>
  <c r="R1187" i="14"/>
  <c r="S1187" i="14"/>
  <c r="R1188" i="14"/>
  <c r="S1188" i="14"/>
  <c r="R1189" i="14"/>
  <c r="S1189" i="14"/>
  <c r="R1190" i="14"/>
  <c r="S1190" i="14"/>
  <c r="R1191" i="14"/>
  <c r="S1191" i="14"/>
  <c r="R1192" i="14"/>
  <c r="S1192" i="14"/>
  <c r="R1193" i="14"/>
  <c r="S1193" i="14"/>
  <c r="R1194" i="14"/>
  <c r="S1194" i="14"/>
  <c r="R1195" i="14"/>
  <c r="S1195" i="14"/>
  <c r="R1196" i="14"/>
  <c r="S1196" i="14"/>
  <c r="R1197" i="14"/>
  <c r="S1197" i="14"/>
  <c r="R1198" i="14"/>
  <c r="S1198" i="14"/>
  <c r="R1199" i="14"/>
  <c r="S1199" i="14"/>
  <c r="R1200" i="14"/>
  <c r="S1200" i="14"/>
  <c r="R1201" i="14"/>
  <c r="S1201" i="14"/>
  <c r="R1202" i="14"/>
  <c r="S1202" i="14"/>
  <c r="R1203" i="14"/>
  <c r="S1203" i="14"/>
  <c r="R1204" i="14"/>
  <c r="S1204" i="14"/>
  <c r="R1205" i="14"/>
  <c r="S1205" i="14"/>
  <c r="R1206" i="14"/>
  <c r="S1206" i="14"/>
  <c r="R1207" i="14"/>
  <c r="S1207" i="14"/>
  <c r="R1208" i="14"/>
  <c r="S1208" i="14"/>
  <c r="R1209" i="14"/>
  <c r="S1209" i="14"/>
  <c r="R1210" i="14"/>
  <c r="S1210" i="14"/>
  <c r="R1211" i="14"/>
  <c r="S1211" i="14"/>
  <c r="R1212" i="14"/>
  <c r="S1212" i="14"/>
  <c r="R1213" i="14"/>
  <c r="S1213" i="14"/>
  <c r="R1214" i="14"/>
  <c r="S1214" i="14"/>
  <c r="R1215" i="14"/>
  <c r="S1215" i="14"/>
  <c r="R1216" i="14"/>
  <c r="S1216" i="14"/>
  <c r="R1217" i="14"/>
  <c r="S1217" i="14"/>
  <c r="R1218" i="14"/>
  <c r="S1218" i="14"/>
  <c r="R1219" i="14"/>
  <c r="S1219" i="14"/>
  <c r="R1220" i="14"/>
  <c r="S1220" i="14"/>
  <c r="R1221" i="14"/>
  <c r="S1221" i="14"/>
  <c r="R1222" i="14"/>
  <c r="S1222" i="14"/>
  <c r="R1223" i="14"/>
  <c r="S1223" i="14"/>
  <c r="R1224" i="14"/>
  <c r="S1224" i="14"/>
  <c r="R1225" i="14"/>
  <c r="S1225" i="14"/>
  <c r="R1226" i="14"/>
  <c r="S1226" i="14"/>
  <c r="R1227" i="14"/>
  <c r="S1227" i="14"/>
  <c r="R1228" i="14"/>
  <c r="S1228" i="14"/>
  <c r="R1229" i="14"/>
  <c r="S1229" i="14"/>
  <c r="R1230" i="14"/>
  <c r="S1230" i="14"/>
  <c r="R1231" i="14"/>
  <c r="S1231" i="14"/>
  <c r="R1232" i="14"/>
  <c r="S1232" i="14"/>
  <c r="R1233" i="14"/>
  <c r="S1233" i="14"/>
  <c r="R1234" i="14"/>
  <c r="S1234" i="14"/>
  <c r="R1235" i="14"/>
  <c r="S1235" i="14"/>
  <c r="R1236" i="14"/>
  <c r="S1236" i="14"/>
  <c r="R1237" i="14"/>
  <c r="S1237" i="14"/>
  <c r="R1238" i="14"/>
  <c r="S1238" i="14"/>
  <c r="R1239" i="14"/>
  <c r="S1239" i="14"/>
  <c r="R1240" i="14"/>
  <c r="S1240" i="14"/>
  <c r="R1241" i="14"/>
  <c r="S1241" i="14"/>
  <c r="R1242" i="14"/>
  <c r="S1242" i="14"/>
  <c r="R1243" i="14"/>
  <c r="S1243" i="14"/>
  <c r="R1244" i="14"/>
  <c r="S1244" i="14"/>
  <c r="R1245" i="14"/>
  <c r="S1245" i="14"/>
  <c r="R1246" i="14"/>
  <c r="S1246" i="14"/>
  <c r="R1247" i="14"/>
  <c r="S1247" i="14"/>
  <c r="R1248" i="14"/>
  <c r="S1248" i="14"/>
  <c r="R1249" i="14"/>
  <c r="S1249" i="14"/>
  <c r="R1250" i="14"/>
  <c r="S1250" i="14"/>
  <c r="R1251" i="14"/>
  <c r="S1251" i="14"/>
  <c r="R1252" i="14"/>
  <c r="S1252" i="14"/>
  <c r="R1253" i="14"/>
  <c r="S1253" i="14"/>
  <c r="R1254" i="14"/>
  <c r="S1254" i="14"/>
  <c r="R1255" i="14"/>
  <c r="S1255" i="14"/>
  <c r="R1256" i="14"/>
  <c r="S1256" i="14"/>
  <c r="R1257" i="14"/>
  <c r="S1257" i="14"/>
  <c r="R1258" i="14"/>
  <c r="S1258" i="14"/>
  <c r="R1259" i="14"/>
  <c r="S1259" i="14"/>
  <c r="R1260" i="14"/>
  <c r="S1260" i="14"/>
  <c r="R1261" i="14"/>
  <c r="S1261" i="14"/>
  <c r="R1262" i="14"/>
  <c r="S1262" i="14"/>
  <c r="R1263" i="14"/>
  <c r="S1263" i="14"/>
  <c r="R1264" i="14"/>
  <c r="S1264" i="14"/>
  <c r="R1265" i="14"/>
  <c r="S1265" i="14"/>
  <c r="R1266" i="14"/>
  <c r="S1266" i="14"/>
  <c r="R1267" i="14"/>
  <c r="S1267" i="14"/>
  <c r="R1268" i="14"/>
  <c r="S1268" i="14"/>
  <c r="R1269" i="14"/>
  <c r="S1269" i="14"/>
  <c r="R1270" i="14"/>
  <c r="S1270" i="14"/>
  <c r="R1271" i="14"/>
  <c r="S1271" i="14"/>
  <c r="R1272" i="14"/>
  <c r="S1272" i="14"/>
  <c r="R1273" i="14"/>
  <c r="S1273" i="14"/>
  <c r="R1274" i="14"/>
  <c r="S1274" i="14"/>
  <c r="R1275" i="14"/>
  <c r="S1275" i="14"/>
  <c r="R1276" i="14"/>
  <c r="S1276" i="14"/>
  <c r="R1277" i="14"/>
  <c r="S1277" i="14"/>
  <c r="R1278" i="14"/>
  <c r="S1278" i="14"/>
  <c r="R1279" i="14"/>
  <c r="S1279" i="14"/>
  <c r="R1280" i="14"/>
  <c r="S1280" i="14"/>
  <c r="R1281" i="14"/>
  <c r="S1281" i="14"/>
  <c r="R1282" i="14"/>
  <c r="S1282" i="14"/>
  <c r="R1283" i="14"/>
  <c r="S1283" i="14"/>
  <c r="R1284" i="14"/>
  <c r="S1284" i="14"/>
  <c r="R1285" i="14"/>
  <c r="S1285" i="14"/>
  <c r="R1286" i="14"/>
  <c r="S1286" i="14"/>
  <c r="R1287" i="14"/>
  <c r="S1287" i="14"/>
  <c r="R1288" i="14"/>
  <c r="S1288" i="14"/>
  <c r="R1289" i="14"/>
  <c r="S1289" i="14"/>
  <c r="R1290" i="14"/>
  <c r="S1290" i="14"/>
  <c r="R1291" i="14"/>
  <c r="S1291" i="14"/>
  <c r="R1292" i="14"/>
  <c r="S1292" i="14"/>
  <c r="R1293" i="14"/>
  <c r="S1293" i="14"/>
  <c r="R1294" i="14"/>
  <c r="S1294" i="14"/>
  <c r="R1295" i="14"/>
  <c r="S1295" i="14"/>
  <c r="R1296" i="14"/>
  <c r="S1296" i="14"/>
  <c r="R1297" i="14"/>
  <c r="S1297" i="14"/>
  <c r="R1298" i="14"/>
  <c r="S1298" i="14"/>
  <c r="R1299" i="14"/>
  <c r="S1299" i="14"/>
  <c r="R1300" i="14"/>
  <c r="S1300" i="14"/>
  <c r="R1301" i="14"/>
  <c r="S1301" i="14"/>
  <c r="R1302" i="14"/>
  <c r="S1302" i="14"/>
  <c r="R1303" i="14"/>
  <c r="S1303" i="14"/>
  <c r="R1304" i="14"/>
  <c r="S1304" i="14"/>
  <c r="R1305" i="14"/>
  <c r="S1305" i="14"/>
  <c r="R1306" i="14"/>
  <c r="S1306" i="14"/>
  <c r="R1307" i="14"/>
  <c r="S1307" i="14"/>
  <c r="R1308" i="14"/>
  <c r="S1308" i="14"/>
  <c r="R1309" i="14"/>
  <c r="S1309" i="14"/>
  <c r="R1310" i="14"/>
  <c r="S1310" i="14"/>
  <c r="R1311" i="14"/>
  <c r="S1311" i="14"/>
  <c r="R1312" i="14"/>
  <c r="S1312" i="14"/>
  <c r="R1313" i="14"/>
  <c r="S1313" i="14"/>
  <c r="R1314" i="14"/>
  <c r="S1314" i="14"/>
  <c r="R1315" i="14"/>
  <c r="S1315" i="14"/>
  <c r="R1316" i="14"/>
  <c r="S1316" i="14"/>
  <c r="R1317" i="14"/>
  <c r="S1317" i="14"/>
  <c r="R1318" i="14"/>
  <c r="S1318" i="14"/>
  <c r="R1319" i="14"/>
  <c r="S1319" i="14"/>
  <c r="R1320" i="14"/>
  <c r="S1320" i="14"/>
  <c r="R1321" i="14"/>
  <c r="S1321" i="14"/>
  <c r="R1322" i="14"/>
  <c r="S1322" i="14"/>
  <c r="R1323" i="14"/>
  <c r="S1323" i="14"/>
  <c r="R1324" i="14"/>
  <c r="S1324" i="14"/>
  <c r="R1325" i="14"/>
  <c r="S1325" i="14"/>
  <c r="R1326" i="14"/>
  <c r="S1326" i="14"/>
  <c r="R1327" i="14"/>
  <c r="S1327" i="14"/>
  <c r="R1328" i="14"/>
  <c r="S1328" i="14"/>
  <c r="R1329" i="14"/>
  <c r="S1329" i="14"/>
  <c r="R1330" i="14"/>
  <c r="S1330" i="14"/>
  <c r="R1331" i="14"/>
  <c r="S1331" i="14"/>
  <c r="R1332" i="14"/>
  <c r="S1332" i="14"/>
  <c r="R1333" i="14"/>
  <c r="S1333" i="14"/>
  <c r="R1334" i="14"/>
  <c r="S1334" i="14"/>
  <c r="R1335" i="14"/>
  <c r="S1335" i="14"/>
  <c r="R1336" i="14"/>
  <c r="S1336" i="14"/>
  <c r="R1337" i="14"/>
  <c r="S1337" i="14"/>
  <c r="R1338" i="14"/>
  <c r="S1338" i="14"/>
  <c r="R1339" i="14"/>
  <c r="S1339" i="14"/>
  <c r="R1340" i="14"/>
  <c r="S1340" i="14"/>
  <c r="R1341" i="14"/>
  <c r="S1341" i="14"/>
  <c r="R1342" i="14"/>
  <c r="S1342" i="14"/>
  <c r="R1343" i="14"/>
  <c r="S1343" i="14"/>
  <c r="R1344" i="14"/>
  <c r="S1344" i="14"/>
  <c r="R1345" i="14"/>
  <c r="S1345" i="14"/>
  <c r="R1346" i="14"/>
  <c r="S1346" i="14"/>
  <c r="R1347" i="14"/>
  <c r="S1347" i="14"/>
  <c r="R1348" i="14"/>
  <c r="S1348" i="14"/>
  <c r="R1349" i="14"/>
  <c r="S1349" i="14"/>
  <c r="R1350" i="14"/>
  <c r="S1350" i="14"/>
  <c r="R1351" i="14"/>
  <c r="S1351" i="14"/>
  <c r="R1352" i="14"/>
  <c r="S1352" i="14"/>
  <c r="R1353" i="14"/>
  <c r="S1353" i="14"/>
  <c r="R1354" i="14"/>
  <c r="S1354" i="14"/>
  <c r="R1355" i="14"/>
  <c r="S1355" i="14"/>
  <c r="R1356" i="14"/>
  <c r="S1356" i="14"/>
  <c r="R1358" i="14"/>
  <c r="S1358" i="14"/>
  <c r="R1359" i="14"/>
  <c r="S1359" i="14"/>
  <c r="R1360" i="14"/>
  <c r="S1360" i="14"/>
  <c r="R1361" i="14"/>
  <c r="S1361" i="14"/>
  <c r="R1362" i="14"/>
  <c r="S1362" i="14"/>
  <c r="R1363" i="14"/>
  <c r="S1363" i="14"/>
  <c r="R1364" i="14"/>
  <c r="S1364" i="14"/>
  <c r="R1365" i="14"/>
  <c r="S1365" i="14"/>
  <c r="R1366" i="14"/>
  <c r="S1366" i="14"/>
  <c r="R1367" i="14"/>
  <c r="S1367" i="14"/>
  <c r="R1368" i="14"/>
  <c r="S1368" i="14"/>
  <c r="R1369" i="14"/>
  <c r="S1369" i="14"/>
  <c r="R1370" i="14"/>
  <c r="S1370" i="14"/>
  <c r="R1371" i="14"/>
  <c r="S1371" i="14"/>
  <c r="R1372" i="14"/>
  <c r="S1372" i="14"/>
  <c r="R1373" i="14"/>
  <c r="S1373" i="14"/>
  <c r="R1374" i="14"/>
  <c r="S1374" i="14"/>
  <c r="R1375" i="14"/>
  <c r="S1375" i="14"/>
  <c r="R1376" i="14"/>
  <c r="S1376" i="14"/>
  <c r="R1377" i="14"/>
  <c r="S1377" i="14"/>
  <c r="R1378" i="14"/>
  <c r="S1378" i="14"/>
  <c r="R1379" i="14"/>
  <c r="S1379" i="14"/>
  <c r="R1380" i="14"/>
  <c r="S1380" i="14"/>
  <c r="R1381" i="14"/>
  <c r="S1381" i="14"/>
  <c r="R1382" i="14"/>
  <c r="S1382" i="14"/>
  <c r="R1383" i="14"/>
  <c r="S1383" i="14"/>
  <c r="R1384" i="14"/>
  <c r="S1384" i="14"/>
  <c r="R1385" i="14"/>
  <c r="S1385" i="14"/>
  <c r="R1386" i="14"/>
  <c r="S1386" i="14"/>
  <c r="R1387" i="14"/>
  <c r="S1387" i="14"/>
  <c r="R1388" i="14"/>
  <c r="S1388" i="14"/>
  <c r="R1389" i="14"/>
  <c r="S1389" i="14"/>
  <c r="R1390" i="14"/>
  <c r="S1390" i="14"/>
  <c r="R1391" i="14"/>
  <c r="S1391" i="14"/>
  <c r="R1392" i="14"/>
  <c r="S1392" i="14"/>
  <c r="R1393" i="14"/>
  <c r="S1393" i="14"/>
  <c r="R1394" i="14"/>
  <c r="S1394" i="14"/>
  <c r="R1395" i="14"/>
  <c r="S1395" i="14"/>
  <c r="R1396" i="14"/>
  <c r="S1396" i="14"/>
  <c r="R1397" i="14"/>
  <c r="S1397" i="14"/>
  <c r="R1398" i="14"/>
  <c r="S1398" i="14"/>
  <c r="R1399" i="14"/>
  <c r="S1399" i="14"/>
  <c r="R1400" i="14"/>
  <c r="S1400" i="14"/>
  <c r="R1401" i="14"/>
  <c r="S1401" i="14"/>
  <c r="R1402" i="14"/>
  <c r="S1402" i="14"/>
  <c r="R1403" i="14"/>
  <c r="S1403" i="14"/>
  <c r="R1404" i="14"/>
  <c r="S1404" i="14"/>
  <c r="R1405" i="14"/>
  <c r="S1405" i="14"/>
  <c r="R1406" i="14"/>
  <c r="S1406" i="14"/>
  <c r="R1407" i="14"/>
  <c r="S1407" i="14"/>
  <c r="R1408" i="14"/>
  <c r="S1408" i="14"/>
  <c r="R1409" i="14"/>
  <c r="S1409" i="14"/>
  <c r="R1410" i="14"/>
  <c r="S1410" i="14"/>
  <c r="R1411" i="14"/>
  <c r="S1411" i="14"/>
  <c r="R1412" i="14"/>
  <c r="S1412" i="14"/>
  <c r="R1413" i="14"/>
  <c r="S1413" i="14"/>
  <c r="R1414" i="14"/>
  <c r="S1414" i="14"/>
  <c r="R1415" i="14"/>
  <c r="S1415" i="14"/>
  <c r="R1416" i="14"/>
  <c r="S1416" i="14"/>
  <c r="R1417" i="14"/>
  <c r="S1417" i="14"/>
  <c r="R1418" i="14"/>
  <c r="S1418" i="14"/>
  <c r="R1419" i="14"/>
  <c r="S1419" i="14"/>
  <c r="R1420" i="14"/>
  <c r="S1420" i="14"/>
  <c r="R1421" i="14"/>
  <c r="S1421" i="14"/>
  <c r="R1422" i="14"/>
  <c r="S1422" i="14"/>
  <c r="R1423" i="14"/>
  <c r="S1423" i="14"/>
  <c r="R1424" i="14"/>
  <c r="S1424" i="14"/>
  <c r="R1425" i="14"/>
  <c r="S1425" i="14"/>
  <c r="R1426" i="14"/>
  <c r="S1426" i="14"/>
  <c r="R1427" i="14"/>
  <c r="S1427" i="14"/>
  <c r="R1428" i="14"/>
  <c r="S1428" i="14"/>
  <c r="R1429" i="14"/>
  <c r="S1429" i="14"/>
  <c r="R1430" i="14"/>
  <c r="S1430" i="14"/>
  <c r="R1431" i="14"/>
  <c r="S1431" i="14"/>
  <c r="R1432" i="14"/>
  <c r="S1432" i="14"/>
  <c r="R1433" i="14"/>
  <c r="S1433" i="14"/>
  <c r="R1434" i="14"/>
  <c r="S1434" i="14"/>
  <c r="R1435" i="14"/>
  <c r="S1435" i="14"/>
  <c r="R1436" i="14"/>
  <c r="S1436" i="14"/>
  <c r="R1437" i="14"/>
  <c r="S1437" i="14"/>
  <c r="R1438" i="14"/>
  <c r="S1438" i="14"/>
  <c r="R1439" i="14"/>
  <c r="S1439" i="14"/>
  <c r="R1440" i="14"/>
  <c r="S1440" i="14"/>
  <c r="R1441" i="14"/>
  <c r="S1441" i="14"/>
  <c r="R1442" i="14"/>
  <c r="S1442" i="14"/>
  <c r="R1443" i="14"/>
  <c r="S1443" i="14"/>
  <c r="R1444" i="14"/>
  <c r="S1444" i="14"/>
  <c r="R1445" i="14"/>
  <c r="S1445" i="14"/>
  <c r="R1446" i="14"/>
  <c r="S1446" i="14"/>
  <c r="R1447" i="14"/>
  <c r="S1447" i="14"/>
  <c r="R1448" i="14"/>
  <c r="S1448" i="14"/>
  <c r="R1449" i="14"/>
  <c r="S1449" i="14"/>
  <c r="R1450" i="14"/>
  <c r="S1450" i="14"/>
  <c r="R1451" i="14"/>
  <c r="S1451" i="14"/>
  <c r="R1452" i="14"/>
  <c r="S1452" i="14"/>
  <c r="R1453" i="14"/>
  <c r="S1453" i="14"/>
  <c r="R1454" i="14"/>
  <c r="S1454" i="14"/>
  <c r="R1455" i="14"/>
  <c r="S1455" i="14"/>
  <c r="R1456" i="14"/>
  <c r="S1456" i="14"/>
  <c r="R1457" i="14"/>
  <c r="S1457" i="14"/>
  <c r="R1458" i="14"/>
  <c r="S1458" i="14"/>
  <c r="R1459" i="14"/>
  <c r="S1459" i="14"/>
  <c r="R1460" i="14"/>
  <c r="S1460" i="14"/>
  <c r="R1461" i="14"/>
  <c r="S1461" i="14"/>
  <c r="R1462" i="14"/>
  <c r="S1462" i="14"/>
  <c r="R1463" i="14"/>
  <c r="S1463" i="14"/>
  <c r="R1464" i="14"/>
  <c r="S1464" i="14"/>
  <c r="R1465" i="14"/>
  <c r="S1465" i="14"/>
  <c r="R1466" i="14"/>
  <c r="S1466" i="14"/>
  <c r="R1467" i="14"/>
  <c r="S1467" i="14"/>
  <c r="R1468" i="14"/>
  <c r="S1468" i="14"/>
  <c r="R1469" i="14"/>
  <c r="S1469" i="14"/>
  <c r="R1470" i="14"/>
  <c r="S1470" i="14"/>
  <c r="R1471" i="14"/>
  <c r="S1471" i="14"/>
  <c r="R1472" i="14"/>
  <c r="S1472" i="14"/>
  <c r="R1473" i="14"/>
  <c r="S1473" i="14"/>
  <c r="R1474" i="14"/>
  <c r="S1474" i="14"/>
  <c r="R1475" i="14"/>
  <c r="S1475" i="14"/>
  <c r="R1476" i="14"/>
  <c r="S1476" i="14"/>
  <c r="R1477" i="14"/>
  <c r="S1477" i="14"/>
  <c r="R1478" i="14"/>
  <c r="S1478" i="14"/>
  <c r="R1479" i="14"/>
  <c r="S1479" i="14"/>
  <c r="R1480" i="14"/>
  <c r="S1480" i="14"/>
  <c r="R1481" i="14"/>
  <c r="S1481" i="14"/>
  <c r="R1482" i="14"/>
  <c r="S1482" i="14"/>
  <c r="R1483" i="14"/>
  <c r="S1483" i="14"/>
  <c r="R1484" i="14"/>
  <c r="S1484" i="14"/>
  <c r="R1485" i="14"/>
  <c r="S1485" i="14"/>
  <c r="R1486" i="14"/>
  <c r="S1486" i="14"/>
  <c r="R1487" i="14"/>
  <c r="S1487" i="14"/>
  <c r="R1488" i="14"/>
  <c r="S1488" i="14"/>
  <c r="R1489" i="14"/>
  <c r="S1489" i="14"/>
  <c r="R1490" i="14"/>
  <c r="S1490" i="14"/>
  <c r="R1491" i="14"/>
  <c r="S1491" i="14"/>
  <c r="R1492" i="14"/>
  <c r="S1492" i="14"/>
  <c r="R1493" i="14"/>
  <c r="S1493" i="14"/>
  <c r="R1494" i="14"/>
  <c r="S1494" i="14"/>
  <c r="R1495" i="14"/>
  <c r="S1495" i="14"/>
  <c r="R1496" i="14"/>
  <c r="S1496" i="14"/>
  <c r="R1497" i="14"/>
  <c r="S1497" i="14"/>
  <c r="R1498" i="14"/>
  <c r="S1498" i="14"/>
  <c r="R1499" i="14"/>
  <c r="S1499" i="14"/>
  <c r="R1500" i="14"/>
  <c r="S1500" i="14"/>
  <c r="C26" i="4"/>
  <c r="C28" i="4"/>
  <c r="C29" i="4"/>
  <c r="C35" i="4"/>
  <c r="C36" i="4"/>
  <c r="C37" i="4"/>
  <c r="C38" i="4"/>
  <c r="C39" i="4"/>
  <c r="C40" i="4"/>
  <c r="C41" i="4"/>
  <c r="C42" i="4"/>
  <c r="C43" i="4"/>
  <c r="C45" i="4"/>
  <c r="C46" i="4"/>
  <c r="C48" i="4"/>
  <c r="C49" i="4"/>
  <c r="C50" i="4"/>
  <c r="C51" i="4"/>
  <c r="C53" i="4"/>
  <c r="C54" i="4"/>
  <c r="C55" i="4"/>
  <c r="C56" i="4"/>
  <c r="C57" i="4"/>
  <c r="C79" i="4"/>
  <c r="C81" i="4"/>
  <c r="C82" i="4"/>
  <c r="C83" i="4"/>
  <c r="C84" i="4"/>
  <c r="C85" i="4"/>
  <c r="C86" i="4"/>
  <c r="C87" i="4"/>
  <c r="C88" i="4"/>
  <c r="C89" i="4"/>
  <c r="B90" i="4"/>
  <c r="C90" i="4"/>
  <c r="B91" i="4"/>
  <c r="B92" i="4"/>
  <c r="C92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B128" i="4"/>
  <c r="C128" i="4"/>
  <c r="B129" i="4"/>
  <c r="C129" i="4"/>
  <c r="B130" i="4"/>
  <c r="B132" i="4"/>
  <c r="C132" i="4"/>
  <c r="B133" i="4"/>
  <c r="C133" i="4"/>
  <c r="B134" i="4"/>
  <c r="C134" i="4"/>
  <c r="B135" i="4"/>
  <c r="B136" i="4"/>
  <c r="C136" i="4"/>
  <c r="B137" i="4"/>
  <c r="C137" i="4"/>
  <c r="B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B153" i="4"/>
  <c r="C153" i="4"/>
  <c r="B154" i="4"/>
  <c r="M152" i="14"/>
  <c r="C154" i="4" s="1"/>
  <c r="B155" i="4"/>
  <c r="M153" i="14"/>
  <c r="C155" i="4" s="1"/>
  <c r="B156" i="4"/>
  <c r="M154" i="14"/>
  <c r="C156" i="4" s="1"/>
  <c r="B157" i="4"/>
  <c r="M155" i="14"/>
  <c r="C157" i="4" s="1"/>
  <c r="B158" i="4"/>
  <c r="M156" i="14"/>
  <c r="C158" i="4" s="1"/>
  <c r="L157" i="14"/>
  <c r="B159" i="4" s="1"/>
  <c r="M157" i="14"/>
  <c r="C159" i="4" s="1"/>
  <c r="L158" i="14"/>
  <c r="B160" i="4" s="1"/>
  <c r="M158" i="14"/>
  <c r="C160" i="4" s="1"/>
  <c r="L159" i="14"/>
  <c r="B161" i="4" s="1"/>
  <c r="M159" i="14"/>
  <c r="C161" i="4" s="1"/>
  <c r="L160" i="14"/>
  <c r="B162" i="4" s="1"/>
  <c r="M160" i="14"/>
  <c r="C162" i="4" s="1"/>
  <c r="L161" i="14"/>
  <c r="B163" i="4" s="1"/>
  <c r="M161" i="14"/>
  <c r="C163" i="4" s="1"/>
  <c r="L162" i="14"/>
  <c r="B164" i="4" s="1"/>
  <c r="M162" i="14"/>
  <c r="C164" i="4" s="1"/>
  <c r="L163" i="14"/>
  <c r="B165" i="4" s="1"/>
  <c r="M163" i="14"/>
  <c r="C165" i="4" s="1"/>
  <c r="L164" i="14"/>
  <c r="B166" i="4" s="1"/>
  <c r="M164" i="14"/>
  <c r="C166" i="4" s="1"/>
  <c r="L165" i="14"/>
  <c r="B167" i="4" s="1"/>
  <c r="M165" i="14"/>
  <c r="C167" i="4" s="1"/>
  <c r="L166" i="14"/>
  <c r="B168" i="4" s="1"/>
  <c r="M166" i="14"/>
  <c r="C168" i="4" s="1"/>
  <c r="L167" i="14"/>
  <c r="B169" i="4" s="1"/>
  <c r="M167" i="14"/>
  <c r="C169" i="4" s="1"/>
  <c r="L168" i="14"/>
  <c r="B170" i="4" s="1"/>
  <c r="M168" i="14"/>
  <c r="C170" i="4" s="1"/>
  <c r="L169" i="14"/>
  <c r="B171" i="4" s="1"/>
  <c r="M169" i="14"/>
  <c r="C171" i="4" s="1"/>
  <c r="L170" i="14"/>
  <c r="B172" i="4" s="1"/>
  <c r="M170" i="14"/>
  <c r="C172" i="4" s="1"/>
  <c r="L171" i="14"/>
  <c r="B173" i="4" s="1"/>
  <c r="M171" i="14"/>
  <c r="C173" i="4" s="1"/>
  <c r="L172" i="14"/>
  <c r="B174" i="4" s="1"/>
  <c r="M172" i="14"/>
  <c r="C174" i="4" s="1"/>
  <c r="L173" i="14"/>
  <c r="B175" i="4" s="1"/>
  <c r="M173" i="14"/>
  <c r="C175" i="4" s="1"/>
  <c r="L174" i="14"/>
  <c r="B176" i="4" s="1"/>
  <c r="M174" i="14"/>
  <c r="C176" i="4" s="1"/>
  <c r="L175" i="14"/>
  <c r="B177" i="4" s="1"/>
  <c r="M175" i="14"/>
  <c r="C177" i="4" s="1"/>
  <c r="L176" i="14"/>
  <c r="B178" i="4" s="1"/>
  <c r="M176" i="14"/>
  <c r="C178" i="4" s="1"/>
  <c r="L177" i="14"/>
  <c r="B179" i="4" s="1"/>
  <c r="M177" i="14"/>
  <c r="C179" i="4" s="1"/>
  <c r="L178" i="14"/>
  <c r="B180" i="4" s="1"/>
  <c r="M178" i="14"/>
  <c r="C180" i="4" s="1"/>
  <c r="L179" i="14"/>
  <c r="B181" i="4" s="1"/>
  <c r="M179" i="14"/>
  <c r="C181" i="4" s="1"/>
  <c r="L180" i="14"/>
  <c r="B182" i="4" s="1"/>
  <c r="M180" i="14"/>
  <c r="C182" i="4" s="1"/>
  <c r="L181" i="14"/>
  <c r="B183" i="4" s="1"/>
  <c r="M181" i="14"/>
  <c r="C183" i="4" s="1"/>
  <c r="L182" i="14"/>
  <c r="B184" i="4" s="1"/>
  <c r="M182" i="14"/>
  <c r="C184" i="4" s="1"/>
  <c r="L183" i="14"/>
  <c r="B185" i="4" s="1"/>
  <c r="M183" i="14"/>
  <c r="C185" i="4" s="1"/>
  <c r="L184" i="14"/>
  <c r="B186" i="4" s="1"/>
  <c r="M184" i="14"/>
  <c r="C186" i="4" s="1"/>
  <c r="L185" i="14"/>
  <c r="B187" i="4" s="1"/>
  <c r="M185" i="14"/>
  <c r="C187" i="4" s="1"/>
  <c r="L186" i="14"/>
  <c r="B188" i="4" s="1"/>
  <c r="M186" i="14"/>
  <c r="C188" i="4" s="1"/>
  <c r="L187" i="14"/>
  <c r="B189" i="4" s="1"/>
  <c r="M187" i="14"/>
  <c r="C189" i="4" s="1"/>
  <c r="L188" i="14"/>
  <c r="B190" i="4" s="1"/>
  <c r="M188" i="14"/>
  <c r="C190" i="4" s="1"/>
  <c r="L189" i="14"/>
  <c r="B191" i="4" s="1"/>
  <c r="M189" i="14"/>
  <c r="C191" i="4" s="1"/>
  <c r="L190" i="14"/>
  <c r="B192" i="4" s="1"/>
  <c r="M190" i="14"/>
  <c r="C192" i="4" s="1"/>
  <c r="L191" i="14"/>
  <c r="B193" i="4" s="1"/>
  <c r="M191" i="14"/>
  <c r="C193" i="4" s="1"/>
  <c r="L192" i="14"/>
  <c r="B194" i="4" s="1"/>
  <c r="M192" i="14"/>
  <c r="C194" i="4" s="1"/>
  <c r="L193" i="14"/>
  <c r="B195" i="4" s="1"/>
  <c r="M193" i="14"/>
  <c r="C195" i="4" s="1"/>
  <c r="L194" i="14"/>
  <c r="B196" i="4" s="1"/>
  <c r="M194" i="14"/>
  <c r="C196" i="4" s="1"/>
  <c r="L195" i="14"/>
  <c r="B197" i="4" s="1"/>
  <c r="M195" i="14"/>
  <c r="C197" i="4" s="1"/>
  <c r="L196" i="14"/>
  <c r="B198" i="4" s="1"/>
  <c r="M196" i="14"/>
  <c r="C198" i="4" s="1"/>
  <c r="L197" i="14"/>
  <c r="B199" i="4" s="1"/>
  <c r="M197" i="14"/>
  <c r="C199" i="4" s="1"/>
  <c r="L198" i="14"/>
  <c r="B200" i="4" s="1"/>
  <c r="M198" i="14"/>
  <c r="C200" i="4" s="1"/>
  <c r="L199" i="14"/>
  <c r="M199" i="14"/>
  <c r="L200" i="14"/>
  <c r="M200" i="14"/>
  <c r="L201" i="14"/>
  <c r="M201" i="14"/>
  <c r="L202" i="14"/>
  <c r="M202" i="14"/>
  <c r="L203" i="14"/>
  <c r="M203" i="14"/>
  <c r="L204" i="14"/>
  <c r="M204" i="14"/>
  <c r="L205" i="14"/>
  <c r="M205" i="14"/>
  <c r="L206" i="14"/>
  <c r="M206" i="14"/>
  <c r="L207" i="14"/>
  <c r="M207" i="14"/>
  <c r="L208" i="14"/>
  <c r="M208" i="14"/>
  <c r="L209" i="14"/>
  <c r="M209" i="14"/>
  <c r="L210" i="14"/>
  <c r="M210" i="14"/>
  <c r="L211" i="14"/>
  <c r="M211" i="14"/>
  <c r="L212" i="14"/>
  <c r="M212" i="14"/>
  <c r="L213" i="14"/>
  <c r="M213" i="14"/>
  <c r="L214" i="14"/>
  <c r="M214" i="14"/>
  <c r="L215" i="14"/>
  <c r="M215" i="14"/>
  <c r="L216" i="14"/>
  <c r="M216" i="14"/>
  <c r="L217" i="14"/>
  <c r="M217" i="14"/>
  <c r="L218" i="14"/>
  <c r="M218" i="14"/>
  <c r="L219" i="14"/>
  <c r="M219" i="14"/>
  <c r="L220" i="14"/>
  <c r="M220" i="14"/>
  <c r="L221" i="14"/>
  <c r="M221" i="14"/>
  <c r="L222" i="14"/>
  <c r="M222" i="14"/>
  <c r="L223" i="14"/>
  <c r="M223" i="14"/>
  <c r="L224" i="14"/>
  <c r="M224" i="14"/>
  <c r="L225" i="14"/>
  <c r="M225" i="14"/>
  <c r="L226" i="14"/>
  <c r="M226" i="14"/>
  <c r="L227" i="14"/>
  <c r="M227" i="14"/>
  <c r="L228" i="14"/>
  <c r="M228" i="14"/>
  <c r="L229" i="14"/>
  <c r="M229" i="14"/>
  <c r="L230" i="14"/>
  <c r="M230" i="14"/>
  <c r="L231" i="14"/>
  <c r="M231" i="14"/>
  <c r="L232" i="14"/>
  <c r="M232" i="14"/>
  <c r="L233" i="14"/>
  <c r="M233" i="14"/>
  <c r="L234" i="14"/>
  <c r="M234" i="14"/>
  <c r="L235" i="14"/>
  <c r="M235" i="14"/>
  <c r="L236" i="14"/>
  <c r="M236" i="14"/>
  <c r="L237" i="14"/>
  <c r="M237" i="14"/>
  <c r="L238" i="14"/>
  <c r="M238" i="14"/>
  <c r="L239" i="14"/>
  <c r="M239" i="14"/>
  <c r="L240" i="14"/>
  <c r="M240" i="14"/>
  <c r="L241" i="14"/>
  <c r="M241" i="14"/>
  <c r="L242" i="14"/>
  <c r="M242" i="14"/>
  <c r="L243" i="14"/>
  <c r="M243" i="14"/>
  <c r="L244" i="14"/>
  <c r="M244" i="14"/>
  <c r="L245" i="14"/>
  <c r="M245" i="14"/>
  <c r="L246" i="14"/>
  <c r="M246" i="14"/>
  <c r="L247" i="14"/>
  <c r="M247" i="14"/>
  <c r="L248" i="14"/>
  <c r="M248" i="14"/>
  <c r="L249" i="14"/>
  <c r="M249" i="14"/>
  <c r="L250" i="14"/>
  <c r="M250" i="14"/>
  <c r="L251" i="14"/>
  <c r="M251" i="14"/>
  <c r="L252" i="14"/>
  <c r="M252" i="14"/>
  <c r="L253" i="14"/>
  <c r="M253" i="14"/>
  <c r="L254" i="14"/>
  <c r="M254" i="14"/>
  <c r="L255" i="14"/>
  <c r="M255" i="14"/>
  <c r="L256" i="14"/>
  <c r="M256" i="14"/>
  <c r="L257" i="14"/>
  <c r="M257" i="14"/>
  <c r="L258" i="14"/>
  <c r="M258" i="14"/>
  <c r="L259" i="14"/>
  <c r="M259" i="14"/>
  <c r="L260" i="14"/>
  <c r="M260" i="14"/>
  <c r="L261" i="14"/>
  <c r="M261" i="14"/>
  <c r="L262" i="14"/>
  <c r="M262" i="14"/>
  <c r="L263" i="14"/>
  <c r="M263" i="14"/>
  <c r="L264" i="14"/>
  <c r="M264" i="14"/>
  <c r="L265" i="14"/>
  <c r="M265" i="14"/>
  <c r="L266" i="14"/>
  <c r="M266" i="14"/>
  <c r="L267" i="14"/>
  <c r="M267" i="14"/>
  <c r="L268" i="14"/>
  <c r="M268" i="14"/>
  <c r="L269" i="14"/>
  <c r="M269" i="14"/>
  <c r="L270" i="14"/>
  <c r="M270" i="14"/>
  <c r="L271" i="14"/>
  <c r="M271" i="14"/>
  <c r="L272" i="14"/>
  <c r="M272" i="14"/>
  <c r="L273" i="14"/>
  <c r="M273" i="14"/>
  <c r="L274" i="14"/>
  <c r="M274" i="14"/>
  <c r="L275" i="14"/>
  <c r="M275" i="14"/>
  <c r="L276" i="14"/>
  <c r="M276" i="14"/>
  <c r="L277" i="14"/>
  <c r="M277" i="14"/>
  <c r="L278" i="14"/>
  <c r="M278" i="14"/>
  <c r="L279" i="14"/>
  <c r="M279" i="14"/>
  <c r="L280" i="14"/>
  <c r="M280" i="14"/>
  <c r="L281" i="14"/>
  <c r="M281" i="14"/>
  <c r="L282" i="14"/>
  <c r="M282" i="14"/>
  <c r="L283" i="14"/>
  <c r="M283" i="14"/>
  <c r="L284" i="14"/>
  <c r="M284" i="14"/>
  <c r="L285" i="14"/>
  <c r="M285" i="14"/>
  <c r="L286" i="14"/>
  <c r="M286" i="14"/>
  <c r="L287" i="14"/>
  <c r="M287" i="14"/>
  <c r="L288" i="14"/>
  <c r="M288" i="14"/>
  <c r="L289" i="14"/>
  <c r="M289" i="14"/>
  <c r="L290" i="14"/>
  <c r="M290" i="14"/>
  <c r="L291" i="14"/>
  <c r="M291" i="14"/>
  <c r="L292" i="14"/>
  <c r="M292" i="14"/>
  <c r="L293" i="14"/>
  <c r="M293" i="14"/>
  <c r="L294" i="14"/>
  <c r="M294" i="14"/>
  <c r="L295" i="14"/>
  <c r="M295" i="14"/>
  <c r="L296" i="14"/>
  <c r="M296" i="14"/>
  <c r="L297" i="14"/>
  <c r="M297" i="14"/>
  <c r="L298" i="14"/>
  <c r="M298" i="14"/>
  <c r="L299" i="14"/>
  <c r="M299" i="14"/>
  <c r="L300" i="14"/>
  <c r="M300" i="14"/>
  <c r="L301" i="14"/>
  <c r="M301" i="14"/>
  <c r="L302" i="14"/>
  <c r="M302" i="14"/>
  <c r="L303" i="14"/>
  <c r="M303" i="14"/>
  <c r="L304" i="14"/>
  <c r="M304" i="14"/>
  <c r="L305" i="14"/>
  <c r="M305" i="14"/>
  <c r="L306" i="14"/>
  <c r="M306" i="14"/>
  <c r="L307" i="14"/>
  <c r="M307" i="14"/>
  <c r="L308" i="14"/>
  <c r="M308" i="14"/>
  <c r="L309" i="14"/>
  <c r="M309" i="14"/>
  <c r="L310" i="14"/>
  <c r="M310" i="14"/>
  <c r="L311" i="14"/>
  <c r="M311" i="14"/>
  <c r="L312" i="14"/>
  <c r="M312" i="14"/>
  <c r="L313" i="14"/>
  <c r="M313" i="14"/>
  <c r="L314" i="14"/>
  <c r="M314" i="14"/>
  <c r="L315" i="14"/>
  <c r="M315" i="14"/>
  <c r="L316" i="14"/>
  <c r="M316" i="14"/>
  <c r="L317" i="14"/>
  <c r="M317" i="14"/>
  <c r="L318" i="14"/>
  <c r="M318" i="14"/>
  <c r="L319" i="14"/>
  <c r="M319" i="14"/>
  <c r="L320" i="14"/>
  <c r="M320" i="14"/>
  <c r="L321" i="14"/>
  <c r="M321" i="14"/>
  <c r="L322" i="14"/>
  <c r="M322" i="14"/>
  <c r="L323" i="14"/>
  <c r="M323" i="14"/>
  <c r="L324" i="14"/>
  <c r="M324" i="14"/>
  <c r="L325" i="14"/>
  <c r="M325" i="14"/>
  <c r="L326" i="14"/>
  <c r="M326" i="14"/>
  <c r="L327" i="14"/>
  <c r="M327" i="14"/>
  <c r="L328" i="14"/>
  <c r="M328" i="14"/>
  <c r="L329" i="14"/>
  <c r="M329" i="14"/>
  <c r="L330" i="14"/>
  <c r="M330" i="14"/>
  <c r="L331" i="14"/>
  <c r="M331" i="14"/>
  <c r="L332" i="14"/>
  <c r="M332" i="14"/>
  <c r="L333" i="14"/>
  <c r="M333" i="14"/>
  <c r="L334" i="14"/>
  <c r="M334" i="14"/>
  <c r="L335" i="14"/>
  <c r="M335" i="14"/>
  <c r="L336" i="14"/>
  <c r="M336" i="14"/>
  <c r="L337" i="14"/>
  <c r="M337" i="14"/>
  <c r="L338" i="14"/>
  <c r="M338" i="14"/>
  <c r="L339" i="14"/>
  <c r="M339" i="14"/>
  <c r="L340" i="14"/>
  <c r="M340" i="14"/>
  <c r="L341" i="14"/>
  <c r="M341" i="14"/>
  <c r="L342" i="14"/>
  <c r="M342" i="14"/>
  <c r="L343" i="14"/>
  <c r="M343" i="14"/>
  <c r="L344" i="14"/>
  <c r="M344" i="14"/>
  <c r="L345" i="14"/>
  <c r="M345" i="14"/>
  <c r="L346" i="14"/>
  <c r="M346" i="14"/>
  <c r="L347" i="14"/>
  <c r="M347" i="14"/>
  <c r="L348" i="14"/>
  <c r="M348" i="14"/>
  <c r="L349" i="14"/>
  <c r="M349" i="14"/>
  <c r="L350" i="14"/>
  <c r="M350" i="14"/>
  <c r="L351" i="14"/>
  <c r="M351" i="14"/>
  <c r="L352" i="14"/>
  <c r="M352" i="14"/>
  <c r="L353" i="14"/>
  <c r="M353" i="14"/>
  <c r="L354" i="14"/>
  <c r="M354" i="14"/>
  <c r="L355" i="14"/>
  <c r="M355" i="14"/>
  <c r="L356" i="14"/>
  <c r="M356" i="14"/>
  <c r="L357" i="14"/>
  <c r="M357" i="14"/>
  <c r="L358" i="14"/>
  <c r="M358" i="14"/>
  <c r="L359" i="14"/>
  <c r="M359" i="14"/>
  <c r="L360" i="14"/>
  <c r="M360" i="14"/>
  <c r="L361" i="14"/>
  <c r="M361" i="14"/>
  <c r="L362" i="14"/>
  <c r="M362" i="14"/>
  <c r="L363" i="14"/>
  <c r="M363" i="14"/>
  <c r="L364" i="14"/>
  <c r="M364" i="14"/>
  <c r="L365" i="14"/>
  <c r="M365" i="14"/>
  <c r="L366" i="14"/>
  <c r="M366" i="14"/>
  <c r="L367" i="14"/>
  <c r="M367" i="14"/>
  <c r="L368" i="14"/>
  <c r="M368" i="14"/>
  <c r="L369" i="14"/>
  <c r="M369" i="14"/>
  <c r="L370" i="14"/>
  <c r="M370" i="14"/>
  <c r="L371" i="14"/>
  <c r="M371" i="14"/>
  <c r="L372" i="14"/>
  <c r="M372" i="14"/>
  <c r="L373" i="14"/>
  <c r="M373" i="14"/>
  <c r="L374" i="14"/>
  <c r="M374" i="14"/>
  <c r="L375" i="14"/>
  <c r="M375" i="14"/>
  <c r="L376" i="14"/>
  <c r="M376" i="14"/>
  <c r="L377" i="14"/>
  <c r="M377" i="14"/>
  <c r="L378" i="14"/>
  <c r="M378" i="14"/>
  <c r="L379" i="14"/>
  <c r="M379" i="14"/>
  <c r="L380" i="14"/>
  <c r="M380" i="14"/>
  <c r="L381" i="14"/>
  <c r="M381" i="14"/>
  <c r="L382" i="14"/>
  <c r="M382" i="14"/>
  <c r="L383" i="14"/>
  <c r="M383" i="14"/>
  <c r="L384" i="14"/>
  <c r="M384" i="14"/>
  <c r="L385" i="14"/>
  <c r="M385" i="14"/>
  <c r="L386" i="14"/>
  <c r="M386" i="14"/>
  <c r="L387" i="14"/>
  <c r="M387" i="14"/>
  <c r="L388" i="14"/>
  <c r="M388" i="14"/>
  <c r="L389" i="14"/>
  <c r="M389" i="14"/>
  <c r="L390" i="14"/>
  <c r="M390" i="14"/>
  <c r="L391" i="14"/>
  <c r="M391" i="14"/>
  <c r="L392" i="14"/>
  <c r="M392" i="14"/>
  <c r="L393" i="14"/>
  <c r="M393" i="14"/>
  <c r="L394" i="14"/>
  <c r="M394" i="14"/>
  <c r="L395" i="14"/>
  <c r="M395" i="14"/>
  <c r="L396" i="14"/>
  <c r="M396" i="14"/>
  <c r="L397" i="14"/>
  <c r="M397" i="14"/>
  <c r="L398" i="14"/>
  <c r="M398" i="14"/>
  <c r="L399" i="14"/>
  <c r="M399" i="14"/>
  <c r="L400" i="14"/>
  <c r="M400" i="14"/>
  <c r="L401" i="14"/>
  <c r="M401" i="14"/>
  <c r="L402" i="14"/>
  <c r="M402" i="14"/>
  <c r="L403" i="14"/>
  <c r="M403" i="14"/>
  <c r="L404" i="14"/>
  <c r="M404" i="14"/>
  <c r="L405" i="14"/>
  <c r="M405" i="14"/>
  <c r="L406" i="14"/>
  <c r="M406" i="14"/>
  <c r="L407" i="14"/>
  <c r="M407" i="14"/>
  <c r="L408" i="14"/>
  <c r="M408" i="14"/>
  <c r="L409" i="14"/>
  <c r="M409" i="14"/>
  <c r="L410" i="14"/>
  <c r="M410" i="14"/>
  <c r="L411" i="14"/>
  <c r="M411" i="14"/>
  <c r="L412" i="14"/>
  <c r="M412" i="14"/>
  <c r="L413" i="14"/>
  <c r="M413" i="14"/>
  <c r="L414" i="14"/>
  <c r="M414" i="14"/>
  <c r="L415" i="14"/>
  <c r="M415" i="14"/>
  <c r="L416" i="14"/>
  <c r="M416" i="14"/>
  <c r="L417" i="14"/>
  <c r="M417" i="14"/>
  <c r="L418" i="14"/>
  <c r="M418" i="14"/>
  <c r="L419" i="14"/>
  <c r="M419" i="14"/>
  <c r="L420" i="14"/>
  <c r="M420" i="14"/>
  <c r="L421" i="14"/>
  <c r="M421" i="14"/>
  <c r="L422" i="14"/>
  <c r="M422" i="14"/>
  <c r="L423" i="14"/>
  <c r="M423" i="14"/>
  <c r="L424" i="14"/>
  <c r="M424" i="14"/>
  <c r="L425" i="14"/>
  <c r="M425" i="14"/>
  <c r="L426" i="14"/>
  <c r="M426" i="14"/>
  <c r="L427" i="14"/>
  <c r="M427" i="14"/>
  <c r="L428" i="14"/>
  <c r="M428" i="14"/>
  <c r="L429" i="14"/>
  <c r="M429" i="14"/>
  <c r="L430" i="14"/>
  <c r="M430" i="14"/>
  <c r="L431" i="14"/>
  <c r="M431" i="14"/>
  <c r="L432" i="14"/>
  <c r="M432" i="14"/>
  <c r="L433" i="14"/>
  <c r="M433" i="14"/>
  <c r="L434" i="14"/>
  <c r="M434" i="14"/>
  <c r="L435" i="14"/>
  <c r="M435" i="14"/>
  <c r="L436" i="14"/>
  <c r="M436" i="14"/>
  <c r="L437" i="14"/>
  <c r="M437" i="14"/>
  <c r="L438" i="14"/>
  <c r="M438" i="14"/>
  <c r="L439" i="14"/>
  <c r="M439" i="14"/>
  <c r="L440" i="14"/>
  <c r="M440" i="14"/>
  <c r="L441" i="14"/>
  <c r="M441" i="14"/>
  <c r="L442" i="14"/>
  <c r="M442" i="14"/>
  <c r="L443" i="14"/>
  <c r="M443" i="14"/>
  <c r="L444" i="14"/>
  <c r="M444" i="14"/>
  <c r="L445" i="14"/>
  <c r="M445" i="14"/>
  <c r="L446" i="14"/>
  <c r="M446" i="14"/>
  <c r="L447" i="14"/>
  <c r="M447" i="14"/>
  <c r="L448" i="14"/>
  <c r="M448" i="14"/>
  <c r="L449" i="14"/>
  <c r="M449" i="14"/>
  <c r="L450" i="14"/>
  <c r="M450" i="14"/>
  <c r="L451" i="14"/>
  <c r="M451" i="14"/>
  <c r="L452" i="14"/>
  <c r="M452" i="14"/>
  <c r="L453" i="14"/>
  <c r="M453" i="14"/>
  <c r="L454" i="14"/>
  <c r="M454" i="14"/>
  <c r="L455" i="14"/>
  <c r="M455" i="14"/>
  <c r="L456" i="14"/>
  <c r="M456" i="14"/>
  <c r="L457" i="14"/>
  <c r="M457" i="14"/>
  <c r="L458" i="14"/>
  <c r="M458" i="14"/>
  <c r="L459" i="14"/>
  <c r="M459" i="14"/>
  <c r="L460" i="14"/>
  <c r="M460" i="14"/>
  <c r="L461" i="14"/>
  <c r="M461" i="14"/>
  <c r="L462" i="14"/>
  <c r="M462" i="14"/>
  <c r="L463" i="14"/>
  <c r="M463" i="14"/>
  <c r="L464" i="14"/>
  <c r="M464" i="14"/>
  <c r="L465" i="14"/>
  <c r="M465" i="14"/>
  <c r="L466" i="14"/>
  <c r="M466" i="14"/>
  <c r="L467" i="14"/>
  <c r="M467" i="14"/>
  <c r="L468" i="14"/>
  <c r="M468" i="14"/>
  <c r="L469" i="14"/>
  <c r="M469" i="14"/>
  <c r="L470" i="14"/>
  <c r="M470" i="14"/>
  <c r="L471" i="14"/>
  <c r="M471" i="14"/>
  <c r="L472" i="14"/>
  <c r="M472" i="14"/>
  <c r="L473" i="14"/>
  <c r="M473" i="14"/>
  <c r="L474" i="14"/>
  <c r="M474" i="14"/>
  <c r="L475" i="14"/>
  <c r="M475" i="14"/>
  <c r="L476" i="14"/>
  <c r="M476" i="14"/>
  <c r="L477" i="14"/>
  <c r="M477" i="14"/>
  <c r="L478" i="14"/>
  <c r="M478" i="14"/>
  <c r="L479" i="14"/>
  <c r="M479" i="14"/>
  <c r="L480" i="14"/>
  <c r="M480" i="14"/>
  <c r="L481" i="14"/>
  <c r="M481" i="14"/>
  <c r="L482" i="14"/>
  <c r="M482" i="14"/>
  <c r="L483" i="14"/>
  <c r="M483" i="14"/>
  <c r="L484" i="14"/>
  <c r="M484" i="14"/>
  <c r="L485" i="14"/>
  <c r="M485" i="14"/>
  <c r="L486" i="14"/>
  <c r="M486" i="14"/>
  <c r="L487" i="14"/>
  <c r="M487" i="14"/>
  <c r="L488" i="14"/>
  <c r="M488" i="14"/>
  <c r="L489" i="14"/>
  <c r="M489" i="14"/>
  <c r="L490" i="14"/>
  <c r="M490" i="14"/>
  <c r="L491" i="14"/>
  <c r="M491" i="14"/>
  <c r="L492" i="14"/>
  <c r="M492" i="14"/>
  <c r="L493" i="14"/>
  <c r="M493" i="14"/>
  <c r="L494" i="14"/>
  <c r="M494" i="14"/>
  <c r="L495" i="14"/>
  <c r="M495" i="14"/>
  <c r="L496" i="14"/>
  <c r="M496" i="14"/>
  <c r="L497" i="14"/>
  <c r="M497" i="14"/>
  <c r="L498" i="14"/>
  <c r="M498" i="14"/>
  <c r="L499" i="14"/>
  <c r="M499" i="14"/>
  <c r="L500" i="14"/>
  <c r="M500" i="14"/>
  <c r="L501" i="14"/>
  <c r="M501" i="14"/>
  <c r="L502" i="14"/>
  <c r="M502" i="14"/>
  <c r="L503" i="14"/>
  <c r="M503" i="14"/>
  <c r="L504" i="14"/>
  <c r="M504" i="14"/>
  <c r="L505" i="14"/>
  <c r="M505" i="14"/>
  <c r="L506" i="14"/>
  <c r="M506" i="14"/>
  <c r="L507" i="14"/>
  <c r="M507" i="14"/>
  <c r="L508" i="14"/>
  <c r="M508" i="14"/>
  <c r="L509" i="14"/>
  <c r="M509" i="14"/>
  <c r="L510" i="14"/>
  <c r="M510" i="14"/>
  <c r="L511" i="14"/>
  <c r="M511" i="14"/>
  <c r="L512" i="14"/>
  <c r="M512" i="14"/>
  <c r="L513" i="14"/>
  <c r="M513" i="14"/>
  <c r="L514" i="14"/>
  <c r="M514" i="14"/>
  <c r="L515" i="14"/>
  <c r="M515" i="14"/>
  <c r="L516" i="14"/>
  <c r="M516" i="14"/>
  <c r="L517" i="14"/>
  <c r="M517" i="14"/>
  <c r="L518" i="14"/>
  <c r="M518" i="14"/>
  <c r="L519" i="14"/>
  <c r="M519" i="14"/>
  <c r="L520" i="14"/>
  <c r="M520" i="14"/>
  <c r="L521" i="14"/>
  <c r="M521" i="14"/>
  <c r="L522" i="14"/>
  <c r="M522" i="14"/>
  <c r="L523" i="14"/>
  <c r="M523" i="14"/>
  <c r="L524" i="14"/>
  <c r="M524" i="14"/>
  <c r="L525" i="14"/>
  <c r="M525" i="14"/>
  <c r="L526" i="14"/>
  <c r="M526" i="14"/>
  <c r="L527" i="14"/>
  <c r="M527" i="14"/>
  <c r="L528" i="14"/>
  <c r="M528" i="14"/>
  <c r="L529" i="14"/>
  <c r="M529" i="14"/>
  <c r="L530" i="14"/>
  <c r="M530" i="14"/>
  <c r="L531" i="14"/>
  <c r="M531" i="14"/>
  <c r="L532" i="14"/>
  <c r="M532" i="14"/>
  <c r="L533" i="14"/>
  <c r="M533" i="14"/>
  <c r="L534" i="14"/>
  <c r="M534" i="14"/>
  <c r="L535" i="14"/>
  <c r="M535" i="14"/>
  <c r="L536" i="14"/>
  <c r="M536" i="14"/>
  <c r="L537" i="14"/>
  <c r="M537" i="14"/>
  <c r="L538" i="14"/>
  <c r="M538" i="14"/>
  <c r="L539" i="14"/>
  <c r="M539" i="14"/>
  <c r="L540" i="14"/>
  <c r="M540" i="14"/>
  <c r="L541" i="14"/>
  <c r="M541" i="14"/>
  <c r="L542" i="14"/>
  <c r="M542" i="14"/>
  <c r="L543" i="14"/>
  <c r="M543" i="14"/>
  <c r="L544" i="14"/>
  <c r="M544" i="14"/>
  <c r="L545" i="14"/>
  <c r="M545" i="14"/>
  <c r="L546" i="14"/>
  <c r="M546" i="14"/>
  <c r="L547" i="14"/>
  <c r="M547" i="14"/>
  <c r="L548" i="14"/>
  <c r="M548" i="14"/>
  <c r="L549" i="14"/>
  <c r="M549" i="14"/>
  <c r="L550" i="14"/>
  <c r="M550" i="14"/>
  <c r="L551" i="14"/>
  <c r="M551" i="14"/>
  <c r="L552" i="14"/>
  <c r="M552" i="14"/>
  <c r="L553" i="14"/>
  <c r="M553" i="14"/>
  <c r="L554" i="14"/>
  <c r="M554" i="14"/>
  <c r="L555" i="14"/>
  <c r="M555" i="14"/>
  <c r="L556" i="14"/>
  <c r="M556" i="14"/>
  <c r="L557" i="14"/>
  <c r="M557" i="14"/>
  <c r="L558" i="14"/>
  <c r="M558" i="14"/>
  <c r="L559" i="14"/>
  <c r="M559" i="14"/>
  <c r="L560" i="14"/>
  <c r="M560" i="14"/>
  <c r="L561" i="14"/>
  <c r="M561" i="14"/>
  <c r="L562" i="14"/>
  <c r="M562" i="14"/>
  <c r="L563" i="14"/>
  <c r="M563" i="14"/>
  <c r="L564" i="14"/>
  <c r="M564" i="14"/>
  <c r="L565" i="14"/>
  <c r="M565" i="14"/>
  <c r="L566" i="14"/>
  <c r="M566" i="14"/>
  <c r="L567" i="14"/>
  <c r="M567" i="14"/>
  <c r="L568" i="14"/>
  <c r="M568" i="14"/>
  <c r="L569" i="14"/>
  <c r="M569" i="14"/>
  <c r="L570" i="14"/>
  <c r="M570" i="14"/>
  <c r="L571" i="14"/>
  <c r="M571" i="14"/>
  <c r="L572" i="14"/>
  <c r="M572" i="14"/>
  <c r="L573" i="14"/>
  <c r="M573" i="14"/>
  <c r="L574" i="14"/>
  <c r="M574" i="14"/>
  <c r="L575" i="14"/>
  <c r="M575" i="14"/>
  <c r="L576" i="14"/>
  <c r="M576" i="14"/>
  <c r="L577" i="14"/>
  <c r="M577" i="14"/>
  <c r="L578" i="14"/>
  <c r="M578" i="14"/>
  <c r="L579" i="14"/>
  <c r="M579" i="14"/>
  <c r="L580" i="14"/>
  <c r="M580" i="14"/>
  <c r="L581" i="14"/>
  <c r="M581" i="14"/>
  <c r="L582" i="14"/>
  <c r="M582" i="14"/>
  <c r="L583" i="14"/>
  <c r="M583" i="14"/>
  <c r="L584" i="14"/>
  <c r="M584" i="14"/>
  <c r="L585" i="14"/>
  <c r="M585" i="14"/>
  <c r="L586" i="14"/>
  <c r="M586" i="14"/>
  <c r="L587" i="14"/>
  <c r="M587" i="14"/>
  <c r="L588" i="14"/>
  <c r="M588" i="14"/>
  <c r="L589" i="14"/>
  <c r="M589" i="14"/>
  <c r="L590" i="14"/>
  <c r="M590" i="14"/>
  <c r="L591" i="14"/>
  <c r="M591" i="14"/>
  <c r="L592" i="14"/>
  <c r="M592" i="14"/>
  <c r="L593" i="14"/>
  <c r="M593" i="14"/>
  <c r="L594" i="14"/>
  <c r="M594" i="14"/>
  <c r="L595" i="14"/>
  <c r="M595" i="14"/>
  <c r="L596" i="14"/>
  <c r="M596" i="14"/>
  <c r="L597" i="14"/>
  <c r="M597" i="14"/>
  <c r="L598" i="14"/>
  <c r="M598" i="14"/>
  <c r="L599" i="14"/>
  <c r="M599" i="14"/>
  <c r="L600" i="14"/>
  <c r="M600" i="14"/>
  <c r="L601" i="14"/>
  <c r="M601" i="14"/>
  <c r="L602" i="14"/>
  <c r="M602" i="14"/>
  <c r="L603" i="14"/>
  <c r="M603" i="14"/>
  <c r="L604" i="14"/>
  <c r="M604" i="14"/>
  <c r="L605" i="14"/>
  <c r="M605" i="14"/>
  <c r="L606" i="14"/>
  <c r="M606" i="14"/>
  <c r="L607" i="14"/>
  <c r="M607" i="14"/>
  <c r="L608" i="14"/>
  <c r="M608" i="14"/>
  <c r="L609" i="14"/>
  <c r="M609" i="14"/>
  <c r="L610" i="14"/>
  <c r="M610" i="14"/>
  <c r="L611" i="14"/>
  <c r="M611" i="14"/>
  <c r="L612" i="14"/>
  <c r="M612" i="14"/>
  <c r="L613" i="14"/>
  <c r="M613" i="14"/>
  <c r="L614" i="14"/>
  <c r="M614" i="14"/>
  <c r="L615" i="14"/>
  <c r="M615" i="14"/>
  <c r="L616" i="14"/>
  <c r="M616" i="14"/>
  <c r="L617" i="14"/>
  <c r="M617" i="14"/>
  <c r="L618" i="14"/>
  <c r="M618" i="14"/>
  <c r="L619" i="14"/>
  <c r="M619" i="14"/>
  <c r="L620" i="14"/>
  <c r="M620" i="14"/>
  <c r="L621" i="14"/>
  <c r="M621" i="14"/>
  <c r="L622" i="14"/>
  <c r="M622" i="14"/>
  <c r="L623" i="14"/>
  <c r="M623" i="14"/>
  <c r="L624" i="14"/>
  <c r="M624" i="14"/>
  <c r="L625" i="14"/>
  <c r="M625" i="14"/>
  <c r="L626" i="14"/>
  <c r="M626" i="14"/>
  <c r="L627" i="14"/>
  <c r="M627" i="14"/>
  <c r="L628" i="14"/>
  <c r="M628" i="14"/>
  <c r="L629" i="14"/>
  <c r="M629" i="14"/>
  <c r="L630" i="14"/>
  <c r="M630" i="14"/>
  <c r="L631" i="14"/>
  <c r="M631" i="14"/>
  <c r="L632" i="14"/>
  <c r="M632" i="14"/>
  <c r="L633" i="14"/>
  <c r="M633" i="14"/>
  <c r="L634" i="14"/>
  <c r="M634" i="14"/>
  <c r="L635" i="14"/>
  <c r="M635" i="14"/>
  <c r="L636" i="14"/>
  <c r="M636" i="14"/>
  <c r="L637" i="14"/>
  <c r="M637" i="14"/>
  <c r="L638" i="14"/>
  <c r="M638" i="14"/>
  <c r="L639" i="14"/>
  <c r="M639" i="14"/>
  <c r="L640" i="14"/>
  <c r="M640" i="14"/>
  <c r="L641" i="14"/>
  <c r="M641" i="14"/>
  <c r="L642" i="14"/>
  <c r="M642" i="14"/>
  <c r="L643" i="14"/>
  <c r="M643" i="14"/>
  <c r="L644" i="14"/>
  <c r="M644" i="14"/>
  <c r="L645" i="14"/>
  <c r="M645" i="14"/>
  <c r="L646" i="14"/>
  <c r="M646" i="14"/>
  <c r="L647" i="14"/>
  <c r="M647" i="14"/>
  <c r="L648" i="14"/>
  <c r="M648" i="14"/>
  <c r="L649" i="14"/>
  <c r="M649" i="14"/>
  <c r="L650" i="14"/>
  <c r="M650" i="14"/>
  <c r="L651" i="14"/>
  <c r="M651" i="14"/>
  <c r="L652" i="14"/>
  <c r="M652" i="14"/>
  <c r="L653" i="14"/>
  <c r="M653" i="14"/>
  <c r="L654" i="14"/>
  <c r="M654" i="14"/>
  <c r="L655" i="14"/>
  <c r="M655" i="14"/>
  <c r="L656" i="14"/>
  <c r="M656" i="14"/>
  <c r="L657" i="14"/>
  <c r="M657" i="14"/>
  <c r="L658" i="14"/>
  <c r="M658" i="14"/>
  <c r="L659" i="14"/>
  <c r="M659" i="14"/>
  <c r="L660" i="14"/>
  <c r="M660" i="14"/>
  <c r="L661" i="14"/>
  <c r="M661" i="14"/>
  <c r="L662" i="14"/>
  <c r="M662" i="14"/>
  <c r="L663" i="14"/>
  <c r="M663" i="14"/>
  <c r="L664" i="14"/>
  <c r="M664" i="14"/>
  <c r="L665" i="14"/>
  <c r="M665" i="14"/>
  <c r="L666" i="14"/>
  <c r="M666" i="14"/>
  <c r="L667" i="14"/>
  <c r="M667" i="14"/>
  <c r="L668" i="14"/>
  <c r="M668" i="14"/>
  <c r="L669" i="14"/>
  <c r="M669" i="14"/>
  <c r="L670" i="14"/>
  <c r="M670" i="14"/>
  <c r="L671" i="14"/>
  <c r="M671" i="14"/>
  <c r="L672" i="14"/>
  <c r="M672" i="14"/>
  <c r="L673" i="14"/>
  <c r="M673" i="14"/>
  <c r="L674" i="14"/>
  <c r="M674" i="14"/>
  <c r="L675" i="14"/>
  <c r="M675" i="14"/>
  <c r="L676" i="14"/>
  <c r="M676" i="14"/>
  <c r="L677" i="14"/>
  <c r="M677" i="14"/>
  <c r="L678" i="14"/>
  <c r="M678" i="14"/>
  <c r="L679" i="14"/>
  <c r="M679" i="14"/>
  <c r="L680" i="14"/>
  <c r="M680" i="14"/>
  <c r="L681" i="14"/>
  <c r="M681" i="14"/>
  <c r="L682" i="14"/>
  <c r="M682" i="14"/>
  <c r="L683" i="14"/>
  <c r="M683" i="14"/>
  <c r="L684" i="14"/>
  <c r="M684" i="14"/>
  <c r="L685" i="14"/>
  <c r="M685" i="14"/>
  <c r="L686" i="14"/>
  <c r="M686" i="14"/>
  <c r="L687" i="14"/>
  <c r="M687" i="14"/>
  <c r="L688" i="14"/>
  <c r="M688" i="14"/>
  <c r="L689" i="14"/>
  <c r="M689" i="14"/>
  <c r="L690" i="14"/>
  <c r="M690" i="14"/>
  <c r="L691" i="14"/>
  <c r="M691" i="14"/>
  <c r="L692" i="14"/>
  <c r="M692" i="14"/>
  <c r="L693" i="14"/>
  <c r="M693" i="14"/>
  <c r="L694" i="14"/>
  <c r="M694" i="14"/>
  <c r="L695" i="14"/>
  <c r="M695" i="14"/>
  <c r="L696" i="14"/>
  <c r="M696" i="14"/>
  <c r="L697" i="14"/>
  <c r="M697" i="14"/>
  <c r="L698" i="14"/>
  <c r="M698" i="14"/>
  <c r="L699" i="14"/>
  <c r="M699" i="14"/>
  <c r="L700" i="14"/>
  <c r="M700" i="14"/>
  <c r="L701" i="14"/>
  <c r="M701" i="14"/>
  <c r="L702" i="14"/>
  <c r="M702" i="14"/>
  <c r="L703" i="14"/>
  <c r="M703" i="14"/>
  <c r="L704" i="14"/>
  <c r="M704" i="14"/>
  <c r="L705" i="14"/>
  <c r="M705" i="14"/>
  <c r="L706" i="14"/>
  <c r="M706" i="14"/>
  <c r="L707" i="14"/>
  <c r="M707" i="14"/>
  <c r="L708" i="14"/>
  <c r="M708" i="14"/>
  <c r="L709" i="14"/>
  <c r="M709" i="14"/>
  <c r="L710" i="14"/>
  <c r="M710" i="14"/>
  <c r="L711" i="14"/>
  <c r="M711" i="14"/>
  <c r="L712" i="14"/>
  <c r="M712" i="14"/>
  <c r="L713" i="14"/>
  <c r="M713" i="14"/>
  <c r="L714" i="14"/>
  <c r="M714" i="14"/>
  <c r="L715" i="14"/>
  <c r="M715" i="14"/>
  <c r="L716" i="14"/>
  <c r="M716" i="14"/>
  <c r="L717" i="14"/>
  <c r="M717" i="14"/>
  <c r="L718" i="14"/>
  <c r="M718" i="14"/>
  <c r="L719" i="14"/>
  <c r="M719" i="14"/>
  <c r="L720" i="14"/>
  <c r="M720" i="14"/>
  <c r="L721" i="14"/>
  <c r="M721" i="14"/>
  <c r="L722" i="14"/>
  <c r="M722" i="14"/>
  <c r="L723" i="14"/>
  <c r="M723" i="14"/>
  <c r="L724" i="14"/>
  <c r="M724" i="14"/>
  <c r="L725" i="14"/>
  <c r="M725" i="14"/>
  <c r="L726" i="14"/>
  <c r="M726" i="14"/>
  <c r="L727" i="14"/>
  <c r="M727" i="14"/>
  <c r="L728" i="14"/>
  <c r="M728" i="14"/>
  <c r="L729" i="14"/>
  <c r="M729" i="14"/>
  <c r="L730" i="14"/>
  <c r="M730" i="14"/>
  <c r="L731" i="14"/>
  <c r="M731" i="14"/>
  <c r="L732" i="14"/>
  <c r="M732" i="14"/>
  <c r="L733" i="14"/>
  <c r="M733" i="14"/>
  <c r="L734" i="14"/>
  <c r="M734" i="14"/>
  <c r="L735" i="14"/>
  <c r="M735" i="14"/>
  <c r="L736" i="14"/>
  <c r="M736" i="14"/>
  <c r="L737" i="14"/>
  <c r="M737" i="14"/>
  <c r="L738" i="14"/>
  <c r="M738" i="14"/>
  <c r="L739" i="14"/>
  <c r="M739" i="14"/>
  <c r="L740" i="14"/>
  <c r="M740" i="14"/>
  <c r="L741" i="14"/>
  <c r="M741" i="14"/>
  <c r="L742" i="14"/>
  <c r="M742" i="14"/>
  <c r="L743" i="14"/>
  <c r="M743" i="14"/>
  <c r="L744" i="14"/>
  <c r="M744" i="14"/>
  <c r="L745" i="14"/>
  <c r="M745" i="14"/>
  <c r="L746" i="14"/>
  <c r="M746" i="14"/>
  <c r="L747" i="14"/>
  <c r="M747" i="14"/>
  <c r="L748" i="14"/>
  <c r="M748" i="14"/>
  <c r="L749" i="14"/>
  <c r="M749" i="14"/>
  <c r="L750" i="14"/>
  <c r="M750" i="14"/>
  <c r="L751" i="14"/>
  <c r="M751" i="14"/>
  <c r="L752" i="14"/>
  <c r="M752" i="14"/>
  <c r="L753" i="14"/>
  <c r="M753" i="14"/>
  <c r="L754" i="14"/>
  <c r="M754" i="14"/>
  <c r="L755" i="14"/>
  <c r="M755" i="14"/>
  <c r="L756" i="14"/>
  <c r="M756" i="14"/>
  <c r="L757" i="14"/>
  <c r="M757" i="14"/>
  <c r="L758" i="14"/>
  <c r="M758" i="14"/>
  <c r="L759" i="14"/>
  <c r="M759" i="14"/>
  <c r="L760" i="14"/>
  <c r="M760" i="14"/>
  <c r="L761" i="14"/>
  <c r="M761" i="14"/>
  <c r="L762" i="14"/>
  <c r="M762" i="14"/>
  <c r="L763" i="14"/>
  <c r="M763" i="14"/>
  <c r="L764" i="14"/>
  <c r="M764" i="14"/>
  <c r="L765" i="14"/>
  <c r="M765" i="14"/>
  <c r="L766" i="14"/>
  <c r="M766" i="14"/>
  <c r="L767" i="14"/>
  <c r="M767" i="14"/>
  <c r="L768" i="14"/>
  <c r="M768" i="14"/>
  <c r="L769" i="14"/>
  <c r="M769" i="14"/>
  <c r="L770" i="14"/>
  <c r="M770" i="14"/>
  <c r="L771" i="14"/>
  <c r="M771" i="14"/>
  <c r="L772" i="14"/>
  <c r="M772" i="14"/>
  <c r="L773" i="14"/>
  <c r="M773" i="14"/>
  <c r="L774" i="14"/>
  <c r="M774" i="14"/>
  <c r="L775" i="14"/>
  <c r="M775" i="14"/>
  <c r="L776" i="14"/>
  <c r="M776" i="14"/>
  <c r="L777" i="14"/>
  <c r="M777" i="14"/>
  <c r="L778" i="14"/>
  <c r="M778" i="14"/>
  <c r="L779" i="14"/>
  <c r="M779" i="14"/>
  <c r="L780" i="14"/>
  <c r="M780" i="14"/>
  <c r="L781" i="14"/>
  <c r="M781" i="14"/>
  <c r="L782" i="14"/>
  <c r="M782" i="14"/>
  <c r="L783" i="14"/>
  <c r="M783" i="14"/>
  <c r="L784" i="14"/>
  <c r="M784" i="14"/>
  <c r="L785" i="14"/>
  <c r="M785" i="14"/>
  <c r="L786" i="14"/>
  <c r="M786" i="14"/>
  <c r="L787" i="14"/>
  <c r="M787" i="14"/>
  <c r="L788" i="14"/>
  <c r="M788" i="14"/>
  <c r="L789" i="14"/>
  <c r="M789" i="14"/>
  <c r="L790" i="14"/>
  <c r="M790" i="14"/>
  <c r="L791" i="14"/>
  <c r="M791" i="14"/>
  <c r="L792" i="14"/>
  <c r="M792" i="14"/>
  <c r="L793" i="14"/>
  <c r="M793" i="14"/>
  <c r="L794" i="14"/>
  <c r="M794" i="14"/>
  <c r="L795" i="14"/>
  <c r="M795" i="14"/>
  <c r="L796" i="14"/>
  <c r="M796" i="14"/>
  <c r="L797" i="14"/>
  <c r="M797" i="14"/>
  <c r="L798" i="14"/>
  <c r="M798" i="14"/>
  <c r="L799" i="14"/>
  <c r="M799" i="14"/>
  <c r="L800" i="14"/>
  <c r="M800" i="14"/>
  <c r="L801" i="14"/>
  <c r="M801" i="14"/>
  <c r="L802" i="14"/>
  <c r="M802" i="14"/>
  <c r="L803" i="14"/>
  <c r="M803" i="14"/>
  <c r="L804" i="14"/>
  <c r="M804" i="14"/>
  <c r="L805" i="14"/>
  <c r="M805" i="14"/>
  <c r="L806" i="14"/>
  <c r="M806" i="14"/>
  <c r="L807" i="14"/>
  <c r="M807" i="14"/>
  <c r="L808" i="14"/>
  <c r="M808" i="14"/>
  <c r="L809" i="14"/>
  <c r="M809" i="14"/>
  <c r="L810" i="14"/>
  <c r="M810" i="14"/>
  <c r="L811" i="14"/>
  <c r="M811" i="14"/>
  <c r="L812" i="14"/>
  <c r="M812" i="14"/>
  <c r="L813" i="14"/>
  <c r="M813" i="14"/>
  <c r="L814" i="14"/>
  <c r="M814" i="14"/>
  <c r="L815" i="14"/>
  <c r="M815" i="14"/>
  <c r="L816" i="14"/>
  <c r="M816" i="14"/>
  <c r="L817" i="14"/>
  <c r="M817" i="14"/>
  <c r="L818" i="14"/>
  <c r="M818" i="14"/>
  <c r="L819" i="14"/>
  <c r="M819" i="14"/>
  <c r="L820" i="14"/>
  <c r="M820" i="14"/>
  <c r="L821" i="14"/>
  <c r="M821" i="14"/>
  <c r="L822" i="14"/>
  <c r="M822" i="14"/>
  <c r="L823" i="14"/>
  <c r="M823" i="14"/>
  <c r="L824" i="14"/>
  <c r="M824" i="14"/>
  <c r="L825" i="14"/>
  <c r="M825" i="14"/>
  <c r="L826" i="14"/>
  <c r="M826" i="14"/>
  <c r="L827" i="14"/>
  <c r="M827" i="14"/>
  <c r="L828" i="14"/>
  <c r="M828" i="14"/>
  <c r="L829" i="14"/>
  <c r="M829" i="14"/>
  <c r="L830" i="14"/>
  <c r="M830" i="14"/>
  <c r="L831" i="14"/>
  <c r="M831" i="14"/>
  <c r="L832" i="14"/>
  <c r="M832" i="14"/>
  <c r="L833" i="14"/>
  <c r="M833" i="14"/>
  <c r="L834" i="14"/>
  <c r="M834" i="14"/>
  <c r="L835" i="14"/>
  <c r="M835" i="14"/>
  <c r="L836" i="14"/>
  <c r="M836" i="14"/>
  <c r="L837" i="14"/>
  <c r="M837" i="14"/>
  <c r="L838" i="14"/>
  <c r="M838" i="14"/>
  <c r="L839" i="14"/>
  <c r="M839" i="14"/>
  <c r="L840" i="14"/>
  <c r="M840" i="14"/>
  <c r="L841" i="14"/>
  <c r="M841" i="14"/>
  <c r="L842" i="14"/>
  <c r="M842" i="14"/>
  <c r="L843" i="14"/>
  <c r="M843" i="14"/>
  <c r="L844" i="14"/>
  <c r="M844" i="14"/>
  <c r="L845" i="14"/>
  <c r="M845" i="14"/>
  <c r="L846" i="14"/>
  <c r="M846" i="14"/>
  <c r="L847" i="14"/>
  <c r="M847" i="14"/>
  <c r="L848" i="14"/>
  <c r="M848" i="14"/>
  <c r="L849" i="14"/>
  <c r="M849" i="14"/>
  <c r="L850" i="14"/>
  <c r="M850" i="14"/>
  <c r="L851" i="14"/>
  <c r="M851" i="14"/>
  <c r="L852" i="14"/>
  <c r="M852" i="14"/>
  <c r="L853" i="14"/>
  <c r="M853" i="14"/>
  <c r="L854" i="14"/>
  <c r="M854" i="14"/>
  <c r="L855" i="14"/>
  <c r="M855" i="14"/>
  <c r="L856" i="14"/>
  <c r="M856" i="14"/>
  <c r="L857" i="14"/>
  <c r="M857" i="14"/>
  <c r="L858" i="14"/>
  <c r="M858" i="14"/>
  <c r="L859" i="14"/>
  <c r="M859" i="14"/>
  <c r="L860" i="14"/>
  <c r="M860" i="14"/>
  <c r="L861" i="14"/>
  <c r="M861" i="14"/>
  <c r="L862" i="14"/>
  <c r="M862" i="14"/>
  <c r="L863" i="14"/>
  <c r="M863" i="14"/>
  <c r="L864" i="14"/>
  <c r="M864" i="14"/>
  <c r="L865" i="14"/>
  <c r="M865" i="14"/>
  <c r="L866" i="14"/>
  <c r="M866" i="14"/>
  <c r="L867" i="14"/>
  <c r="M867" i="14"/>
  <c r="L868" i="14"/>
  <c r="M868" i="14"/>
  <c r="L869" i="14"/>
  <c r="M869" i="14"/>
  <c r="L870" i="14"/>
  <c r="M870" i="14"/>
  <c r="L871" i="14"/>
  <c r="M871" i="14"/>
  <c r="L872" i="14"/>
  <c r="M872" i="14"/>
  <c r="L873" i="14"/>
  <c r="M873" i="14"/>
  <c r="L874" i="14"/>
  <c r="M874" i="14"/>
  <c r="L875" i="14"/>
  <c r="M875" i="14"/>
  <c r="L876" i="14"/>
  <c r="M876" i="14"/>
  <c r="L877" i="14"/>
  <c r="M877" i="14"/>
  <c r="L878" i="14"/>
  <c r="M878" i="14"/>
  <c r="L879" i="14"/>
  <c r="M879" i="14"/>
  <c r="L880" i="14"/>
  <c r="M880" i="14"/>
  <c r="L881" i="14"/>
  <c r="M881" i="14"/>
  <c r="L882" i="14"/>
  <c r="M882" i="14"/>
  <c r="L883" i="14"/>
  <c r="M883" i="14"/>
  <c r="L884" i="14"/>
  <c r="M884" i="14"/>
  <c r="L885" i="14"/>
  <c r="M885" i="14"/>
  <c r="L886" i="14"/>
  <c r="M886" i="14"/>
  <c r="L887" i="14"/>
  <c r="M887" i="14"/>
  <c r="L888" i="14"/>
  <c r="M888" i="14"/>
  <c r="L889" i="14"/>
  <c r="M889" i="14"/>
  <c r="L890" i="14"/>
  <c r="M890" i="14"/>
  <c r="L891" i="14"/>
  <c r="M891" i="14"/>
  <c r="L892" i="14"/>
  <c r="M892" i="14"/>
  <c r="L893" i="14"/>
  <c r="M893" i="14"/>
  <c r="L894" i="14"/>
  <c r="M894" i="14"/>
  <c r="L895" i="14"/>
  <c r="M895" i="14"/>
  <c r="L896" i="14"/>
  <c r="M896" i="14"/>
  <c r="L897" i="14"/>
  <c r="M897" i="14"/>
  <c r="L898" i="14"/>
  <c r="M898" i="14"/>
  <c r="L899" i="14"/>
  <c r="M899" i="14"/>
  <c r="L900" i="14"/>
  <c r="M900" i="14"/>
  <c r="L901" i="14"/>
  <c r="M901" i="14"/>
  <c r="L902" i="14"/>
  <c r="M902" i="14"/>
  <c r="L903" i="14"/>
  <c r="M903" i="14"/>
  <c r="L904" i="14"/>
  <c r="M904" i="14"/>
  <c r="L905" i="14"/>
  <c r="M905" i="14"/>
  <c r="L906" i="14"/>
  <c r="M906" i="14"/>
  <c r="L907" i="14"/>
  <c r="M907" i="14"/>
  <c r="L908" i="14"/>
  <c r="M908" i="14"/>
  <c r="L909" i="14"/>
  <c r="M909" i="14"/>
  <c r="L910" i="14"/>
  <c r="M910" i="14"/>
  <c r="L911" i="14"/>
  <c r="M911" i="14"/>
  <c r="L912" i="14"/>
  <c r="M912" i="14"/>
  <c r="L913" i="14"/>
  <c r="M913" i="14"/>
  <c r="L914" i="14"/>
  <c r="M914" i="14"/>
  <c r="L915" i="14"/>
  <c r="M915" i="14"/>
  <c r="L916" i="14"/>
  <c r="M916" i="14"/>
  <c r="L917" i="14"/>
  <c r="M917" i="14"/>
  <c r="L918" i="14"/>
  <c r="M918" i="14"/>
  <c r="L919" i="14"/>
  <c r="M919" i="14"/>
  <c r="L920" i="14"/>
  <c r="M920" i="14"/>
  <c r="L921" i="14"/>
  <c r="M921" i="14"/>
  <c r="L922" i="14"/>
  <c r="M922" i="14"/>
  <c r="L923" i="14"/>
  <c r="M923" i="14"/>
  <c r="L924" i="14"/>
  <c r="M924" i="14"/>
  <c r="L925" i="14"/>
  <c r="M925" i="14"/>
  <c r="L926" i="14"/>
  <c r="M926" i="14"/>
  <c r="L927" i="14"/>
  <c r="M927" i="14"/>
  <c r="L928" i="14"/>
  <c r="M928" i="14"/>
  <c r="L929" i="14"/>
  <c r="M929" i="14"/>
  <c r="L930" i="14"/>
  <c r="M930" i="14"/>
  <c r="L931" i="14"/>
  <c r="M931" i="14"/>
  <c r="L932" i="14"/>
  <c r="M932" i="14"/>
  <c r="L933" i="14"/>
  <c r="M933" i="14"/>
  <c r="L934" i="14"/>
  <c r="M934" i="14"/>
  <c r="L935" i="14"/>
  <c r="M935" i="14"/>
  <c r="L936" i="14"/>
  <c r="M936" i="14"/>
  <c r="L937" i="14"/>
  <c r="M937" i="14"/>
  <c r="L938" i="14"/>
  <c r="M938" i="14"/>
  <c r="L939" i="14"/>
  <c r="M939" i="14"/>
  <c r="L940" i="14"/>
  <c r="M940" i="14"/>
  <c r="L941" i="14"/>
  <c r="M941" i="14"/>
  <c r="L942" i="14"/>
  <c r="M942" i="14"/>
  <c r="L943" i="14"/>
  <c r="M943" i="14"/>
  <c r="L944" i="14"/>
  <c r="M944" i="14"/>
  <c r="L945" i="14"/>
  <c r="M945" i="14"/>
  <c r="L946" i="14"/>
  <c r="M946" i="14"/>
  <c r="L947" i="14"/>
  <c r="M947" i="14"/>
  <c r="L948" i="14"/>
  <c r="M948" i="14"/>
  <c r="L949" i="14"/>
  <c r="M949" i="14"/>
  <c r="L950" i="14"/>
  <c r="M950" i="14"/>
  <c r="L951" i="14"/>
  <c r="M951" i="14"/>
  <c r="L952" i="14"/>
  <c r="M952" i="14"/>
  <c r="L953" i="14"/>
  <c r="M953" i="14"/>
  <c r="L954" i="14"/>
  <c r="M954" i="14"/>
  <c r="L955" i="14"/>
  <c r="M955" i="14"/>
  <c r="L956" i="14"/>
  <c r="M956" i="14"/>
  <c r="L957" i="14"/>
  <c r="M957" i="14"/>
  <c r="L958" i="14"/>
  <c r="M958" i="14"/>
  <c r="L959" i="14"/>
  <c r="M959" i="14"/>
  <c r="L960" i="14"/>
  <c r="M960" i="14"/>
  <c r="L961" i="14"/>
  <c r="M961" i="14"/>
  <c r="L962" i="14"/>
  <c r="M962" i="14"/>
  <c r="L963" i="14"/>
  <c r="M963" i="14"/>
  <c r="L964" i="14"/>
  <c r="M964" i="14"/>
  <c r="L965" i="14"/>
  <c r="M965" i="14"/>
  <c r="L966" i="14"/>
  <c r="M966" i="14"/>
  <c r="L967" i="14"/>
  <c r="M967" i="14"/>
  <c r="L968" i="14"/>
  <c r="M968" i="14"/>
  <c r="L969" i="14"/>
  <c r="M969" i="14"/>
  <c r="L970" i="14"/>
  <c r="M970" i="14"/>
  <c r="L971" i="14"/>
  <c r="M971" i="14"/>
  <c r="L972" i="14"/>
  <c r="M972" i="14"/>
  <c r="L973" i="14"/>
  <c r="M973" i="14"/>
  <c r="L974" i="14"/>
  <c r="M974" i="14"/>
  <c r="L975" i="14"/>
  <c r="M975" i="14"/>
  <c r="L976" i="14"/>
  <c r="M976" i="14"/>
  <c r="L977" i="14"/>
  <c r="M977" i="14"/>
  <c r="L978" i="14"/>
  <c r="M978" i="14"/>
  <c r="L979" i="14"/>
  <c r="M979" i="14"/>
  <c r="L980" i="14"/>
  <c r="M980" i="14"/>
  <c r="L981" i="14"/>
  <c r="M981" i="14"/>
  <c r="L982" i="14"/>
  <c r="M982" i="14"/>
  <c r="L983" i="14"/>
  <c r="M983" i="14"/>
  <c r="L984" i="14"/>
  <c r="M984" i="14"/>
  <c r="L985" i="14"/>
  <c r="M985" i="14"/>
  <c r="L986" i="14"/>
  <c r="M986" i="14"/>
  <c r="L987" i="14"/>
  <c r="M987" i="14"/>
  <c r="L988" i="14"/>
  <c r="M988" i="14"/>
  <c r="L989" i="14"/>
  <c r="M989" i="14"/>
  <c r="L990" i="14"/>
  <c r="M990" i="14"/>
  <c r="L991" i="14"/>
  <c r="M991" i="14"/>
  <c r="L992" i="14"/>
  <c r="M992" i="14"/>
  <c r="L993" i="14"/>
  <c r="M993" i="14"/>
  <c r="L994" i="14"/>
  <c r="M994" i="14"/>
  <c r="L995" i="14"/>
  <c r="M995" i="14"/>
  <c r="L996" i="14"/>
  <c r="M996" i="14"/>
  <c r="L997" i="14"/>
  <c r="M997" i="14"/>
  <c r="L998" i="14"/>
  <c r="M998" i="14"/>
  <c r="L999" i="14"/>
  <c r="M999" i="14"/>
  <c r="L1000" i="14"/>
  <c r="M1000" i="14"/>
  <c r="L1001" i="14"/>
  <c r="M1001" i="14"/>
  <c r="L1002" i="14"/>
  <c r="M1002" i="14"/>
  <c r="L1003" i="14"/>
  <c r="M1003" i="14"/>
  <c r="L1004" i="14"/>
  <c r="M1004" i="14"/>
  <c r="L1005" i="14"/>
  <c r="M1005" i="14"/>
  <c r="L1006" i="14"/>
  <c r="M1006" i="14"/>
  <c r="L1007" i="14"/>
  <c r="M1007" i="14"/>
  <c r="L1008" i="14"/>
  <c r="M1008" i="14"/>
  <c r="L1009" i="14"/>
  <c r="M1009" i="14"/>
  <c r="L1010" i="14"/>
  <c r="M1010" i="14"/>
  <c r="L1011" i="14"/>
  <c r="M1011" i="14"/>
  <c r="L1012" i="14"/>
  <c r="M1012" i="14"/>
  <c r="L1013" i="14"/>
  <c r="M1013" i="14"/>
  <c r="L1014" i="14"/>
  <c r="M1014" i="14"/>
  <c r="L1015" i="14"/>
  <c r="M1015" i="14"/>
  <c r="L1016" i="14"/>
  <c r="M1016" i="14"/>
  <c r="L1017" i="14"/>
  <c r="M1017" i="14"/>
  <c r="L1018" i="14"/>
  <c r="M1018" i="14"/>
  <c r="L1019" i="14"/>
  <c r="M1019" i="14"/>
  <c r="L1020" i="14"/>
  <c r="M1020" i="14"/>
  <c r="L1021" i="14"/>
  <c r="M1021" i="14"/>
  <c r="L1022" i="14"/>
  <c r="M1022" i="14"/>
  <c r="L1023" i="14"/>
  <c r="M1023" i="14"/>
  <c r="L1024" i="14"/>
  <c r="M1024" i="14"/>
  <c r="L1025" i="14"/>
  <c r="M1025" i="14"/>
  <c r="L1026" i="14"/>
  <c r="M1026" i="14"/>
  <c r="L1027" i="14"/>
  <c r="M1027" i="14"/>
  <c r="L1028" i="14"/>
  <c r="M1028" i="14"/>
  <c r="L1029" i="14"/>
  <c r="M1029" i="14"/>
  <c r="L1030" i="14"/>
  <c r="M1030" i="14"/>
  <c r="L1031" i="14"/>
  <c r="M1031" i="14"/>
  <c r="L1032" i="14"/>
  <c r="M1032" i="14"/>
  <c r="L1033" i="14"/>
  <c r="M1033" i="14"/>
  <c r="L1034" i="14"/>
  <c r="M1034" i="14"/>
  <c r="L1035" i="14"/>
  <c r="M1035" i="14"/>
  <c r="L1036" i="14"/>
  <c r="M1036" i="14"/>
  <c r="L1037" i="14"/>
  <c r="M1037" i="14"/>
  <c r="L1038" i="14"/>
  <c r="M1038" i="14"/>
  <c r="L1039" i="14"/>
  <c r="M1039" i="14"/>
  <c r="L1040" i="14"/>
  <c r="M1040" i="14"/>
  <c r="L1041" i="14"/>
  <c r="M1041" i="14"/>
  <c r="L1042" i="14"/>
  <c r="M1042" i="14"/>
  <c r="L1043" i="14"/>
  <c r="M1043" i="14"/>
  <c r="L1044" i="14"/>
  <c r="M1044" i="14"/>
  <c r="L1045" i="14"/>
  <c r="M1045" i="14"/>
  <c r="L1046" i="14"/>
  <c r="M1046" i="14"/>
  <c r="L1047" i="14"/>
  <c r="M1047" i="14"/>
  <c r="L1048" i="14"/>
  <c r="M1048" i="14"/>
  <c r="L1049" i="14"/>
  <c r="M1049" i="14"/>
  <c r="L1050" i="14"/>
  <c r="M1050" i="14"/>
  <c r="L1051" i="14"/>
  <c r="M1051" i="14"/>
  <c r="L1052" i="14"/>
  <c r="M1052" i="14"/>
  <c r="L1053" i="14"/>
  <c r="M1053" i="14"/>
  <c r="L1054" i="14"/>
  <c r="M1054" i="14"/>
  <c r="L1055" i="14"/>
  <c r="M1055" i="14"/>
  <c r="L1056" i="14"/>
  <c r="M1056" i="14"/>
  <c r="L1057" i="14"/>
  <c r="M1057" i="14"/>
  <c r="L1058" i="14"/>
  <c r="M1058" i="14"/>
  <c r="L1059" i="14"/>
  <c r="M1059" i="14"/>
  <c r="L1060" i="14"/>
  <c r="M1060" i="14"/>
  <c r="L1061" i="14"/>
  <c r="M1061" i="14"/>
  <c r="L1062" i="14"/>
  <c r="M1062" i="14"/>
  <c r="L1063" i="14"/>
  <c r="M1063" i="14"/>
  <c r="L1064" i="14"/>
  <c r="M1064" i="14"/>
  <c r="L1065" i="14"/>
  <c r="M1065" i="14"/>
  <c r="L1066" i="14"/>
  <c r="M1066" i="14"/>
  <c r="L1067" i="14"/>
  <c r="M1067" i="14"/>
  <c r="L1068" i="14"/>
  <c r="M1068" i="14"/>
  <c r="L1069" i="14"/>
  <c r="M1069" i="14"/>
  <c r="L1070" i="14"/>
  <c r="M1070" i="14"/>
  <c r="L1071" i="14"/>
  <c r="M1071" i="14"/>
  <c r="L1072" i="14"/>
  <c r="M1072" i="14"/>
  <c r="L1073" i="14"/>
  <c r="M1073" i="14"/>
  <c r="L1074" i="14"/>
  <c r="M1074" i="14"/>
  <c r="L1075" i="14"/>
  <c r="M1075" i="14"/>
  <c r="L1076" i="14"/>
  <c r="M1076" i="14"/>
  <c r="L1077" i="14"/>
  <c r="M1077" i="14"/>
  <c r="L1078" i="14"/>
  <c r="M1078" i="14"/>
  <c r="L1079" i="14"/>
  <c r="M1079" i="14"/>
  <c r="L1080" i="14"/>
  <c r="M1080" i="14"/>
  <c r="L1081" i="14"/>
  <c r="M1081" i="14"/>
  <c r="L1082" i="14"/>
  <c r="M1082" i="14"/>
  <c r="L1083" i="14"/>
  <c r="M1083" i="14"/>
  <c r="L1084" i="14"/>
  <c r="M1084" i="14"/>
  <c r="L1085" i="14"/>
  <c r="M1085" i="14"/>
  <c r="L1086" i="14"/>
  <c r="M1086" i="14"/>
  <c r="L1087" i="14"/>
  <c r="M1087" i="14"/>
  <c r="L1088" i="14"/>
  <c r="M1088" i="14"/>
  <c r="L1089" i="14"/>
  <c r="M1089" i="14"/>
  <c r="L1090" i="14"/>
  <c r="M1090" i="14"/>
  <c r="L1091" i="14"/>
  <c r="M1091" i="14"/>
  <c r="L1092" i="14"/>
  <c r="M1092" i="14"/>
  <c r="L1093" i="14"/>
  <c r="M1093" i="14"/>
  <c r="L1094" i="14"/>
  <c r="M1094" i="14"/>
  <c r="L1095" i="14"/>
  <c r="M1095" i="14"/>
  <c r="L1096" i="14"/>
  <c r="M1096" i="14"/>
  <c r="L1097" i="14"/>
  <c r="M1097" i="14"/>
  <c r="L1098" i="14"/>
  <c r="M1098" i="14"/>
  <c r="L1099" i="14"/>
  <c r="M1099" i="14"/>
  <c r="L1100" i="14"/>
  <c r="M1100" i="14"/>
  <c r="L1101" i="14"/>
  <c r="M1101" i="14"/>
  <c r="L1102" i="14"/>
  <c r="M1102" i="14"/>
  <c r="L1103" i="14"/>
  <c r="M1103" i="14"/>
  <c r="L1104" i="14"/>
  <c r="M1104" i="14"/>
  <c r="L1105" i="14"/>
  <c r="M1105" i="14"/>
  <c r="L1106" i="14"/>
  <c r="M1106" i="14"/>
  <c r="L1107" i="14"/>
  <c r="M1107" i="14"/>
  <c r="L1108" i="14"/>
  <c r="M1108" i="14"/>
  <c r="L1109" i="14"/>
  <c r="M1109" i="14"/>
  <c r="L1110" i="14"/>
  <c r="M1110" i="14"/>
  <c r="L1111" i="14"/>
  <c r="M1111" i="14"/>
  <c r="L1112" i="14"/>
  <c r="M1112" i="14"/>
  <c r="L1113" i="14"/>
  <c r="M1113" i="14"/>
  <c r="L1114" i="14"/>
  <c r="M1114" i="14"/>
  <c r="L1115" i="14"/>
  <c r="M1115" i="14"/>
  <c r="L1116" i="14"/>
  <c r="M1116" i="14"/>
  <c r="L1117" i="14"/>
  <c r="M1117" i="14"/>
  <c r="L1118" i="14"/>
  <c r="M1118" i="14"/>
  <c r="L1119" i="14"/>
  <c r="M1119" i="14"/>
  <c r="L1120" i="14"/>
  <c r="M1120" i="14"/>
  <c r="L1121" i="14"/>
  <c r="M1121" i="14"/>
  <c r="L1122" i="14"/>
  <c r="M1122" i="14"/>
  <c r="L1123" i="14"/>
  <c r="M1123" i="14"/>
  <c r="L1124" i="14"/>
  <c r="M1124" i="14"/>
  <c r="L1125" i="14"/>
  <c r="M1125" i="14"/>
  <c r="L1126" i="14"/>
  <c r="M1126" i="14"/>
  <c r="L1127" i="14"/>
  <c r="M1127" i="14"/>
  <c r="L1128" i="14"/>
  <c r="M1128" i="14"/>
  <c r="L1129" i="14"/>
  <c r="M1129" i="14"/>
  <c r="L1130" i="14"/>
  <c r="M1130" i="14"/>
  <c r="L1131" i="14"/>
  <c r="M1131" i="14"/>
  <c r="L1132" i="14"/>
  <c r="M1132" i="14"/>
  <c r="L1133" i="14"/>
  <c r="M1133" i="14"/>
  <c r="L1134" i="14"/>
  <c r="M1134" i="14"/>
  <c r="L1135" i="14"/>
  <c r="M1135" i="14"/>
  <c r="L1136" i="14"/>
  <c r="M1136" i="14"/>
  <c r="L1137" i="14"/>
  <c r="M1137" i="14"/>
  <c r="L1138" i="14"/>
  <c r="M1138" i="14"/>
  <c r="L1139" i="14"/>
  <c r="M1139" i="14"/>
  <c r="L1140" i="14"/>
  <c r="M1140" i="14"/>
  <c r="L1141" i="14"/>
  <c r="M1141" i="14"/>
  <c r="L1142" i="14"/>
  <c r="M1142" i="14"/>
  <c r="L1143" i="14"/>
  <c r="M1143" i="14"/>
  <c r="L1144" i="14"/>
  <c r="M1144" i="14"/>
  <c r="L1145" i="14"/>
  <c r="M1145" i="14"/>
  <c r="L1146" i="14"/>
  <c r="M1146" i="14"/>
  <c r="L1147" i="14"/>
  <c r="M1147" i="14"/>
  <c r="L1148" i="14"/>
  <c r="M1148" i="14"/>
  <c r="L1149" i="14"/>
  <c r="M1149" i="14"/>
  <c r="L1150" i="14"/>
  <c r="M1150" i="14"/>
  <c r="L1151" i="14"/>
  <c r="M1151" i="14"/>
  <c r="L1152" i="14"/>
  <c r="M1152" i="14"/>
  <c r="L1153" i="14"/>
  <c r="M1153" i="14"/>
  <c r="L1154" i="14"/>
  <c r="M1154" i="14"/>
  <c r="L1155" i="14"/>
  <c r="M1155" i="14"/>
  <c r="L1156" i="14"/>
  <c r="M1156" i="14"/>
  <c r="L1157" i="14"/>
  <c r="M1157" i="14"/>
  <c r="L1158" i="14"/>
  <c r="M1158" i="14"/>
  <c r="L1159" i="14"/>
  <c r="M1159" i="14"/>
  <c r="L1160" i="14"/>
  <c r="M1160" i="14"/>
  <c r="L1161" i="14"/>
  <c r="M1161" i="14"/>
  <c r="L1162" i="14"/>
  <c r="M1162" i="14"/>
  <c r="L1163" i="14"/>
  <c r="M1163" i="14"/>
  <c r="L1164" i="14"/>
  <c r="M1164" i="14"/>
  <c r="L1165" i="14"/>
  <c r="M1165" i="14"/>
  <c r="L1166" i="14"/>
  <c r="M1166" i="14"/>
  <c r="L1167" i="14"/>
  <c r="M1167" i="14"/>
  <c r="L1168" i="14"/>
  <c r="M1168" i="14"/>
  <c r="L1169" i="14"/>
  <c r="M1169" i="14"/>
  <c r="L1170" i="14"/>
  <c r="M1170" i="14"/>
  <c r="L1171" i="14"/>
  <c r="M1171" i="14"/>
  <c r="L1172" i="14"/>
  <c r="M1172" i="14"/>
  <c r="L1173" i="14"/>
  <c r="M1173" i="14"/>
  <c r="L1174" i="14"/>
  <c r="M1174" i="14"/>
  <c r="L1175" i="14"/>
  <c r="M1175" i="14"/>
  <c r="L1176" i="14"/>
  <c r="M1176" i="14"/>
  <c r="L1177" i="14"/>
  <c r="M1177" i="14"/>
  <c r="L1178" i="14"/>
  <c r="M1178" i="14"/>
  <c r="L1179" i="14"/>
  <c r="M1179" i="14"/>
  <c r="L1180" i="14"/>
  <c r="M1180" i="14"/>
  <c r="L1181" i="14"/>
  <c r="M1181" i="14"/>
  <c r="L1182" i="14"/>
  <c r="M1182" i="14"/>
  <c r="L1183" i="14"/>
  <c r="M1183" i="14"/>
  <c r="L1184" i="14"/>
  <c r="M1184" i="14"/>
  <c r="L1185" i="14"/>
  <c r="M1185" i="14"/>
  <c r="L1186" i="14"/>
  <c r="M1186" i="14"/>
  <c r="L1187" i="14"/>
  <c r="M1187" i="14"/>
  <c r="L1188" i="14"/>
  <c r="M1188" i="14"/>
  <c r="L1189" i="14"/>
  <c r="M1189" i="14"/>
  <c r="L1190" i="14"/>
  <c r="M1190" i="14"/>
  <c r="L1191" i="14"/>
  <c r="M1191" i="14"/>
  <c r="L1192" i="14"/>
  <c r="M1192" i="14"/>
  <c r="L1193" i="14"/>
  <c r="M1193" i="14"/>
  <c r="L1194" i="14"/>
  <c r="M1194" i="14"/>
  <c r="L1195" i="14"/>
  <c r="M1195" i="14"/>
  <c r="L1196" i="14"/>
  <c r="M1196" i="14"/>
  <c r="L1197" i="14"/>
  <c r="M1197" i="14"/>
  <c r="L1198" i="14"/>
  <c r="M1198" i="14"/>
  <c r="L1199" i="14"/>
  <c r="M1199" i="14"/>
  <c r="L1200" i="14"/>
  <c r="M1200" i="14"/>
  <c r="L1201" i="14"/>
  <c r="M1201" i="14"/>
  <c r="L1202" i="14"/>
  <c r="M1202" i="14"/>
  <c r="L1203" i="14"/>
  <c r="M1203" i="14"/>
  <c r="L1204" i="14"/>
  <c r="M1204" i="14"/>
  <c r="L1205" i="14"/>
  <c r="M1205" i="14"/>
  <c r="L1206" i="14"/>
  <c r="M1206" i="14"/>
  <c r="L1207" i="14"/>
  <c r="M1207" i="14"/>
  <c r="L1208" i="14"/>
  <c r="M1208" i="14"/>
  <c r="L1209" i="14"/>
  <c r="M1209" i="14"/>
  <c r="L1210" i="14"/>
  <c r="M1210" i="14"/>
  <c r="L1211" i="14"/>
  <c r="M1211" i="14"/>
  <c r="L1212" i="14"/>
  <c r="M1212" i="14"/>
  <c r="L1213" i="14"/>
  <c r="M1213" i="14"/>
  <c r="L1214" i="14"/>
  <c r="M1214" i="14"/>
  <c r="L1215" i="14"/>
  <c r="M1215" i="14"/>
  <c r="L1216" i="14"/>
  <c r="M1216" i="14"/>
  <c r="L1217" i="14"/>
  <c r="M1217" i="14"/>
  <c r="L1218" i="14"/>
  <c r="M1218" i="14"/>
  <c r="L1219" i="14"/>
  <c r="M1219" i="14"/>
  <c r="L1220" i="14"/>
  <c r="M1220" i="14"/>
  <c r="L1221" i="14"/>
  <c r="M1221" i="14"/>
  <c r="L1222" i="14"/>
  <c r="M1222" i="14"/>
  <c r="L1223" i="14"/>
  <c r="M1223" i="14"/>
  <c r="L1224" i="14"/>
  <c r="M1224" i="14"/>
  <c r="L1225" i="14"/>
  <c r="M1225" i="14"/>
  <c r="L1226" i="14"/>
  <c r="M1226" i="14"/>
  <c r="L1227" i="14"/>
  <c r="M1227" i="14"/>
  <c r="L1228" i="14"/>
  <c r="M1228" i="14"/>
  <c r="L1229" i="14"/>
  <c r="M1229" i="14"/>
  <c r="L1230" i="14"/>
  <c r="M1230" i="14"/>
  <c r="L1231" i="14"/>
  <c r="M1231" i="14"/>
  <c r="L1232" i="14"/>
  <c r="M1232" i="14"/>
  <c r="L1233" i="14"/>
  <c r="M1233" i="14"/>
  <c r="L1234" i="14"/>
  <c r="M1234" i="14"/>
  <c r="L1235" i="14"/>
  <c r="M1235" i="14"/>
  <c r="L1236" i="14"/>
  <c r="M1236" i="14"/>
  <c r="L1237" i="14"/>
  <c r="M1237" i="14"/>
  <c r="L1238" i="14"/>
  <c r="M1238" i="14"/>
  <c r="L1239" i="14"/>
  <c r="M1239" i="14"/>
  <c r="L1240" i="14"/>
  <c r="M1240" i="14"/>
  <c r="L1241" i="14"/>
  <c r="M1241" i="14"/>
  <c r="L1242" i="14"/>
  <c r="M1242" i="14"/>
  <c r="L1243" i="14"/>
  <c r="M1243" i="14"/>
  <c r="L1244" i="14"/>
  <c r="M1244" i="14"/>
  <c r="L1245" i="14"/>
  <c r="M1245" i="14"/>
  <c r="L1246" i="14"/>
  <c r="M1246" i="14"/>
  <c r="L1247" i="14"/>
  <c r="M1247" i="14"/>
  <c r="L1248" i="14"/>
  <c r="M1248" i="14"/>
  <c r="L1249" i="14"/>
  <c r="M1249" i="14"/>
  <c r="L1250" i="14"/>
  <c r="M1250" i="14"/>
  <c r="L1251" i="14"/>
  <c r="M1251" i="14"/>
  <c r="L1252" i="14"/>
  <c r="M1252" i="14"/>
  <c r="L1253" i="14"/>
  <c r="M1253" i="14"/>
  <c r="L1254" i="14"/>
  <c r="M1254" i="14"/>
  <c r="L1255" i="14"/>
  <c r="M1255" i="14"/>
  <c r="L1256" i="14"/>
  <c r="M1256" i="14"/>
  <c r="L1257" i="14"/>
  <c r="M1257" i="14"/>
  <c r="L1258" i="14"/>
  <c r="M1258" i="14"/>
  <c r="L1259" i="14"/>
  <c r="M1259" i="14"/>
  <c r="L1260" i="14"/>
  <c r="M1260" i="14"/>
  <c r="L1261" i="14"/>
  <c r="M1261" i="14"/>
  <c r="L1262" i="14"/>
  <c r="M1262" i="14"/>
  <c r="L1263" i="14"/>
  <c r="M1263" i="14"/>
  <c r="L1264" i="14"/>
  <c r="M1264" i="14"/>
  <c r="L1265" i="14"/>
  <c r="M1265" i="14"/>
  <c r="L1266" i="14"/>
  <c r="M1266" i="14"/>
  <c r="L1267" i="14"/>
  <c r="M1267" i="14"/>
  <c r="L1268" i="14"/>
  <c r="M1268" i="14"/>
  <c r="L1269" i="14"/>
  <c r="M1269" i="14"/>
  <c r="L1270" i="14"/>
  <c r="M1270" i="14"/>
  <c r="L1271" i="14"/>
  <c r="M1271" i="14"/>
  <c r="L1272" i="14"/>
  <c r="M1272" i="14"/>
  <c r="L1273" i="14"/>
  <c r="M1273" i="14"/>
  <c r="L1274" i="14"/>
  <c r="M1274" i="14"/>
  <c r="L1275" i="14"/>
  <c r="M1275" i="14"/>
  <c r="L1276" i="14"/>
  <c r="M1276" i="14"/>
  <c r="L1277" i="14"/>
  <c r="M1277" i="14"/>
  <c r="L1278" i="14"/>
  <c r="M1278" i="14"/>
  <c r="L1279" i="14"/>
  <c r="M1279" i="14"/>
  <c r="L1280" i="14"/>
  <c r="M1280" i="14"/>
  <c r="L1281" i="14"/>
  <c r="M1281" i="14"/>
  <c r="L1282" i="14"/>
  <c r="M1282" i="14"/>
  <c r="L1283" i="14"/>
  <c r="M1283" i="14"/>
  <c r="L1284" i="14"/>
  <c r="M1284" i="14"/>
  <c r="L1285" i="14"/>
  <c r="M1285" i="14"/>
  <c r="L1286" i="14"/>
  <c r="M1286" i="14"/>
  <c r="L1287" i="14"/>
  <c r="M1287" i="14"/>
  <c r="L1288" i="14"/>
  <c r="M1288" i="14"/>
  <c r="L1289" i="14"/>
  <c r="M1289" i="14"/>
  <c r="L1290" i="14"/>
  <c r="M1290" i="14"/>
  <c r="L1291" i="14"/>
  <c r="M1291" i="14"/>
  <c r="L1292" i="14"/>
  <c r="M1292" i="14"/>
  <c r="L1293" i="14"/>
  <c r="M1293" i="14"/>
  <c r="L1294" i="14"/>
  <c r="M1294" i="14"/>
  <c r="L1295" i="14"/>
  <c r="M1295" i="14"/>
  <c r="L1296" i="14"/>
  <c r="M1296" i="14"/>
  <c r="L1297" i="14"/>
  <c r="M1297" i="14"/>
  <c r="L1298" i="14"/>
  <c r="M1298" i="14"/>
  <c r="L1299" i="14"/>
  <c r="M1299" i="14"/>
  <c r="L1300" i="14"/>
  <c r="M1300" i="14"/>
  <c r="L1301" i="14"/>
  <c r="M1301" i="14"/>
  <c r="L1302" i="14"/>
  <c r="M1302" i="14"/>
  <c r="L1303" i="14"/>
  <c r="M1303" i="14"/>
  <c r="L1304" i="14"/>
  <c r="M1304" i="14"/>
  <c r="L1305" i="14"/>
  <c r="M1305" i="14"/>
  <c r="L1306" i="14"/>
  <c r="M1306" i="14"/>
  <c r="L1307" i="14"/>
  <c r="M1307" i="14"/>
  <c r="L1308" i="14"/>
  <c r="M1308" i="14"/>
  <c r="L1309" i="14"/>
  <c r="M1309" i="14"/>
  <c r="L1310" i="14"/>
  <c r="M1310" i="14"/>
  <c r="L1311" i="14"/>
  <c r="M1311" i="14"/>
  <c r="L1312" i="14"/>
  <c r="M1312" i="14"/>
  <c r="L1313" i="14"/>
  <c r="M1313" i="14"/>
  <c r="L1314" i="14"/>
  <c r="M1314" i="14"/>
  <c r="L1315" i="14"/>
  <c r="M1315" i="14"/>
  <c r="L1316" i="14"/>
  <c r="M1316" i="14"/>
  <c r="L1317" i="14"/>
  <c r="M1317" i="14"/>
  <c r="L1318" i="14"/>
  <c r="M1318" i="14"/>
  <c r="L1319" i="14"/>
  <c r="M1319" i="14"/>
  <c r="L1320" i="14"/>
  <c r="M1320" i="14"/>
  <c r="L1321" i="14"/>
  <c r="M1321" i="14"/>
  <c r="L1322" i="14"/>
  <c r="M1322" i="14"/>
  <c r="L1323" i="14"/>
  <c r="M1323" i="14"/>
  <c r="L1324" i="14"/>
  <c r="M1324" i="14"/>
  <c r="L1325" i="14"/>
  <c r="M1325" i="14"/>
  <c r="L1326" i="14"/>
  <c r="M1326" i="14"/>
  <c r="L1327" i="14"/>
  <c r="M1327" i="14"/>
  <c r="L1328" i="14"/>
  <c r="M1328" i="14"/>
  <c r="L1329" i="14"/>
  <c r="M1329" i="14"/>
  <c r="L1330" i="14"/>
  <c r="M1330" i="14"/>
  <c r="L1331" i="14"/>
  <c r="M1331" i="14"/>
  <c r="L1332" i="14"/>
  <c r="M1332" i="14"/>
  <c r="L1333" i="14"/>
  <c r="M1333" i="14"/>
  <c r="L1334" i="14"/>
  <c r="M1334" i="14"/>
  <c r="L1335" i="14"/>
  <c r="M1335" i="14"/>
  <c r="L1336" i="14"/>
  <c r="M1336" i="14"/>
  <c r="L1337" i="14"/>
  <c r="M1337" i="14"/>
  <c r="L1338" i="14"/>
  <c r="M1338" i="14"/>
  <c r="L1339" i="14"/>
  <c r="M1339" i="14"/>
  <c r="L1340" i="14"/>
  <c r="M1340" i="14"/>
  <c r="L1341" i="14"/>
  <c r="M1341" i="14"/>
  <c r="L1342" i="14"/>
  <c r="M1342" i="14"/>
  <c r="L1343" i="14"/>
  <c r="M1343" i="14"/>
  <c r="L1344" i="14"/>
  <c r="M1344" i="14"/>
  <c r="L1345" i="14"/>
  <c r="M1345" i="14"/>
  <c r="L1346" i="14"/>
  <c r="M1346" i="14"/>
  <c r="L1347" i="14"/>
  <c r="M1347" i="14"/>
  <c r="L1348" i="14"/>
  <c r="M1348" i="14"/>
  <c r="L1349" i="14"/>
  <c r="M1349" i="14"/>
  <c r="L1350" i="14"/>
  <c r="M1350" i="14"/>
  <c r="L1351" i="14"/>
  <c r="M1351" i="14"/>
  <c r="L1352" i="14"/>
  <c r="M1352" i="14"/>
  <c r="L1353" i="14"/>
  <c r="M1353" i="14"/>
  <c r="L1354" i="14"/>
  <c r="M1354" i="14"/>
  <c r="L1355" i="14"/>
  <c r="M1355" i="14"/>
  <c r="L1356" i="14"/>
  <c r="M1356" i="14"/>
  <c r="L1358" i="14"/>
  <c r="M1358" i="14"/>
  <c r="L1359" i="14"/>
  <c r="M1359" i="14"/>
  <c r="L1360" i="14"/>
  <c r="M1360" i="14"/>
  <c r="L1361" i="14"/>
  <c r="M1361" i="14"/>
  <c r="L1362" i="14"/>
  <c r="M1362" i="14"/>
  <c r="L1363" i="14"/>
  <c r="M1363" i="14"/>
  <c r="L1364" i="14"/>
  <c r="M1364" i="14"/>
  <c r="L1365" i="14"/>
  <c r="M1365" i="14"/>
  <c r="L1366" i="14"/>
  <c r="M1366" i="14"/>
  <c r="L1367" i="14"/>
  <c r="M1367" i="14"/>
  <c r="L1368" i="14"/>
  <c r="M1368" i="14"/>
  <c r="L1369" i="14"/>
  <c r="M1369" i="14"/>
  <c r="L1370" i="14"/>
  <c r="M1370" i="14"/>
  <c r="L1371" i="14"/>
  <c r="M1371" i="14"/>
  <c r="L1372" i="14"/>
  <c r="M1372" i="14"/>
  <c r="L1373" i="14"/>
  <c r="M1373" i="14"/>
  <c r="L1374" i="14"/>
  <c r="M1374" i="14"/>
  <c r="L1375" i="14"/>
  <c r="M1375" i="14"/>
  <c r="L1376" i="14"/>
  <c r="M1376" i="14"/>
  <c r="L1377" i="14"/>
  <c r="M1377" i="14"/>
  <c r="L1378" i="14"/>
  <c r="M1378" i="14"/>
  <c r="L1379" i="14"/>
  <c r="M1379" i="14"/>
  <c r="L1380" i="14"/>
  <c r="M1380" i="14"/>
  <c r="L1381" i="14"/>
  <c r="M1381" i="14"/>
  <c r="L1382" i="14"/>
  <c r="M1382" i="14"/>
  <c r="L1383" i="14"/>
  <c r="M1383" i="14"/>
  <c r="L1384" i="14"/>
  <c r="M1384" i="14"/>
  <c r="L1385" i="14"/>
  <c r="M1385" i="14"/>
  <c r="L1386" i="14"/>
  <c r="M1386" i="14"/>
  <c r="L1387" i="14"/>
  <c r="M1387" i="14"/>
  <c r="L1388" i="14"/>
  <c r="M1388" i="14"/>
  <c r="L1389" i="14"/>
  <c r="M1389" i="14"/>
  <c r="L1390" i="14"/>
  <c r="M1390" i="14"/>
  <c r="L1391" i="14"/>
  <c r="M1391" i="14"/>
  <c r="L1392" i="14"/>
  <c r="M1392" i="14"/>
  <c r="L1393" i="14"/>
  <c r="M1393" i="14"/>
  <c r="L1394" i="14"/>
  <c r="M1394" i="14"/>
  <c r="L1395" i="14"/>
  <c r="M1395" i="14"/>
  <c r="L1396" i="14"/>
  <c r="M1396" i="14"/>
  <c r="L1397" i="14"/>
  <c r="M1397" i="14"/>
  <c r="L1398" i="14"/>
  <c r="M1398" i="14"/>
  <c r="L1399" i="14"/>
  <c r="M1399" i="14"/>
  <c r="L1400" i="14"/>
  <c r="M1400" i="14"/>
  <c r="L1401" i="14"/>
  <c r="M1401" i="14"/>
  <c r="L1402" i="14"/>
  <c r="M1402" i="14"/>
  <c r="L1403" i="14"/>
  <c r="M1403" i="14"/>
  <c r="L1404" i="14"/>
  <c r="M1404" i="14"/>
  <c r="L1405" i="14"/>
  <c r="M1405" i="14"/>
  <c r="L1406" i="14"/>
  <c r="M1406" i="14"/>
  <c r="L1407" i="14"/>
  <c r="M1407" i="14"/>
  <c r="L1408" i="14"/>
  <c r="M1408" i="14"/>
  <c r="L1409" i="14"/>
  <c r="M1409" i="14"/>
  <c r="L1410" i="14"/>
  <c r="M1410" i="14"/>
  <c r="L1411" i="14"/>
  <c r="M1411" i="14"/>
  <c r="L1412" i="14"/>
  <c r="M1412" i="14"/>
  <c r="L1413" i="14"/>
  <c r="M1413" i="14"/>
  <c r="L1414" i="14"/>
  <c r="M1414" i="14"/>
  <c r="L1415" i="14"/>
  <c r="M1415" i="14"/>
  <c r="L1416" i="14"/>
  <c r="M1416" i="14"/>
  <c r="L1417" i="14"/>
  <c r="M1417" i="14"/>
  <c r="L1418" i="14"/>
  <c r="M1418" i="14"/>
  <c r="L1419" i="14"/>
  <c r="M1419" i="14"/>
  <c r="L1420" i="14"/>
  <c r="M1420" i="14"/>
  <c r="L1421" i="14"/>
  <c r="M1421" i="14"/>
  <c r="L1422" i="14"/>
  <c r="M1422" i="14"/>
  <c r="L1423" i="14"/>
  <c r="M1423" i="14"/>
  <c r="L1424" i="14"/>
  <c r="M1424" i="14"/>
  <c r="L1425" i="14"/>
  <c r="M1425" i="14"/>
  <c r="L1426" i="14"/>
  <c r="M1426" i="14"/>
  <c r="L1427" i="14"/>
  <c r="M1427" i="14"/>
  <c r="L1428" i="14"/>
  <c r="M1428" i="14"/>
  <c r="L1429" i="14"/>
  <c r="M1429" i="14"/>
  <c r="L1430" i="14"/>
  <c r="M1430" i="14"/>
  <c r="L1431" i="14"/>
  <c r="M1431" i="14"/>
  <c r="L1432" i="14"/>
  <c r="M1432" i="14"/>
  <c r="L1433" i="14"/>
  <c r="M1433" i="14"/>
  <c r="L1434" i="14"/>
  <c r="M1434" i="14"/>
  <c r="L1435" i="14"/>
  <c r="M1435" i="14"/>
  <c r="L1436" i="14"/>
  <c r="M1436" i="14"/>
  <c r="L1437" i="14"/>
  <c r="M1437" i="14"/>
  <c r="L1438" i="14"/>
  <c r="M1438" i="14"/>
  <c r="L1439" i="14"/>
  <c r="M1439" i="14"/>
  <c r="L1440" i="14"/>
  <c r="M1440" i="14"/>
  <c r="L1441" i="14"/>
  <c r="M1441" i="14"/>
  <c r="L1442" i="14"/>
  <c r="M1442" i="14"/>
  <c r="L1443" i="14"/>
  <c r="M1443" i="14"/>
  <c r="L1444" i="14"/>
  <c r="M1444" i="14"/>
  <c r="L1445" i="14"/>
  <c r="M1445" i="14"/>
  <c r="L1446" i="14"/>
  <c r="M1446" i="14"/>
  <c r="L1447" i="14"/>
  <c r="M1447" i="14"/>
  <c r="L1448" i="14"/>
  <c r="M1448" i="14"/>
  <c r="L1449" i="14"/>
  <c r="M1449" i="14"/>
  <c r="L1450" i="14"/>
  <c r="M1450" i="14"/>
  <c r="L1451" i="14"/>
  <c r="M1451" i="14"/>
  <c r="L1452" i="14"/>
  <c r="M1452" i="14"/>
  <c r="L1453" i="14"/>
  <c r="M1453" i="14"/>
  <c r="L1454" i="14"/>
  <c r="M1454" i="14"/>
  <c r="L1455" i="14"/>
  <c r="M1455" i="14"/>
  <c r="L1456" i="14"/>
  <c r="M1456" i="14"/>
  <c r="L1457" i="14"/>
  <c r="M1457" i="14"/>
  <c r="L1458" i="14"/>
  <c r="M1458" i="14"/>
  <c r="L1459" i="14"/>
  <c r="M1459" i="14"/>
  <c r="L1460" i="14"/>
  <c r="M1460" i="14"/>
  <c r="L1461" i="14"/>
  <c r="M1461" i="14"/>
  <c r="L1462" i="14"/>
  <c r="M1462" i="14"/>
  <c r="L1463" i="14"/>
  <c r="M1463" i="14"/>
  <c r="L1464" i="14"/>
  <c r="M1464" i="14"/>
  <c r="L1465" i="14"/>
  <c r="M1465" i="14"/>
  <c r="L1466" i="14"/>
  <c r="M1466" i="14"/>
  <c r="L1467" i="14"/>
  <c r="M1467" i="14"/>
  <c r="L1468" i="14"/>
  <c r="M1468" i="14"/>
  <c r="L1469" i="14"/>
  <c r="M1469" i="14"/>
  <c r="L1470" i="14"/>
  <c r="M1470" i="14"/>
  <c r="L1471" i="14"/>
  <c r="M1471" i="14"/>
  <c r="L1472" i="14"/>
  <c r="M1472" i="14"/>
  <c r="L1473" i="14"/>
  <c r="M1473" i="14"/>
  <c r="L1474" i="14"/>
  <c r="M1474" i="14"/>
  <c r="L1475" i="14"/>
  <c r="M1475" i="14"/>
  <c r="L1476" i="14"/>
  <c r="M1476" i="14"/>
  <c r="L1477" i="14"/>
  <c r="M1477" i="14"/>
  <c r="L1478" i="14"/>
  <c r="M1478" i="14"/>
  <c r="L1479" i="14"/>
  <c r="M1479" i="14"/>
  <c r="L1480" i="14"/>
  <c r="M1480" i="14"/>
  <c r="L1481" i="14"/>
  <c r="M1481" i="14"/>
  <c r="L1482" i="14"/>
  <c r="M1482" i="14"/>
  <c r="L1483" i="14"/>
  <c r="M1483" i="14"/>
  <c r="L1484" i="14"/>
  <c r="M1484" i="14"/>
  <c r="L1485" i="14"/>
  <c r="M1485" i="14"/>
  <c r="L1486" i="14"/>
  <c r="M1486" i="14"/>
  <c r="L1487" i="14"/>
  <c r="M1487" i="14"/>
  <c r="L1488" i="14"/>
  <c r="M1488" i="14"/>
  <c r="L1489" i="14"/>
  <c r="M1489" i="14"/>
  <c r="L1490" i="14"/>
  <c r="M1490" i="14"/>
  <c r="L1491" i="14"/>
  <c r="M1491" i="14"/>
  <c r="L1492" i="14"/>
  <c r="M1492" i="14"/>
  <c r="L1493" i="14"/>
  <c r="M1493" i="14"/>
  <c r="L1494" i="14"/>
  <c r="M1494" i="14"/>
  <c r="L1495" i="14"/>
  <c r="M1495" i="14"/>
  <c r="L1496" i="14"/>
  <c r="M1496" i="14"/>
  <c r="L1497" i="14"/>
  <c r="M1497" i="14"/>
  <c r="L1498" i="14"/>
  <c r="M1498" i="14"/>
  <c r="L1499" i="14"/>
  <c r="M1499" i="14"/>
  <c r="L1500" i="14"/>
  <c r="M1500" i="14"/>
  <c r="P149" i="4" l="1"/>
  <c r="Q149" i="4"/>
  <c r="R149" i="4"/>
  <c r="S149" i="4"/>
  <c r="T149" i="4"/>
  <c r="P148" i="4"/>
  <c r="Q148" i="4"/>
  <c r="R148" i="4"/>
  <c r="S148" i="4"/>
  <c r="T148" i="4"/>
  <c r="P147" i="4"/>
  <c r="Q147" i="4"/>
  <c r="R147" i="4"/>
  <c r="S147" i="4"/>
  <c r="T147" i="4"/>
  <c r="P146" i="4"/>
  <c r="Q146" i="4"/>
  <c r="R146" i="4"/>
  <c r="S146" i="4"/>
  <c r="T146" i="4"/>
  <c r="P145" i="4"/>
  <c r="Q145" i="4"/>
  <c r="R145" i="4"/>
  <c r="S145" i="4"/>
  <c r="T145" i="4"/>
  <c r="P144" i="4"/>
  <c r="Q144" i="4"/>
  <c r="R144" i="4"/>
  <c r="S144" i="4"/>
  <c r="T144" i="4"/>
  <c r="P143" i="4"/>
  <c r="Q143" i="4"/>
  <c r="R143" i="4"/>
  <c r="S143" i="4"/>
  <c r="T143" i="4"/>
  <c r="P141" i="4"/>
  <c r="Q141" i="4"/>
  <c r="R141" i="4"/>
  <c r="S141" i="4"/>
  <c r="T141" i="4"/>
  <c r="P142" i="4"/>
  <c r="Q142" i="4"/>
  <c r="R142" i="4"/>
  <c r="S142" i="4"/>
  <c r="T142" i="4"/>
  <c r="P140" i="4"/>
  <c r="Q140" i="4"/>
  <c r="R140" i="4"/>
  <c r="S140" i="4"/>
  <c r="T140" i="4"/>
  <c r="P139" i="4"/>
  <c r="Q139" i="4"/>
  <c r="R139" i="4"/>
  <c r="S139" i="4"/>
  <c r="T139" i="4"/>
  <c r="P200" i="4"/>
  <c r="Q200" i="4"/>
  <c r="R200" i="4"/>
  <c r="S200" i="4"/>
  <c r="T200" i="4"/>
  <c r="P199" i="4"/>
  <c r="Q199" i="4"/>
  <c r="R199" i="4"/>
  <c r="S199" i="4"/>
  <c r="T199" i="4"/>
  <c r="P198" i="4"/>
  <c r="Q198" i="4"/>
  <c r="R198" i="4"/>
  <c r="S198" i="4"/>
  <c r="T198" i="4"/>
  <c r="P197" i="4"/>
  <c r="Q197" i="4"/>
  <c r="R197" i="4"/>
  <c r="S197" i="4"/>
  <c r="T197" i="4"/>
  <c r="P196" i="4"/>
  <c r="Q196" i="4"/>
  <c r="R196" i="4"/>
  <c r="S196" i="4"/>
  <c r="T196" i="4"/>
  <c r="P195" i="4"/>
  <c r="Q195" i="4"/>
  <c r="R195" i="4"/>
  <c r="S195" i="4"/>
  <c r="T195" i="4"/>
  <c r="P194" i="4"/>
  <c r="Q194" i="4"/>
  <c r="R194" i="4"/>
  <c r="S194" i="4"/>
  <c r="T194" i="4"/>
  <c r="P193" i="4"/>
  <c r="Q193" i="4"/>
  <c r="R193" i="4"/>
  <c r="S193" i="4"/>
  <c r="T193" i="4"/>
  <c r="P192" i="4"/>
  <c r="Q192" i="4"/>
  <c r="R192" i="4"/>
  <c r="S192" i="4"/>
  <c r="T192" i="4"/>
  <c r="P191" i="4"/>
  <c r="Q191" i="4"/>
  <c r="R191" i="4"/>
  <c r="S191" i="4"/>
  <c r="T191" i="4"/>
  <c r="P190" i="4"/>
  <c r="Q190" i="4"/>
  <c r="R190" i="4"/>
  <c r="S190" i="4"/>
  <c r="T190" i="4"/>
  <c r="P189" i="4"/>
  <c r="Q189" i="4"/>
  <c r="R189" i="4"/>
  <c r="S189" i="4"/>
  <c r="T189" i="4"/>
  <c r="P188" i="4"/>
  <c r="Q188" i="4"/>
  <c r="R188" i="4"/>
  <c r="S188" i="4"/>
  <c r="T188" i="4"/>
  <c r="P187" i="4"/>
  <c r="Q187" i="4"/>
  <c r="R187" i="4"/>
  <c r="S187" i="4"/>
  <c r="T187" i="4"/>
  <c r="P186" i="4"/>
  <c r="Q186" i="4"/>
  <c r="R186" i="4"/>
  <c r="S186" i="4"/>
  <c r="T186" i="4"/>
  <c r="P185" i="4"/>
  <c r="Q185" i="4"/>
  <c r="R185" i="4"/>
  <c r="S185" i="4"/>
  <c r="T185" i="4"/>
  <c r="P184" i="4"/>
  <c r="Q184" i="4"/>
  <c r="R184" i="4"/>
  <c r="S184" i="4"/>
  <c r="T184" i="4"/>
  <c r="P183" i="4"/>
  <c r="Q183" i="4"/>
  <c r="R183" i="4"/>
  <c r="S183" i="4"/>
  <c r="T183" i="4"/>
  <c r="P182" i="4"/>
  <c r="Q182" i="4"/>
  <c r="R182" i="4"/>
  <c r="S182" i="4"/>
  <c r="T182" i="4"/>
  <c r="P181" i="4"/>
  <c r="Q181" i="4"/>
  <c r="R181" i="4"/>
  <c r="S181" i="4"/>
  <c r="T181" i="4"/>
  <c r="P180" i="4"/>
  <c r="Q180" i="4"/>
  <c r="R180" i="4"/>
  <c r="S180" i="4"/>
  <c r="T180" i="4"/>
  <c r="P179" i="4"/>
  <c r="Q179" i="4"/>
  <c r="R179" i="4"/>
  <c r="S179" i="4"/>
  <c r="T179" i="4"/>
  <c r="P178" i="4"/>
  <c r="Q178" i="4"/>
  <c r="R178" i="4"/>
  <c r="S178" i="4"/>
  <c r="T178" i="4"/>
  <c r="P177" i="4"/>
  <c r="Q177" i="4"/>
  <c r="R177" i="4"/>
  <c r="S177" i="4"/>
  <c r="T177" i="4"/>
  <c r="P176" i="4"/>
  <c r="Q176" i="4"/>
  <c r="R176" i="4"/>
  <c r="S176" i="4"/>
  <c r="T176" i="4"/>
  <c r="P175" i="4"/>
  <c r="Q175" i="4"/>
  <c r="R175" i="4"/>
  <c r="S175" i="4"/>
  <c r="T175" i="4"/>
  <c r="P174" i="4"/>
  <c r="Q174" i="4"/>
  <c r="R174" i="4"/>
  <c r="S174" i="4"/>
  <c r="T174" i="4"/>
  <c r="P173" i="4"/>
  <c r="Q173" i="4"/>
  <c r="R173" i="4"/>
  <c r="S173" i="4"/>
  <c r="T173" i="4"/>
  <c r="P172" i="4"/>
  <c r="Q172" i="4"/>
  <c r="R172" i="4"/>
  <c r="S172" i="4"/>
  <c r="T172" i="4"/>
  <c r="P171" i="4"/>
  <c r="Q171" i="4"/>
  <c r="R171" i="4"/>
  <c r="S171" i="4"/>
  <c r="T171" i="4"/>
  <c r="P170" i="4"/>
  <c r="Q170" i="4"/>
  <c r="R170" i="4"/>
  <c r="S170" i="4"/>
  <c r="T170" i="4"/>
  <c r="P169" i="4"/>
  <c r="Q169" i="4"/>
  <c r="R169" i="4"/>
  <c r="S169" i="4"/>
  <c r="T169" i="4"/>
  <c r="P168" i="4"/>
  <c r="Q168" i="4"/>
  <c r="R168" i="4"/>
  <c r="S168" i="4"/>
  <c r="T168" i="4"/>
  <c r="P167" i="4"/>
  <c r="Q167" i="4"/>
  <c r="R167" i="4"/>
  <c r="S167" i="4"/>
  <c r="T167" i="4"/>
  <c r="P166" i="4"/>
  <c r="Q166" i="4"/>
  <c r="R166" i="4"/>
  <c r="S166" i="4"/>
  <c r="T166" i="4"/>
  <c r="P165" i="4"/>
  <c r="Q165" i="4"/>
  <c r="R165" i="4"/>
  <c r="S165" i="4"/>
  <c r="T165" i="4"/>
  <c r="P164" i="4"/>
  <c r="Q164" i="4"/>
  <c r="R164" i="4"/>
  <c r="S164" i="4"/>
  <c r="T164" i="4"/>
  <c r="P163" i="4"/>
  <c r="Q163" i="4"/>
  <c r="R163" i="4"/>
  <c r="S163" i="4"/>
  <c r="T163" i="4"/>
  <c r="P162" i="4"/>
  <c r="Q162" i="4"/>
  <c r="R162" i="4"/>
  <c r="S162" i="4"/>
  <c r="T162" i="4"/>
  <c r="P161" i="4"/>
  <c r="Q161" i="4"/>
  <c r="R161" i="4"/>
  <c r="S161" i="4"/>
  <c r="T161" i="4"/>
  <c r="P160" i="4"/>
  <c r="Q160" i="4"/>
  <c r="R160" i="4"/>
  <c r="S160" i="4"/>
  <c r="T160" i="4"/>
  <c r="P159" i="4"/>
  <c r="Q159" i="4"/>
  <c r="R159" i="4"/>
  <c r="S159" i="4"/>
  <c r="T159" i="4"/>
  <c r="P158" i="4"/>
  <c r="Q158" i="4"/>
  <c r="R158" i="4"/>
  <c r="S158" i="4"/>
  <c r="T158" i="4"/>
  <c r="P157" i="4"/>
  <c r="Q157" i="4"/>
  <c r="R157" i="4"/>
  <c r="S157" i="4"/>
  <c r="T157" i="4"/>
  <c r="P156" i="4"/>
  <c r="Q156" i="4"/>
  <c r="R156" i="4"/>
  <c r="S156" i="4"/>
  <c r="T156" i="4"/>
  <c r="P155" i="4"/>
  <c r="Q155" i="4"/>
  <c r="R155" i="4"/>
  <c r="S155" i="4"/>
  <c r="T155" i="4"/>
  <c r="P154" i="4"/>
  <c r="Q154" i="4"/>
  <c r="R154" i="4"/>
  <c r="S154" i="4"/>
  <c r="T154" i="4"/>
  <c r="P153" i="4"/>
  <c r="Q153" i="4"/>
  <c r="R153" i="4"/>
  <c r="S153" i="4"/>
  <c r="T153" i="4"/>
  <c r="P152" i="4"/>
  <c r="Q152" i="4"/>
  <c r="R152" i="4"/>
  <c r="S152" i="4"/>
  <c r="T152" i="4"/>
  <c r="P151" i="4"/>
  <c r="Q151" i="4"/>
  <c r="R151" i="4"/>
  <c r="S151" i="4"/>
  <c r="T151" i="4"/>
  <c r="P150" i="4"/>
  <c r="Q150" i="4"/>
  <c r="R150" i="4"/>
  <c r="S150" i="4"/>
  <c r="T150" i="4"/>
  <c r="P138" i="4"/>
  <c r="Q138" i="4"/>
  <c r="R138" i="4"/>
  <c r="S138" i="4"/>
  <c r="T138" i="4"/>
  <c r="P137" i="4"/>
  <c r="Q137" i="4"/>
  <c r="R137" i="4"/>
  <c r="S137" i="4"/>
  <c r="T137" i="4"/>
  <c r="P136" i="4"/>
  <c r="Q136" i="4"/>
  <c r="R136" i="4"/>
  <c r="S136" i="4"/>
  <c r="T136" i="4"/>
  <c r="P135" i="4"/>
  <c r="Q135" i="4"/>
  <c r="R135" i="4"/>
  <c r="S135" i="4"/>
  <c r="T135" i="4"/>
  <c r="P134" i="4"/>
  <c r="Q134" i="4"/>
  <c r="R134" i="4"/>
  <c r="S134" i="4"/>
  <c r="T134" i="4"/>
  <c r="P133" i="4"/>
  <c r="Q133" i="4"/>
  <c r="R133" i="4"/>
  <c r="S133" i="4"/>
  <c r="T133" i="4"/>
  <c r="P132" i="4"/>
  <c r="Q132" i="4"/>
  <c r="R132" i="4"/>
  <c r="S132" i="4"/>
  <c r="T132" i="4"/>
  <c r="P131" i="4"/>
  <c r="Q131" i="4"/>
  <c r="R131" i="4"/>
  <c r="S131" i="4"/>
  <c r="T131" i="4"/>
  <c r="P130" i="4"/>
  <c r="Q130" i="4"/>
  <c r="R130" i="4"/>
  <c r="S130" i="4"/>
  <c r="T130" i="4"/>
  <c r="P129" i="4"/>
  <c r="Q129" i="4"/>
  <c r="R129" i="4"/>
  <c r="S129" i="4"/>
  <c r="T129" i="4"/>
  <c r="P128" i="4"/>
  <c r="Q128" i="4"/>
  <c r="R128" i="4"/>
  <c r="S128" i="4"/>
  <c r="T128" i="4"/>
  <c r="L3" i="4"/>
  <c r="K3" i="4"/>
  <c r="J3" i="4"/>
  <c r="I3" i="4"/>
  <c r="P127" i="4"/>
  <c r="Q127" i="4"/>
  <c r="R127" i="4"/>
  <c r="S127" i="4"/>
  <c r="T127" i="4"/>
  <c r="P126" i="4"/>
  <c r="Q126" i="4"/>
  <c r="R126" i="4"/>
  <c r="S126" i="4"/>
  <c r="T126" i="4"/>
  <c r="P125" i="4"/>
  <c r="Q125" i="4"/>
  <c r="R125" i="4"/>
  <c r="S125" i="4"/>
  <c r="T125" i="4"/>
  <c r="P124" i="4"/>
  <c r="Q124" i="4"/>
  <c r="R124" i="4"/>
  <c r="S124" i="4"/>
  <c r="T124" i="4"/>
  <c r="P123" i="4"/>
  <c r="Q123" i="4"/>
  <c r="R123" i="4"/>
  <c r="S123" i="4"/>
  <c r="T123" i="4"/>
  <c r="P122" i="4"/>
  <c r="Q122" i="4"/>
  <c r="R122" i="4"/>
  <c r="S122" i="4"/>
  <c r="T122" i="4"/>
  <c r="P121" i="4"/>
  <c r="Q121" i="4"/>
  <c r="R121" i="4"/>
  <c r="S121" i="4"/>
  <c r="T121" i="4"/>
  <c r="P120" i="4"/>
  <c r="Q120" i="4"/>
  <c r="R120" i="4"/>
  <c r="S120" i="4"/>
  <c r="T120" i="4"/>
  <c r="P119" i="4"/>
  <c r="Q119" i="4"/>
  <c r="R119" i="4"/>
  <c r="S119" i="4"/>
  <c r="T119" i="4"/>
  <c r="Q92" i="4"/>
  <c r="P92" i="4"/>
  <c r="T92" i="4"/>
  <c r="S92" i="4"/>
  <c r="I92" i="4"/>
  <c r="J92" i="4" s="1"/>
  <c r="Q91" i="4"/>
  <c r="N91" i="4"/>
  <c r="I91" i="4"/>
  <c r="J91" i="4" s="1"/>
  <c r="T90" i="4"/>
  <c r="S90" i="4"/>
  <c r="R90" i="4"/>
  <c r="Q90" i="4"/>
  <c r="P90" i="4"/>
  <c r="S89" i="4"/>
  <c r="Q89" i="4"/>
  <c r="P89" i="4"/>
  <c r="C20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6" i="4"/>
  <c r="N6" i="4" s="1"/>
  <c r="B20" i="4"/>
  <c r="B23" i="4"/>
  <c r="B24" i="4"/>
  <c r="B25" i="4"/>
  <c r="B26" i="4"/>
  <c r="B27" i="4"/>
  <c r="B28" i="4"/>
  <c r="B29" i="4"/>
  <c r="B31" i="4"/>
  <c r="B32" i="4"/>
  <c r="B33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N999" i="15"/>
  <c r="O999" i="15" s="1"/>
  <c r="L999" i="15"/>
  <c r="M999" i="15" s="1"/>
  <c r="K999" i="15"/>
  <c r="J999" i="15"/>
  <c r="H999" i="15"/>
  <c r="I999" i="15" s="1"/>
  <c r="G999" i="15"/>
  <c r="A999" i="15"/>
  <c r="N998" i="15"/>
  <c r="O998" i="15" s="1"/>
  <c r="L998" i="15"/>
  <c r="M998" i="15" s="1"/>
  <c r="K998" i="15"/>
  <c r="J998" i="15"/>
  <c r="H998" i="15"/>
  <c r="I998" i="15" s="1"/>
  <c r="G998" i="15"/>
  <c r="A998" i="15"/>
  <c r="N997" i="15"/>
  <c r="O997" i="15" s="1"/>
  <c r="L997" i="15"/>
  <c r="M997" i="15" s="1"/>
  <c r="K997" i="15"/>
  <c r="J997" i="15"/>
  <c r="H997" i="15"/>
  <c r="I997" i="15" s="1"/>
  <c r="G997" i="15"/>
  <c r="A997" i="15"/>
  <c r="N996" i="15"/>
  <c r="O996" i="15" s="1"/>
  <c r="L996" i="15"/>
  <c r="M996" i="15" s="1"/>
  <c r="K996" i="15"/>
  <c r="J996" i="15"/>
  <c r="H996" i="15"/>
  <c r="I996" i="15" s="1"/>
  <c r="G996" i="15"/>
  <c r="A996" i="15"/>
  <c r="N995" i="15"/>
  <c r="O995" i="15" s="1"/>
  <c r="L995" i="15"/>
  <c r="M995" i="15" s="1"/>
  <c r="K995" i="15"/>
  <c r="J995" i="15"/>
  <c r="H995" i="15"/>
  <c r="I995" i="15" s="1"/>
  <c r="G995" i="15"/>
  <c r="A995" i="15"/>
  <c r="N994" i="15"/>
  <c r="O994" i="15" s="1"/>
  <c r="L994" i="15"/>
  <c r="M994" i="15" s="1"/>
  <c r="K994" i="15"/>
  <c r="J994" i="15"/>
  <c r="H994" i="15"/>
  <c r="I994" i="15" s="1"/>
  <c r="G994" i="15"/>
  <c r="A994" i="15"/>
  <c r="N993" i="15"/>
  <c r="O993" i="15" s="1"/>
  <c r="L993" i="15"/>
  <c r="M993" i="15" s="1"/>
  <c r="K993" i="15"/>
  <c r="J993" i="15"/>
  <c r="H993" i="15"/>
  <c r="I993" i="15" s="1"/>
  <c r="G993" i="15"/>
  <c r="A993" i="15"/>
  <c r="N992" i="15"/>
  <c r="O992" i="15" s="1"/>
  <c r="L992" i="15"/>
  <c r="M992" i="15" s="1"/>
  <c r="K992" i="15"/>
  <c r="J992" i="15"/>
  <c r="H992" i="15"/>
  <c r="I992" i="15" s="1"/>
  <c r="G992" i="15"/>
  <c r="A992" i="15"/>
  <c r="N991" i="15"/>
  <c r="O991" i="15" s="1"/>
  <c r="L991" i="15"/>
  <c r="M991" i="15" s="1"/>
  <c r="K991" i="15"/>
  <c r="J991" i="15"/>
  <c r="H991" i="15"/>
  <c r="I991" i="15" s="1"/>
  <c r="G991" i="15"/>
  <c r="A991" i="15"/>
  <c r="N990" i="15"/>
  <c r="O990" i="15" s="1"/>
  <c r="L990" i="15"/>
  <c r="M990" i="15" s="1"/>
  <c r="K990" i="15"/>
  <c r="J990" i="15"/>
  <c r="H990" i="15"/>
  <c r="I990" i="15" s="1"/>
  <c r="G990" i="15"/>
  <c r="A990" i="15"/>
  <c r="N989" i="15"/>
  <c r="O989" i="15" s="1"/>
  <c r="L989" i="15"/>
  <c r="M989" i="15" s="1"/>
  <c r="K989" i="15"/>
  <c r="J989" i="15"/>
  <c r="H989" i="15"/>
  <c r="I989" i="15" s="1"/>
  <c r="G989" i="15"/>
  <c r="A989" i="15"/>
  <c r="N988" i="15"/>
  <c r="O988" i="15" s="1"/>
  <c r="L988" i="15"/>
  <c r="M988" i="15" s="1"/>
  <c r="K988" i="15"/>
  <c r="J988" i="15"/>
  <c r="H988" i="15"/>
  <c r="I988" i="15" s="1"/>
  <c r="G988" i="15"/>
  <c r="A988" i="15"/>
  <c r="N987" i="15"/>
  <c r="O987" i="15" s="1"/>
  <c r="L987" i="15"/>
  <c r="M987" i="15" s="1"/>
  <c r="K987" i="15"/>
  <c r="J987" i="15"/>
  <c r="H987" i="15"/>
  <c r="I987" i="15" s="1"/>
  <c r="G987" i="15"/>
  <c r="A987" i="15"/>
  <c r="N986" i="15"/>
  <c r="O986" i="15" s="1"/>
  <c r="L986" i="15"/>
  <c r="M986" i="15" s="1"/>
  <c r="K986" i="15"/>
  <c r="J986" i="15"/>
  <c r="H986" i="15"/>
  <c r="I986" i="15" s="1"/>
  <c r="G986" i="15"/>
  <c r="A986" i="15"/>
  <c r="N985" i="15"/>
  <c r="O985" i="15" s="1"/>
  <c r="L985" i="15"/>
  <c r="M985" i="15" s="1"/>
  <c r="K985" i="15"/>
  <c r="J985" i="15"/>
  <c r="H985" i="15"/>
  <c r="I985" i="15" s="1"/>
  <c r="G985" i="15"/>
  <c r="A985" i="15"/>
  <c r="N984" i="15"/>
  <c r="O984" i="15" s="1"/>
  <c r="L984" i="15"/>
  <c r="M984" i="15" s="1"/>
  <c r="K984" i="15"/>
  <c r="J984" i="15"/>
  <c r="H984" i="15"/>
  <c r="I984" i="15" s="1"/>
  <c r="G984" i="15"/>
  <c r="A984" i="15"/>
  <c r="N983" i="15"/>
  <c r="O983" i="15" s="1"/>
  <c r="L983" i="15"/>
  <c r="M983" i="15" s="1"/>
  <c r="K983" i="15"/>
  <c r="J983" i="15"/>
  <c r="H983" i="15"/>
  <c r="I983" i="15" s="1"/>
  <c r="G983" i="15"/>
  <c r="A983" i="15"/>
  <c r="N982" i="15"/>
  <c r="O982" i="15" s="1"/>
  <c r="L982" i="15"/>
  <c r="M982" i="15" s="1"/>
  <c r="K982" i="15"/>
  <c r="J982" i="15"/>
  <c r="H982" i="15"/>
  <c r="I982" i="15" s="1"/>
  <c r="G982" i="15"/>
  <c r="A982" i="15"/>
  <c r="N981" i="15"/>
  <c r="O981" i="15" s="1"/>
  <c r="L981" i="15"/>
  <c r="M981" i="15" s="1"/>
  <c r="K981" i="15"/>
  <c r="J981" i="15"/>
  <c r="H981" i="15"/>
  <c r="I981" i="15" s="1"/>
  <c r="G981" i="15"/>
  <c r="A981" i="15"/>
  <c r="N980" i="15"/>
  <c r="O980" i="15" s="1"/>
  <c r="L980" i="15"/>
  <c r="M980" i="15" s="1"/>
  <c r="K980" i="15"/>
  <c r="J980" i="15"/>
  <c r="H980" i="15"/>
  <c r="I980" i="15" s="1"/>
  <c r="G980" i="15"/>
  <c r="A980" i="15"/>
  <c r="N979" i="15"/>
  <c r="O979" i="15" s="1"/>
  <c r="L979" i="15"/>
  <c r="M979" i="15" s="1"/>
  <c r="K979" i="15"/>
  <c r="J979" i="15"/>
  <c r="H979" i="15"/>
  <c r="I979" i="15" s="1"/>
  <c r="G979" i="15"/>
  <c r="A979" i="15"/>
  <c r="N978" i="15"/>
  <c r="O978" i="15" s="1"/>
  <c r="L978" i="15"/>
  <c r="M978" i="15" s="1"/>
  <c r="K978" i="15"/>
  <c r="J978" i="15"/>
  <c r="H978" i="15"/>
  <c r="I978" i="15" s="1"/>
  <c r="G978" i="15"/>
  <c r="A978" i="15"/>
  <c r="N977" i="15"/>
  <c r="O977" i="15" s="1"/>
  <c r="L977" i="15"/>
  <c r="M977" i="15" s="1"/>
  <c r="K977" i="15"/>
  <c r="J977" i="15"/>
  <c r="H977" i="15"/>
  <c r="I977" i="15" s="1"/>
  <c r="G977" i="15"/>
  <c r="A977" i="15"/>
  <c r="N976" i="15"/>
  <c r="O976" i="15" s="1"/>
  <c r="L976" i="15"/>
  <c r="M976" i="15" s="1"/>
  <c r="K976" i="15"/>
  <c r="J976" i="15"/>
  <c r="H976" i="15"/>
  <c r="I976" i="15" s="1"/>
  <c r="G976" i="15"/>
  <c r="A976" i="15"/>
  <c r="N975" i="15"/>
  <c r="O975" i="15" s="1"/>
  <c r="L975" i="15"/>
  <c r="M975" i="15" s="1"/>
  <c r="K975" i="15"/>
  <c r="J975" i="15"/>
  <c r="H975" i="15"/>
  <c r="I975" i="15" s="1"/>
  <c r="G975" i="15"/>
  <c r="A975" i="15"/>
  <c r="N974" i="15"/>
  <c r="O974" i="15" s="1"/>
  <c r="L974" i="15"/>
  <c r="M974" i="15" s="1"/>
  <c r="K974" i="15"/>
  <c r="J974" i="15"/>
  <c r="H974" i="15"/>
  <c r="I974" i="15" s="1"/>
  <c r="G974" i="15"/>
  <c r="A974" i="15"/>
  <c r="N973" i="15"/>
  <c r="O973" i="15" s="1"/>
  <c r="L973" i="15"/>
  <c r="M973" i="15" s="1"/>
  <c r="K973" i="15"/>
  <c r="J973" i="15"/>
  <c r="H973" i="15"/>
  <c r="I973" i="15" s="1"/>
  <c r="G973" i="15"/>
  <c r="A973" i="15"/>
  <c r="N972" i="15"/>
  <c r="O972" i="15" s="1"/>
  <c r="L972" i="15"/>
  <c r="M972" i="15" s="1"/>
  <c r="K972" i="15"/>
  <c r="J972" i="15"/>
  <c r="H972" i="15"/>
  <c r="I972" i="15" s="1"/>
  <c r="G972" i="15"/>
  <c r="A972" i="15"/>
  <c r="N971" i="15"/>
  <c r="O971" i="15" s="1"/>
  <c r="L971" i="15"/>
  <c r="M971" i="15" s="1"/>
  <c r="K971" i="15"/>
  <c r="J971" i="15"/>
  <c r="H971" i="15"/>
  <c r="I971" i="15" s="1"/>
  <c r="G971" i="15"/>
  <c r="A971" i="15"/>
  <c r="N970" i="15"/>
  <c r="O970" i="15" s="1"/>
  <c r="L970" i="15"/>
  <c r="M970" i="15" s="1"/>
  <c r="K970" i="15"/>
  <c r="J970" i="15"/>
  <c r="H970" i="15"/>
  <c r="I970" i="15" s="1"/>
  <c r="G970" i="15"/>
  <c r="A970" i="15"/>
  <c r="N969" i="15"/>
  <c r="O969" i="15" s="1"/>
  <c r="L969" i="15"/>
  <c r="M969" i="15" s="1"/>
  <c r="K969" i="15"/>
  <c r="J969" i="15"/>
  <c r="H969" i="15"/>
  <c r="I969" i="15" s="1"/>
  <c r="G969" i="15"/>
  <c r="A969" i="15"/>
  <c r="N968" i="15"/>
  <c r="O968" i="15" s="1"/>
  <c r="L968" i="15"/>
  <c r="M968" i="15" s="1"/>
  <c r="K968" i="15"/>
  <c r="J968" i="15"/>
  <c r="H968" i="15"/>
  <c r="I968" i="15" s="1"/>
  <c r="G968" i="15"/>
  <c r="A968" i="15"/>
  <c r="N967" i="15"/>
  <c r="O967" i="15" s="1"/>
  <c r="L967" i="15"/>
  <c r="M967" i="15" s="1"/>
  <c r="K967" i="15"/>
  <c r="J967" i="15"/>
  <c r="H967" i="15"/>
  <c r="I967" i="15" s="1"/>
  <c r="G967" i="15"/>
  <c r="A967" i="15"/>
  <c r="N966" i="15"/>
  <c r="O966" i="15" s="1"/>
  <c r="L966" i="15"/>
  <c r="M966" i="15" s="1"/>
  <c r="K966" i="15"/>
  <c r="J966" i="15"/>
  <c r="H966" i="15"/>
  <c r="I966" i="15" s="1"/>
  <c r="G966" i="15"/>
  <c r="A966" i="15"/>
  <c r="N965" i="15"/>
  <c r="O965" i="15" s="1"/>
  <c r="L965" i="15"/>
  <c r="M965" i="15" s="1"/>
  <c r="K965" i="15"/>
  <c r="J965" i="15"/>
  <c r="H965" i="15"/>
  <c r="I965" i="15" s="1"/>
  <c r="G965" i="15"/>
  <c r="A965" i="15"/>
  <c r="N964" i="15"/>
  <c r="O964" i="15" s="1"/>
  <c r="L964" i="15"/>
  <c r="M964" i="15" s="1"/>
  <c r="K964" i="15"/>
  <c r="J964" i="15"/>
  <c r="H964" i="15"/>
  <c r="I964" i="15" s="1"/>
  <c r="G964" i="15"/>
  <c r="A964" i="15"/>
  <c r="N963" i="15"/>
  <c r="O963" i="15" s="1"/>
  <c r="L963" i="15"/>
  <c r="M963" i="15" s="1"/>
  <c r="K963" i="15"/>
  <c r="J963" i="15"/>
  <c r="H963" i="15"/>
  <c r="I963" i="15" s="1"/>
  <c r="G963" i="15"/>
  <c r="A963" i="15"/>
  <c r="N962" i="15"/>
  <c r="O962" i="15" s="1"/>
  <c r="L962" i="15"/>
  <c r="M962" i="15" s="1"/>
  <c r="K962" i="15"/>
  <c r="J962" i="15"/>
  <c r="H962" i="15"/>
  <c r="I962" i="15" s="1"/>
  <c r="G962" i="15"/>
  <c r="A962" i="15"/>
  <c r="N961" i="15"/>
  <c r="O961" i="15" s="1"/>
  <c r="L961" i="15"/>
  <c r="M961" i="15" s="1"/>
  <c r="K961" i="15"/>
  <c r="J961" i="15"/>
  <c r="H961" i="15"/>
  <c r="I961" i="15" s="1"/>
  <c r="G961" i="15"/>
  <c r="A961" i="15"/>
  <c r="N960" i="15"/>
  <c r="O960" i="15" s="1"/>
  <c r="L960" i="15"/>
  <c r="M960" i="15" s="1"/>
  <c r="K960" i="15"/>
  <c r="J960" i="15"/>
  <c r="H960" i="15"/>
  <c r="I960" i="15" s="1"/>
  <c r="G960" i="15"/>
  <c r="A960" i="15"/>
  <c r="N959" i="15"/>
  <c r="O959" i="15" s="1"/>
  <c r="L959" i="15"/>
  <c r="M959" i="15" s="1"/>
  <c r="K959" i="15"/>
  <c r="J959" i="15"/>
  <c r="H959" i="15"/>
  <c r="I959" i="15" s="1"/>
  <c r="G959" i="15"/>
  <c r="A959" i="15"/>
  <c r="N958" i="15"/>
  <c r="O958" i="15" s="1"/>
  <c r="L958" i="15"/>
  <c r="M958" i="15" s="1"/>
  <c r="K958" i="15"/>
  <c r="J958" i="15"/>
  <c r="H958" i="15"/>
  <c r="I958" i="15" s="1"/>
  <c r="G958" i="15"/>
  <c r="A958" i="15"/>
  <c r="N957" i="15"/>
  <c r="O957" i="15" s="1"/>
  <c r="L957" i="15"/>
  <c r="M957" i="15" s="1"/>
  <c r="K957" i="15"/>
  <c r="J957" i="15"/>
  <c r="H957" i="15"/>
  <c r="I957" i="15" s="1"/>
  <c r="G957" i="15"/>
  <c r="A957" i="15"/>
  <c r="N956" i="15"/>
  <c r="O956" i="15" s="1"/>
  <c r="L956" i="15"/>
  <c r="M956" i="15" s="1"/>
  <c r="K956" i="15"/>
  <c r="J956" i="15"/>
  <c r="H956" i="15"/>
  <c r="I956" i="15" s="1"/>
  <c r="G956" i="15"/>
  <c r="A956" i="15"/>
  <c r="N955" i="15"/>
  <c r="O955" i="15" s="1"/>
  <c r="L955" i="15"/>
  <c r="M955" i="15" s="1"/>
  <c r="K955" i="15"/>
  <c r="J955" i="15"/>
  <c r="H955" i="15"/>
  <c r="I955" i="15" s="1"/>
  <c r="G955" i="15"/>
  <c r="A955" i="15"/>
  <c r="N954" i="15"/>
  <c r="O954" i="15" s="1"/>
  <c r="L954" i="15"/>
  <c r="M954" i="15" s="1"/>
  <c r="K954" i="15"/>
  <c r="J954" i="15"/>
  <c r="H954" i="15"/>
  <c r="I954" i="15" s="1"/>
  <c r="G954" i="15"/>
  <c r="A954" i="15"/>
  <c r="N953" i="15"/>
  <c r="O953" i="15" s="1"/>
  <c r="L953" i="15"/>
  <c r="M953" i="15" s="1"/>
  <c r="K953" i="15"/>
  <c r="J953" i="15"/>
  <c r="H953" i="15"/>
  <c r="I953" i="15" s="1"/>
  <c r="G953" i="15"/>
  <c r="A953" i="15"/>
  <c r="N952" i="15"/>
  <c r="O952" i="15" s="1"/>
  <c r="L952" i="15"/>
  <c r="M952" i="15" s="1"/>
  <c r="K952" i="15"/>
  <c r="J952" i="15"/>
  <c r="H952" i="15"/>
  <c r="I952" i="15" s="1"/>
  <c r="G952" i="15"/>
  <c r="A952" i="15"/>
  <c r="N951" i="15"/>
  <c r="O951" i="15" s="1"/>
  <c r="L951" i="15"/>
  <c r="M951" i="15" s="1"/>
  <c r="K951" i="15"/>
  <c r="J951" i="15"/>
  <c r="H951" i="15"/>
  <c r="I951" i="15" s="1"/>
  <c r="G951" i="15"/>
  <c r="A951" i="15"/>
  <c r="N950" i="15"/>
  <c r="O950" i="15" s="1"/>
  <c r="L950" i="15"/>
  <c r="M950" i="15" s="1"/>
  <c r="K950" i="15"/>
  <c r="J950" i="15"/>
  <c r="H950" i="15"/>
  <c r="I950" i="15" s="1"/>
  <c r="G950" i="15"/>
  <c r="A950" i="15"/>
  <c r="N949" i="15"/>
  <c r="O949" i="15" s="1"/>
  <c r="L949" i="15"/>
  <c r="M949" i="15" s="1"/>
  <c r="K949" i="15"/>
  <c r="J949" i="15"/>
  <c r="H949" i="15"/>
  <c r="I949" i="15" s="1"/>
  <c r="G949" i="15"/>
  <c r="A949" i="15"/>
  <c r="N948" i="15"/>
  <c r="O948" i="15" s="1"/>
  <c r="L948" i="15"/>
  <c r="M948" i="15" s="1"/>
  <c r="K948" i="15"/>
  <c r="J948" i="15"/>
  <c r="H948" i="15"/>
  <c r="I948" i="15" s="1"/>
  <c r="G948" i="15"/>
  <c r="A948" i="15"/>
  <c r="N947" i="15"/>
  <c r="O947" i="15" s="1"/>
  <c r="L947" i="15"/>
  <c r="M947" i="15" s="1"/>
  <c r="K947" i="15"/>
  <c r="J947" i="15"/>
  <c r="H947" i="15"/>
  <c r="I947" i="15" s="1"/>
  <c r="G947" i="15"/>
  <c r="A947" i="15"/>
  <c r="N946" i="15"/>
  <c r="O946" i="15" s="1"/>
  <c r="L946" i="15"/>
  <c r="M946" i="15" s="1"/>
  <c r="K946" i="15"/>
  <c r="J946" i="15"/>
  <c r="H946" i="15"/>
  <c r="I946" i="15" s="1"/>
  <c r="G946" i="15"/>
  <c r="A946" i="15"/>
  <c r="N945" i="15"/>
  <c r="O945" i="15" s="1"/>
  <c r="L945" i="15"/>
  <c r="M945" i="15" s="1"/>
  <c r="K945" i="15"/>
  <c r="J945" i="15"/>
  <c r="H945" i="15"/>
  <c r="I945" i="15" s="1"/>
  <c r="G945" i="15"/>
  <c r="A945" i="15"/>
  <c r="N944" i="15"/>
  <c r="O944" i="15" s="1"/>
  <c r="L944" i="15"/>
  <c r="M944" i="15" s="1"/>
  <c r="K944" i="15"/>
  <c r="J944" i="15"/>
  <c r="H944" i="15"/>
  <c r="I944" i="15" s="1"/>
  <c r="G944" i="15"/>
  <c r="A944" i="15"/>
  <c r="N943" i="15"/>
  <c r="O943" i="15" s="1"/>
  <c r="L943" i="15"/>
  <c r="M943" i="15" s="1"/>
  <c r="K943" i="15"/>
  <c r="J943" i="15"/>
  <c r="H943" i="15"/>
  <c r="I943" i="15" s="1"/>
  <c r="G943" i="15"/>
  <c r="A943" i="15"/>
  <c r="N942" i="15"/>
  <c r="O942" i="15" s="1"/>
  <c r="L942" i="15"/>
  <c r="M942" i="15" s="1"/>
  <c r="K942" i="15"/>
  <c r="J942" i="15"/>
  <c r="H942" i="15"/>
  <c r="I942" i="15" s="1"/>
  <c r="G942" i="15"/>
  <c r="A942" i="15"/>
  <c r="N941" i="15"/>
  <c r="O941" i="15" s="1"/>
  <c r="L941" i="15"/>
  <c r="M941" i="15" s="1"/>
  <c r="K941" i="15"/>
  <c r="J941" i="15"/>
  <c r="H941" i="15"/>
  <c r="I941" i="15" s="1"/>
  <c r="G941" i="15"/>
  <c r="A941" i="15"/>
  <c r="N940" i="15"/>
  <c r="O940" i="15" s="1"/>
  <c r="L940" i="15"/>
  <c r="M940" i="15" s="1"/>
  <c r="K940" i="15"/>
  <c r="J940" i="15"/>
  <c r="H940" i="15"/>
  <c r="I940" i="15" s="1"/>
  <c r="G940" i="15"/>
  <c r="A940" i="15"/>
  <c r="N939" i="15"/>
  <c r="O939" i="15" s="1"/>
  <c r="L939" i="15"/>
  <c r="M939" i="15" s="1"/>
  <c r="K939" i="15"/>
  <c r="J939" i="15"/>
  <c r="H939" i="15"/>
  <c r="I939" i="15" s="1"/>
  <c r="G939" i="15"/>
  <c r="A939" i="15"/>
  <c r="N938" i="15"/>
  <c r="O938" i="15" s="1"/>
  <c r="L938" i="15"/>
  <c r="M938" i="15" s="1"/>
  <c r="K938" i="15"/>
  <c r="J938" i="15"/>
  <c r="H938" i="15"/>
  <c r="I938" i="15" s="1"/>
  <c r="G938" i="15"/>
  <c r="A938" i="15"/>
  <c r="N937" i="15"/>
  <c r="O937" i="15" s="1"/>
  <c r="L937" i="15"/>
  <c r="M937" i="15" s="1"/>
  <c r="K937" i="15"/>
  <c r="J937" i="15"/>
  <c r="H937" i="15"/>
  <c r="I937" i="15" s="1"/>
  <c r="G937" i="15"/>
  <c r="A937" i="15"/>
  <c r="N936" i="15"/>
  <c r="O936" i="15" s="1"/>
  <c r="L936" i="15"/>
  <c r="M936" i="15" s="1"/>
  <c r="K936" i="15"/>
  <c r="J936" i="15"/>
  <c r="H936" i="15"/>
  <c r="I936" i="15" s="1"/>
  <c r="G936" i="15"/>
  <c r="A936" i="15"/>
  <c r="N935" i="15"/>
  <c r="O935" i="15" s="1"/>
  <c r="L935" i="15"/>
  <c r="M935" i="15" s="1"/>
  <c r="K935" i="15"/>
  <c r="J935" i="15"/>
  <c r="H935" i="15"/>
  <c r="I935" i="15" s="1"/>
  <c r="G935" i="15"/>
  <c r="A935" i="15"/>
  <c r="N934" i="15"/>
  <c r="O934" i="15" s="1"/>
  <c r="L934" i="15"/>
  <c r="M934" i="15" s="1"/>
  <c r="K934" i="15"/>
  <c r="J934" i="15"/>
  <c r="H934" i="15"/>
  <c r="I934" i="15" s="1"/>
  <c r="G934" i="15"/>
  <c r="A934" i="15"/>
  <c r="N933" i="15"/>
  <c r="O933" i="15" s="1"/>
  <c r="L933" i="15"/>
  <c r="M933" i="15" s="1"/>
  <c r="K933" i="15"/>
  <c r="J933" i="15"/>
  <c r="H933" i="15"/>
  <c r="I933" i="15" s="1"/>
  <c r="G933" i="15"/>
  <c r="A933" i="15"/>
  <c r="N932" i="15"/>
  <c r="O932" i="15" s="1"/>
  <c r="L932" i="15"/>
  <c r="M932" i="15" s="1"/>
  <c r="K932" i="15"/>
  <c r="J932" i="15"/>
  <c r="H932" i="15"/>
  <c r="I932" i="15" s="1"/>
  <c r="G932" i="15"/>
  <c r="A932" i="15"/>
  <c r="N931" i="15"/>
  <c r="O931" i="15" s="1"/>
  <c r="L931" i="15"/>
  <c r="M931" i="15" s="1"/>
  <c r="K931" i="15"/>
  <c r="J931" i="15"/>
  <c r="H931" i="15"/>
  <c r="I931" i="15" s="1"/>
  <c r="G931" i="15"/>
  <c r="A931" i="15"/>
  <c r="N930" i="15"/>
  <c r="O930" i="15" s="1"/>
  <c r="L930" i="15"/>
  <c r="M930" i="15" s="1"/>
  <c r="K930" i="15"/>
  <c r="J930" i="15"/>
  <c r="H930" i="15"/>
  <c r="I930" i="15" s="1"/>
  <c r="G930" i="15"/>
  <c r="A930" i="15"/>
  <c r="N929" i="15"/>
  <c r="O929" i="15" s="1"/>
  <c r="L929" i="15"/>
  <c r="M929" i="15" s="1"/>
  <c r="K929" i="15"/>
  <c r="J929" i="15"/>
  <c r="H929" i="15"/>
  <c r="I929" i="15" s="1"/>
  <c r="G929" i="15"/>
  <c r="A929" i="15"/>
  <c r="N928" i="15"/>
  <c r="O928" i="15" s="1"/>
  <c r="L928" i="15"/>
  <c r="M928" i="15" s="1"/>
  <c r="K928" i="15"/>
  <c r="J928" i="15"/>
  <c r="H928" i="15"/>
  <c r="I928" i="15" s="1"/>
  <c r="G928" i="15"/>
  <c r="A928" i="15"/>
  <c r="N927" i="15"/>
  <c r="O927" i="15" s="1"/>
  <c r="L927" i="15"/>
  <c r="M927" i="15" s="1"/>
  <c r="K927" i="15"/>
  <c r="J927" i="15"/>
  <c r="H927" i="15"/>
  <c r="I927" i="15" s="1"/>
  <c r="G927" i="15"/>
  <c r="A927" i="15"/>
  <c r="N926" i="15"/>
  <c r="O926" i="15" s="1"/>
  <c r="L926" i="15"/>
  <c r="M926" i="15" s="1"/>
  <c r="K926" i="15"/>
  <c r="J926" i="15"/>
  <c r="H926" i="15"/>
  <c r="I926" i="15" s="1"/>
  <c r="G926" i="15"/>
  <c r="A926" i="15"/>
  <c r="N925" i="15"/>
  <c r="O925" i="15" s="1"/>
  <c r="L925" i="15"/>
  <c r="M925" i="15" s="1"/>
  <c r="K925" i="15"/>
  <c r="J925" i="15"/>
  <c r="H925" i="15"/>
  <c r="I925" i="15" s="1"/>
  <c r="G925" i="15"/>
  <c r="A925" i="15"/>
  <c r="N924" i="15"/>
  <c r="O924" i="15" s="1"/>
  <c r="L924" i="15"/>
  <c r="M924" i="15" s="1"/>
  <c r="K924" i="15"/>
  <c r="J924" i="15"/>
  <c r="H924" i="15"/>
  <c r="I924" i="15" s="1"/>
  <c r="G924" i="15"/>
  <c r="A924" i="15"/>
  <c r="N923" i="15"/>
  <c r="O923" i="15" s="1"/>
  <c r="L923" i="15"/>
  <c r="M923" i="15" s="1"/>
  <c r="K923" i="15"/>
  <c r="J923" i="15"/>
  <c r="H923" i="15"/>
  <c r="I923" i="15" s="1"/>
  <c r="G923" i="15"/>
  <c r="A923" i="15"/>
  <c r="N922" i="15"/>
  <c r="O922" i="15" s="1"/>
  <c r="L922" i="15"/>
  <c r="M922" i="15" s="1"/>
  <c r="K922" i="15"/>
  <c r="J922" i="15"/>
  <c r="H922" i="15"/>
  <c r="I922" i="15" s="1"/>
  <c r="G922" i="15"/>
  <c r="A922" i="15"/>
  <c r="N921" i="15"/>
  <c r="O921" i="15" s="1"/>
  <c r="L921" i="15"/>
  <c r="M921" i="15" s="1"/>
  <c r="K921" i="15"/>
  <c r="J921" i="15"/>
  <c r="H921" i="15"/>
  <c r="I921" i="15" s="1"/>
  <c r="G921" i="15"/>
  <c r="A921" i="15"/>
  <c r="N920" i="15"/>
  <c r="O920" i="15" s="1"/>
  <c r="L920" i="15"/>
  <c r="M920" i="15" s="1"/>
  <c r="K920" i="15"/>
  <c r="J920" i="15"/>
  <c r="H920" i="15"/>
  <c r="I920" i="15" s="1"/>
  <c r="G920" i="15"/>
  <c r="A920" i="15"/>
  <c r="N919" i="15"/>
  <c r="O919" i="15" s="1"/>
  <c r="L919" i="15"/>
  <c r="M919" i="15" s="1"/>
  <c r="K919" i="15"/>
  <c r="J919" i="15"/>
  <c r="H919" i="15"/>
  <c r="I919" i="15" s="1"/>
  <c r="G919" i="15"/>
  <c r="A919" i="15"/>
  <c r="N918" i="15"/>
  <c r="O918" i="15" s="1"/>
  <c r="L918" i="15"/>
  <c r="M918" i="15" s="1"/>
  <c r="K918" i="15"/>
  <c r="J918" i="15"/>
  <c r="H918" i="15"/>
  <c r="I918" i="15" s="1"/>
  <c r="G918" i="15"/>
  <c r="A918" i="15"/>
  <c r="N917" i="15"/>
  <c r="O917" i="15" s="1"/>
  <c r="L917" i="15"/>
  <c r="M917" i="15" s="1"/>
  <c r="K917" i="15"/>
  <c r="J917" i="15"/>
  <c r="H917" i="15"/>
  <c r="I917" i="15" s="1"/>
  <c r="G917" i="15"/>
  <c r="A917" i="15"/>
  <c r="N916" i="15"/>
  <c r="O916" i="15" s="1"/>
  <c r="L916" i="15"/>
  <c r="M916" i="15" s="1"/>
  <c r="K916" i="15"/>
  <c r="J916" i="15"/>
  <c r="H916" i="15"/>
  <c r="I916" i="15" s="1"/>
  <c r="G916" i="15"/>
  <c r="A916" i="15"/>
  <c r="N915" i="15"/>
  <c r="O915" i="15" s="1"/>
  <c r="L915" i="15"/>
  <c r="M915" i="15" s="1"/>
  <c r="K915" i="15"/>
  <c r="J915" i="15"/>
  <c r="H915" i="15"/>
  <c r="I915" i="15" s="1"/>
  <c r="G915" i="15"/>
  <c r="A915" i="15"/>
  <c r="N914" i="15"/>
  <c r="O914" i="15" s="1"/>
  <c r="L914" i="15"/>
  <c r="M914" i="15" s="1"/>
  <c r="K914" i="15"/>
  <c r="J914" i="15"/>
  <c r="H914" i="15"/>
  <c r="I914" i="15" s="1"/>
  <c r="G914" i="15"/>
  <c r="A914" i="15"/>
  <c r="N913" i="15"/>
  <c r="O913" i="15" s="1"/>
  <c r="L913" i="15"/>
  <c r="M913" i="15" s="1"/>
  <c r="K913" i="15"/>
  <c r="J913" i="15"/>
  <c r="H913" i="15"/>
  <c r="I913" i="15" s="1"/>
  <c r="G913" i="15"/>
  <c r="A913" i="15"/>
  <c r="N912" i="15"/>
  <c r="O912" i="15" s="1"/>
  <c r="L912" i="15"/>
  <c r="M912" i="15" s="1"/>
  <c r="K912" i="15"/>
  <c r="J912" i="15"/>
  <c r="H912" i="15"/>
  <c r="I912" i="15" s="1"/>
  <c r="G912" i="15"/>
  <c r="A912" i="15"/>
  <c r="N911" i="15"/>
  <c r="O911" i="15" s="1"/>
  <c r="L911" i="15"/>
  <c r="M911" i="15" s="1"/>
  <c r="K911" i="15"/>
  <c r="J911" i="15"/>
  <c r="H911" i="15"/>
  <c r="I911" i="15" s="1"/>
  <c r="G911" i="15"/>
  <c r="A911" i="15"/>
  <c r="N910" i="15"/>
  <c r="O910" i="15" s="1"/>
  <c r="L910" i="15"/>
  <c r="M910" i="15" s="1"/>
  <c r="K910" i="15"/>
  <c r="J910" i="15"/>
  <c r="H910" i="15"/>
  <c r="I910" i="15" s="1"/>
  <c r="G910" i="15"/>
  <c r="A910" i="15"/>
  <c r="N909" i="15"/>
  <c r="O909" i="15" s="1"/>
  <c r="L909" i="15"/>
  <c r="M909" i="15" s="1"/>
  <c r="K909" i="15"/>
  <c r="J909" i="15"/>
  <c r="H909" i="15"/>
  <c r="I909" i="15" s="1"/>
  <c r="G909" i="15"/>
  <c r="A909" i="15"/>
  <c r="N908" i="15"/>
  <c r="O908" i="15" s="1"/>
  <c r="L908" i="15"/>
  <c r="M908" i="15" s="1"/>
  <c r="K908" i="15"/>
  <c r="J908" i="15"/>
  <c r="H908" i="15"/>
  <c r="I908" i="15" s="1"/>
  <c r="G908" i="15"/>
  <c r="A908" i="15"/>
  <c r="N907" i="15"/>
  <c r="O907" i="15" s="1"/>
  <c r="L907" i="15"/>
  <c r="M907" i="15" s="1"/>
  <c r="K907" i="15"/>
  <c r="J907" i="15"/>
  <c r="H907" i="15"/>
  <c r="I907" i="15" s="1"/>
  <c r="G907" i="15"/>
  <c r="A907" i="15"/>
  <c r="N906" i="15"/>
  <c r="O906" i="15" s="1"/>
  <c r="L906" i="15"/>
  <c r="M906" i="15" s="1"/>
  <c r="K906" i="15"/>
  <c r="J906" i="15"/>
  <c r="H906" i="15"/>
  <c r="I906" i="15" s="1"/>
  <c r="G906" i="15"/>
  <c r="A906" i="15"/>
  <c r="N905" i="15"/>
  <c r="O905" i="15" s="1"/>
  <c r="L905" i="15"/>
  <c r="M905" i="15" s="1"/>
  <c r="K905" i="15"/>
  <c r="J905" i="15"/>
  <c r="H905" i="15"/>
  <c r="I905" i="15" s="1"/>
  <c r="G905" i="15"/>
  <c r="A905" i="15"/>
  <c r="N904" i="15"/>
  <c r="O904" i="15" s="1"/>
  <c r="L904" i="15"/>
  <c r="M904" i="15" s="1"/>
  <c r="K904" i="15"/>
  <c r="J904" i="15"/>
  <c r="H904" i="15"/>
  <c r="I904" i="15" s="1"/>
  <c r="G904" i="15"/>
  <c r="A904" i="15"/>
  <c r="N903" i="15"/>
  <c r="O903" i="15" s="1"/>
  <c r="L903" i="15"/>
  <c r="M903" i="15" s="1"/>
  <c r="K903" i="15"/>
  <c r="J903" i="15"/>
  <c r="H903" i="15"/>
  <c r="I903" i="15" s="1"/>
  <c r="G903" i="15"/>
  <c r="A903" i="15"/>
  <c r="N902" i="15"/>
  <c r="O902" i="15" s="1"/>
  <c r="L902" i="15"/>
  <c r="M902" i="15" s="1"/>
  <c r="K902" i="15"/>
  <c r="J902" i="15"/>
  <c r="H902" i="15"/>
  <c r="I902" i="15" s="1"/>
  <c r="G902" i="15"/>
  <c r="A902" i="15"/>
  <c r="N901" i="15"/>
  <c r="O901" i="15" s="1"/>
  <c r="L901" i="15"/>
  <c r="M901" i="15" s="1"/>
  <c r="K901" i="15"/>
  <c r="J901" i="15"/>
  <c r="H901" i="15"/>
  <c r="I901" i="15" s="1"/>
  <c r="G901" i="15"/>
  <c r="A901" i="15"/>
  <c r="N900" i="15"/>
  <c r="O900" i="15" s="1"/>
  <c r="L900" i="15"/>
  <c r="M900" i="15" s="1"/>
  <c r="K900" i="15"/>
  <c r="J900" i="15"/>
  <c r="H900" i="15"/>
  <c r="I900" i="15" s="1"/>
  <c r="G900" i="15"/>
  <c r="A900" i="15"/>
  <c r="N899" i="15"/>
  <c r="O899" i="15" s="1"/>
  <c r="L899" i="15"/>
  <c r="M899" i="15" s="1"/>
  <c r="K899" i="15"/>
  <c r="J899" i="15"/>
  <c r="H899" i="15"/>
  <c r="I899" i="15" s="1"/>
  <c r="G899" i="15"/>
  <c r="A899" i="15"/>
  <c r="N898" i="15"/>
  <c r="O898" i="15" s="1"/>
  <c r="L898" i="15"/>
  <c r="M898" i="15" s="1"/>
  <c r="K898" i="15"/>
  <c r="J898" i="15"/>
  <c r="H898" i="15"/>
  <c r="I898" i="15" s="1"/>
  <c r="G898" i="15"/>
  <c r="A898" i="15"/>
  <c r="N897" i="15"/>
  <c r="O897" i="15" s="1"/>
  <c r="L897" i="15"/>
  <c r="M897" i="15" s="1"/>
  <c r="K897" i="15"/>
  <c r="J897" i="15"/>
  <c r="H897" i="15"/>
  <c r="I897" i="15" s="1"/>
  <c r="G897" i="15"/>
  <c r="A897" i="15"/>
  <c r="N896" i="15"/>
  <c r="O896" i="15" s="1"/>
  <c r="L896" i="15"/>
  <c r="M896" i="15" s="1"/>
  <c r="K896" i="15"/>
  <c r="J896" i="15"/>
  <c r="H896" i="15"/>
  <c r="I896" i="15" s="1"/>
  <c r="G896" i="15"/>
  <c r="A896" i="15"/>
  <c r="N895" i="15"/>
  <c r="O895" i="15" s="1"/>
  <c r="L895" i="15"/>
  <c r="M895" i="15" s="1"/>
  <c r="K895" i="15"/>
  <c r="J895" i="15"/>
  <c r="H895" i="15"/>
  <c r="I895" i="15" s="1"/>
  <c r="G895" i="15"/>
  <c r="A895" i="15"/>
  <c r="N894" i="15"/>
  <c r="O894" i="15" s="1"/>
  <c r="L894" i="15"/>
  <c r="M894" i="15" s="1"/>
  <c r="K894" i="15"/>
  <c r="J894" i="15"/>
  <c r="H894" i="15"/>
  <c r="I894" i="15" s="1"/>
  <c r="G894" i="15"/>
  <c r="A894" i="15"/>
  <c r="N893" i="15"/>
  <c r="O893" i="15" s="1"/>
  <c r="L893" i="15"/>
  <c r="M893" i="15" s="1"/>
  <c r="K893" i="15"/>
  <c r="J893" i="15"/>
  <c r="H893" i="15"/>
  <c r="I893" i="15" s="1"/>
  <c r="G893" i="15"/>
  <c r="A893" i="15"/>
  <c r="N892" i="15"/>
  <c r="O892" i="15" s="1"/>
  <c r="L892" i="15"/>
  <c r="M892" i="15" s="1"/>
  <c r="K892" i="15"/>
  <c r="J892" i="15"/>
  <c r="H892" i="15"/>
  <c r="I892" i="15" s="1"/>
  <c r="G892" i="15"/>
  <c r="A892" i="15"/>
  <c r="N891" i="15"/>
  <c r="O891" i="15" s="1"/>
  <c r="L891" i="15"/>
  <c r="M891" i="15" s="1"/>
  <c r="K891" i="15"/>
  <c r="J891" i="15"/>
  <c r="H891" i="15"/>
  <c r="I891" i="15" s="1"/>
  <c r="G891" i="15"/>
  <c r="A891" i="15"/>
  <c r="N890" i="15"/>
  <c r="O890" i="15" s="1"/>
  <c r="L890" i="15"/>
  <c r="M890" i="15" s="1"/>
  <c r="K890" i="15"/>
  <c r="J890" i="15"/>
  <c r="H890" i="15"/>
  <c r="I890" i="15" s="1"/>
  <c r="G890" i="15"/>
  <c r="A890" i="15"/>
  <c r="N889" i="15"/>
  <c r="O889" i="15" s="1"/>
  <c r="L889" i="15"/>
  <c r="M889" i="15" s="1"/>
  <c r="K889" i="15"/>
  <c r="J889" i="15"/>
  <c r="H889" i="15"/>
  <c r="I889" i="15" s="1"/>
  <c r="G889" i="15"/>
  <c r="A889" i="15"/>
  <c r="N888" i="15"/>
  <c r="O888" i="15" s="1"/>
  <c r="L888" i="15"/>
  <c r="M888" i="15" s="1"/>
  <c r="K888" i="15"/>
  <c r="J888" i="15"/>
  <c r="H888" i="15"/>
  <c r="I888" i="15" s="1"/>
  <c r="G888" i="15"/>
  <c r="A888" i="15"/>
  <c r="N887" i="15"/>
  <c r="O887" i="15" s="1"/>
  <c r="L887" i="15"/>
  <c r="M887" i="15" s="1"/>
  <c r="K887" i="15"/>
  <c r="J887" i="15"/>
  <c r="H887" i="15"/>
  <c r="I887" i="15" s="1"/>
  <c r="G887" i="15"/>
  <c r="A887" i="15"/>
  <c r="N886" i="15"/>
  <c r="O886" i="15" s="1"/>
  <c r="L886" i="15"/>
  <c r="M886" i="15" s="1"/>
  <c r="K886" i="15"/>
  <c r="J886" i="15"/>
  <c r="H886" i="15"/>
  <c r="I886" i="15" s="1"/>
  <c r="G886" i="15"/>
  <c r="A886" i="15"/>
  <c r="N885" i="15"/>
  <c r="O885" i="15" s="1"/>
  <c r="L885" i="15"/>
  <c r="M885" i="15" s="1"/>
  <c r="K885" i="15"/>
  <c r="J885" i="15"/>
  <c r="H885" i="15"/>
  <c r="I885" i="15" s="1"/>
  <c r="G885" i="15"/>
  <c r="A885" i="15"/>
  <c r="N884" i="15"/>
  <c r="O884" i="15" s="1"/>
  <c r="L884" i="15"/>
  <c r="M884" i="15" s="1"/>
  <c r="K884" i="15"/>
  <c r="J884" i="15"/>
  <c r="H884" i="15"/>
  <c r="I884" i="15" s="1"/>
  <c r="G884" i="15"/>
  <c r="A884" i="15"/>
  <c r="N883" i="15"/>
  <c r="O883" i="15" s="1"/>
  <c r="L883" i="15"/>
  <c r="M883" i="15" s="1"/>
  <c r="K883" i="15"/>
  <c r="J883" i="15"/>
  <c r="H883" i="15"/>
  <c r="I883" i="15" s="1"/>
  <c r="G883" i="15"/>
  <c r="A883" i="15"/>
  <c r="N882" i="15"/>
  <c r="O882" i="15" s="1"/>
  <c r="L882" i="15"/>
  <c r="M882" i="15" s="1"/>
  <c r="K882" i="15"/>
  <c r="J882" i="15"/>
  <c r="H882" i="15"/>
  <c r="I882" i="15" s="1"/>
  <c r="G882" i="15"/>
  <c r="A882" i="15"/>
  <c r="N881" i="15"/>
  <c r="O881" i="15" s="1"/>
  <c r="L881" i="15"/>
  <c r="M881" i="15" s="1"/>
  <c r="K881" i="15"/>
  <c r="J881" i="15"/>
  <c r="H881" i="15"/>
  <c r="I881" i="15" s="1"/>
  <c r="G881" i="15"/>
  <c r="A881" i="15"/>
  <c r="N880" i="15"/>
  <c r="O880" i="15" s="1"/>
  <c r="L880" i="15"/>
  <c r="M880" i="15" s="1"/>
  <c r="K880" i="15"/>
  <c r="J880" i="15"/>
  <c r="H880" i="15"/>
  <c r="I880" i="15" s="1"/>
  <c r="G880" i="15"/>
  <c r="A880" i="15"/>
  <c r="N879" i="15"/>
  <c r="O879" i="15" s="1"/>
  <c r="L879" i="15"/>
  <c r="M879" i="15" s="1"/>
  <c r="K879" i="15"/>
  <c r="J879" i="15"/>
  <c r="H879" i="15"/>
  <c r="I879" i="15" s="1"/>
  <c r="G879" i="15"/>
  <c r="A879" i="15"/>
  <c r="N878" i="15"/>
  <c r="O878" i="15" s="1"/>
  <c r="L878" i="15"/>
  <c r="M878" i="15" s="1"/>
  <c r="K878" i="15"/>
  <c r="J878" i="15"/>
  <c r="H878" i="15"/>
  <c r="I878" i="15" s="1"/>
  <c r="G878" i="15"/>
  <c r="A878" i="15"/>
  <c r="N877" i="15"/>
  <c r="O877" i="15" s="1"/>
  <c r="L877" i="15"/>
  <c r="M877" i="15" s="1"/>
  <c r="K877" i="15"/>
  <c r="J877" i="15"/>
  <c r="H877" i="15"/>
  <c r="I877" i="15" s="1"/>
  <c r="G877" i="15"/>
  <c r="A877" i="15"/>
  <c r="N876" i="15"/>
  <c r="O876" i="15" s="1"/>
  <c r="L876" i="15"/>
  <c r="M876" i="15" s="1"/>
  <c r="K876" i="15"/>
  <c r="J876" i="15"/>
  <c r="H876" i="15"/>
  <c r="I876" i="15" s="1"/>
  <c r="G876" i="15"/>
  <c r="A876" i="15"/>
  <c r="N875" i="15"/>
  <c r="O875" i="15" s="1"/>
  <c r="L875" i="15"/>
  <c r="M875" i="15" s="1"/>
  <c r="K875" i="15"/>
  <c r="J875" i="15"/>
  <c r="H875" i="15"/>
  <c r="I875" i="15" s="1"/>
  <c r="G875" i="15"/>
  <c r="A875" i="15"/>
  <c r="N874" i="15"/>
  <c r="O874" i="15" s="1"/>
  <c r="L874" i="15"/>
  <c r="M874" i="15" s="1"/>
  <c r="K874" i="15"/>
  <c r="J874" i="15"/>
  <c r="H874" i="15"/>
  <c r="I874" i="15" s="1"/>
  <c r="G874" i="15"/>
  <c r="A874" i="15"/>
  <c r="N873" i="15"/>
  <c r="O873" i="15" s="1"/>
  <c r="L873" i="15"/>
  <c r="M873" i="15" s="1"/>
  <c r="K873" i="15"/>
  <c r="J873" i="15"/>
  <c r="H873" i="15"/>
  <c r="I873" i="15" s="1"/>
  <c r="G873" i="15"/>
  <c r="A873" i="15"/>
  <c r="N872" i="15"/>
  <c r="O872" i="15" s="1"/>
  <c r="L872" i="15"/>
  <c r="M872" i="15" s="1"/>
  <c r="K872" i="15"/>
  <c r="J872" i="15"/>
  <c r="H872" i="15"/>
  <c r="I872" i="15" s="1"/>
  <c r="G872" i="15"/>
  <c r="A872" i="15"/>
  <c r="N871" i="15"/>
  <c r="O871" i="15" s="1"/>
  <c r="L871" i="15"/>
  <c r="M871" i="15" s="1"/>
  <c r="K871" i="15"/>
  <c r="J871" i="15"/>
  <c r="H871" i="15"/>
  <c r="I871" i="15" s="1"/>
  <c r="G871" i="15"/>
  <c r="A871" i="15"/>
  <c r="N870" i="15"/>
  <c r="O870" i="15" s="1"/>
  <c r="L870" i="15"/>
  <c r="M870" i="15" s="1"/>
  <c r="K870" i="15"/>
  <c r="J870" i="15"/>
  <c r="H870" i="15"/>
  <c r="I870" i="15" s="1"/>
  <c r="G870" i="15"/>
  <c r="A870" i="15"/>
  <c r="N869" i="15"/>
  <c r="O869" i="15" s="1"/>
  <c r="L869" i="15"/>
  <c r="M869" i="15" s="1"/>
  <c r="K869" i="15"/>
  <c r="J869" i="15"/>
  <c r="H869" i="15"/>
  <c r="I869" i="15" s="1"/>
  <c r="G869" i="15"/>
  <c r="A869" i="15"/>
  <c r="N868" i="15"/>
  <c r="O868" i="15" s="1"/>
  <c r="L868" i="15"/>
  <c r="M868" i="15" s="1"/>
  <c r="K868" i="15"/>
  <c r="J868" i="15"/>
  <c r="H868" i="15"/>
  <c r="I868" i="15" s="1"/>
  <c r="G868" i="15"/>
  <c r="A868" i="15"/>
  <c r="N867" i="15"/>
  <c r="O867" i="15" s="1"/>
  <c r="L867" i="15"/>
  <c r="M867" i="15" s="1"/>
  <c r="K867" i="15"/>
  <c r="J867" i="15"/>
  <c r="H867" i="15"/>
  <c r="I867" i="15" s="1"/>
  <c r="G867" i="15"/>
  <c r="A867" i="15"/>
  <c r="N866" i="15"/>
  <c r="O866" i="15" s="1"/>
  <c r="L866" i="15"/>
  <c r="M866" i="15" s="1"/>
  <c r="K866" i="15"/>
  <c r="J866" i="15"/>
  <c r="H866" i="15"/>
  <c r="I866" i="15" s="1"/>
  <c r="G866" i="15"/>
  <c r="A866" i="15"/>
  <c r="N865" i="15"/>
  <c r="O865" i="15" s="1"/>
  <c r="L865" i="15"/>
  <c r="M865" i="15" s="1"/>
  <c r="K865" i="15"/>
  <c r="J865" i="15"/>
  <c r="H865" i="15"/>
  <c r="I865" i="15" s="1"/>
  <c r="G865" i="15"/>
  <c r="A865" i="15"/>
  <c r="N864" i="15"/>
  <c r="O864" i="15" s="1"/>
  <c r="L864" i="15"/>
  <c r="M864" i="15" s="1"/>
  <c r="K864" i="15"/>
  <c r="J864" i="15"/>
  <c r="H864" i="15"/>
  <c r="I864" i="15" s="1"/>
  <c r="G864" i="15"/>
  <c r="A864" i="15"/>
  <c r="N863" i="15"/>
  <c r="O863" i="15" s="1"/>
  <c r="L863" i="15"/>
  <c r="M863" i="15" s="1"/>
  <c r="K863" i="15"/>
  <c r="J863" i="15"/>
  <c r="H863" i="15"/>
  <c r="I863" i="15" s="1"/>
  <c r="G863" i="15"/>
  <c r="A863" i="15"/>
  <c r="N862" i="15"/>
  <c r="O862" i="15" s="1"/>
  <c r="L862" i="15"/>
  <c r="M862" i="15" s="1"/>
  <c r="K862" i="15"/>
  <c r="J862" i="15"/>
  <c r="H862" i="15"/>
  <c r="I862" i="15" s="1"/>
  <c r="G862" i="15"/>
  <c r="A862" i="15"/>
  <c r="N861" i="15"/>
  <c r="O861" i="15" s="1"/>
  <c r="L861" i="15"/>
  <c r="M861" i="15" s="1"/>
  <c r="K861" i="15"/>
  <c r="J861" i="15"/>
  <c r="H861" i="15"/>
  <c r="I861" i="15" s="1"/>
  <c r="G861" i="15"/>
  <c r="A861" i="15"/>
  <c r="N860" i="15"/>
  <c r="O860" i="15" s="1"/>
  <c r="L860" i="15"/>
  <c r="M860" i="15" s="1"/>
  <c r="K860" i="15"/>
  <c r="J860" i="15"/>
  <c r="H860" i="15"/>
  <c r="I860" i="15" s="1"/>
  <c r="G860" i="15"/>
  <c r="A860" i="15"/>
  <c r="N859" i="15"/>
  <c r="O859" i="15" s="1"/>
  <c r="L859" i="15"/>
  <c r="M859" i="15" s="1"/>
  <c r="K859" i="15"/>
  <c r="J859" i="15"/>
  <c r="H859" i="15"/>
  <c r="I859" i="15" s="1"/>
  <c r="G859" i="15"/>
  <c r="A859" i="15"/>
  <c r="N858" i="15"/>
  <c r="O858" i="15" s="1"/>
  <c r="L858" i="15"/>
  <c r="M858" i="15" s="1"/>
  <c r="K858" i="15"/>
  <c r="J858" i="15"/>
  <c r="H858" i="15"/>
  <c r="I858" i="15" s="1"/>
  <c r="G858" i="15"/>
  <c r="A858" i="15"/>
  <c r="N857" i="15"/>
  <c r="O857" i="15" s="1"/>
  <c r="L857" i="15"/>
  <c r="M857" i="15" s="1"/>
  <c r="K857" i="15"/>
  <c r="J857" i="15"/>
  <c r="H857" i="15"/>
  <c r="I857" i="15" s="1"/>
  <c r="G857" i="15"/>
  <c r="A857" i="15"/>
  <c r="N856" i="15"/>
  <c r="O856" i="15" s="1"/>
  <c r="L856" i="15"/>
  <c r="M856" i="15" s="1"/>
  <c r="K856" i="15"/>
  <c r="J856" i="15"/>
  <c r="H856" i="15"/>
  <c r="I856" i="15" s="1"/>
  <c r="G856" i="15"/>
  <c r="A856" i="15"/>
  <c r="N855" i="15"/>
  <c r="O855" i="15" s="1"/>
  <c r="L855" i="15"/>
  <c r="M855" i="15" s="1"/>
  <c r="K855" i="15"/>
  <c r="J855" i="15"/>
  <c r="H855" i="15"/>
  <c r="I855" i="15" s="1"/>
  <c r="G855" i="15"/>
  <c r="A855" i="15"/>
  <c r="N854" i="15"/>
  <c r="O854" i="15" s="1"/>
  <c r="L854" i="15"/>
  <c r="M854" i="15" s="1"/>
  <c r="K854" i="15"/>
  <c r="J854" i="15"/>
  <c r="H854" i="15"/>
  <c r="I854" i="15" s="1"/>
  <c r="G854" i="15"/>
  <c r="A854" i="15"/>
  <c r="N853" i="15"/>
  <c r="O853" i="15" s="1"/>
  <c r="L853" i="15"/>
  <c r="M853" i="15" s="1"/>
  <c r="K853" i="15"/>
  <c r="J853" i="15"/>
  <c r="H853" i="15"/>
  <c r="I853" i="15" s="1"/>
  <c r="G853" i="15"/>
  <c r="A853" i="15"/>
  <c r="N852" i="15"/>
  <c r="O852" i="15" s="1"/>
  <c r="L852" i="15"/>
  <c r="M852" i="15" s="1"/>
  <c r="K852" i="15"/>
  <c r="J852" i="15"/>
  <c r="H852" i="15"/>
  <c r="I852" i="15" s="1"/>
  <c r="G852" i="15"/>
  <c r="A852" i="15"/>
  <c r="N851" i="15"/>
  <c r="O851" i="15" s="1"/>
  <c r="L851" i="15"/>
  <c r="M851" i="15" s="1"/>
  <c r="K851" i="15"/>
  <c r="J851" i="15"/>
  <c r="H851" i="15"/>
  <c r="I851" i="15" s="1"/>
  <c r="G851" i="15"/>
  <c r="A851" i="15"/>
  <c r="N850" i="15"/>
  <c r="O850" i="15" s="1"/>
  <c r="L850" i="15"/>
  <c r="M850" i="15" s="1"/>
  <c r="K850" i="15"/>
  <c r="J850" i="15"/>
  <c r="H850" i="15"/>
  <c r="I850" i="15" s="1"/>
  <c r="G850" i="15"/>
  <c r="A850" i="15"/>
  <c r="N849" i="15"/>
  <c r="O849" i="15" s="1"/>
  <c r="L849" i="15"/>
  <c r="M849" i="15" s="1"/>
  <c r="K849" i="15"/>
  <c r="J849" i="15"/>
  <c r="H849" i="15"/>
  <c r="I849" i="15" s="1"/>
  <c r="G849" i="15"/>
  <c r="A849" i="15"/>
  <c r="N848" i="15"/>
  <c r="O848" i="15" s="1"/>
  <c r="L848" i="15"/>
  <c r="M848" i="15" s="1"/>
  <c r="K848" i="15"/>
  <c r="J848" i="15"/>
  <c r="H848" i="15"/>
  <c r="I848" i="15" s="1"/>
  <c r="G848" i="15"/>
  <c r="A848" i="15"/>
  <c r="N847" i="15"/>
  <c r="O847" i="15" s="1"/>
  <c r="L847" i="15"/>
  <c r="M847" i="15" s="1"/>
  <c r="K847" i="15"/>
  <c r="J847" i="15"/>
  <c r="H847" i="15"/>
  <c r="I847" i="15" s="1"/>
  <c r="G847" i="15"/>
  <c r="A847" i="15"/>
  <c r="N846" i="15"/>
  <c r="O846" i="15" s="1"/>
  <c r="L846" i="15"/>
  <c r="M846" i="15" s="1"/>
  <c r="K846" i="15"/>
  <c r="J846" i="15"/>
  <c r="H846" i="15"/>
  <c r="I846" i="15" s="1"/>
  <c r="G846" i="15"/>
  <c r="A846" i="15"/>
  <c r="N845" i="15"/>
  <c r="O845" i="15" s="1"/>
  <c r="L845" i="15"/>
  <c r="M845" i="15" s="1"/>
  <c r="K845" i="15"/>
  <c r="J845" i="15"/>
  <c r="H845" i="15"/>
  <c r="I845" i="15" s="1"/>
  <c r="G845" i="15"/>
  <c r="A845" i="15"/>
  <c r="N844" i="15"/>
  <c r="O844" i="15" s="1"/>
  <c r="L844" i="15"/>
  <c r="M844" i="15" s="1"/>
  <c r="K844" i="15"/>
  <c r="J844" i="15"/>
  <c r="H844" i="15"/>
  <c r="I844" i="15" s="1"/>
  <c r="G844" i="15"/>
  <c r="A844" i="15"/>
  <c r="N843" i="15"/>
  <c r="O843" i="15" s="1"/>
  <c r="L843" i="15"/>
  <c r="M843" i="15" s="1"/>
  <c r="K843" i="15"/>
  <c r="J843" i="15"/>
  <c r="H843" i="15"/>
  <c r="I843" i="15" s="1"/>
  <c r="G843" i="15"/>
  <c r="A843" i="15"/>
  <c r="N842" i="15"/>
  <c r="O842" i="15" s="1"/>
  <c r="L842" i="15"/>
  <c r="M842" i="15" s="1"/>
  <c r="K842" i="15"/>
  <c r="J842" i="15"/>
  <c r="H842" i="15"/>
  <c r="I842" i="15" s="1"/>
  <c r="G842" i="15"/>
  <c r="A842" i="15"/>
  <c r="N841" i="15"/>
  <c r="O841" i="15" s="1"/>
  <c r="L841" i="15"/>
  <c r="M841" i="15" s="1"/>
  <c r="K841" i="15"/>
  <c r="J841" i="15"/>
  <c r="H841" i="15"/>
  <c r="I841" i="15" s="1"/>
  <c r="G841" i="15"/>
  <c r="A841" i="15"/>
  <c r="N840" i="15"/>
  <c r="O840" i="15" s="1"/>
  <c r="L840" i="15"/>
  <c r="M840" i="15" s="1"/>
  <c r="K840" i="15"/>
  <c r="J840" i="15"/>
  <c r="H840" i="15"/>
  <c r="I840" i="15" s="1"/>
  <c r="G840" i="15"/>
  <c r="A840" i="15"/>
  <c r="N839" i="15"/>
  <c r="O839" i="15" s="1"/>
  <c r="L839" i="15"/>
  <c r="M839" i="15" s="1"/>
  <c r="K839" i="15"/>
  <c r="J839" i="15"/>
  <c r="H839" i="15"/>
  <c r="I839" i="15" s="1"/>
  <c r="G839" i="15"/>
  <c r="A839" i="15"/>
  <c r="N838" i="15"/>
  <c r="O838" i="15" s="1"/>
  <c r="L838" i="15"/>
  <c r="M838" i="15" s="1"/>
  <c r="K838" i="15"/>
  <c r="J838" i="15"/>
  <c r="H838" i="15"/>
  <c r="I838" i="15" s="1"/>
  <c r="G838" i="15"/>
  <c r="A838" i="15"/>
  <c r="N837" i="15"/>
  <c r="O837" i="15" s="1"/>
  <c r="L837" i="15"/>
  <c r="M837" i="15" s="1"/>
  <c r="K837" i="15"/>
  <c r="J837" i="15"/>
  <c r="H837" i="15"/>
  <c r="I837" i="15" s="1"/>
  <c r="G837" i="15"/>
  <c r="A837" i="15"/>
  <c r="N836" i="15"/>
  <c r="O836" i="15" s="1"/>
  <c r="L836" i="15"/>
  <c r="M836" i="15" s="1"/>
  <c r="K836" i="15"/>
  <c r="J836" i="15"/>
  <c r="H836" i="15"/>
  <c r="I836" i="15" s="1"/>
  <c r="G836" i="15"/>
  <c r="A836" i="15"/>
  <c r="N835" i="15"/>
  <c r="O835" i="15" s="1"/>
  <c r="L835" i="15"/>
  <c r="M835" i="15" s="1"/>
  <c r="K835" i="15"/>
  <c r="J835" i="15"/>
  <c r="H835" i="15"/>
  <c r="I835" i="15" s="1"/>
  <c r="G835" i="15"/>
  <c r="A835" i="15"/>
  <c r="N834" i="15"/>
  <c r="O834" i="15" s="1"/>
  <c r="L834" i="15"/>
  <c r="M834" i="15" s="1"/>
  <c r="K834" i="15"/>
  <c r="J834" i="15"/>
  <c r="H834" i="15"/>
  <c r="I834" i="15" s="1"/>
  <c r="G834" i="15"/>
  <c r="A834" i="15"/>
  <c r="N833" i="15"/>
  <c r="O833" i="15" s="1"/>
  <c r="L833" i="15"/>
  <c r="M833" i="15" s="1"/>
  <c r="K833" i="15"/>
  <c r="J833" i="15"/>
  <c r="H833" i="15"/>
  <c r="I833" i="15" s="1"/>
  <c r="G833" i="15"/>
  <c r="A833" i="15"/>
  <c r="N832" i="15"/>
  <c r="O832" i="15" s="1"/>
  <c r="L832" i="15"/>
  <c r="M832" i="15" s="1"/>
  <c r="K832" i="15"/>
  <c r="J832" i="15"/>
  <c r="H832" i="15"/>
  <c r="I832" i="15" s="1"/>
  <c r="G832" i="15"/>
  <c r="A832" i="15"/>
  <c r="N831" i="15"/>
  <c r="O831" i="15" s="1"/>
  <c r="L831" i="15"/>
  <c r="M831" i="15" s="1"/>
  <c r="K831" i="15"/>
  <c r="J831" i="15"/>
  <c r="H831" i="15"/>
  <c r="I831" i="15" s="1"/>
  <c r="G831" i="15"/>
  <c r="A831" i="15"/>
  <c r="N830" i="15"/>
  <c r="O830" i="15" s="1"/>
  <c r="L830" i="15"/>
  <c r="M830" i="15" s="1"/>
  <c r="K830" i="15"/>
  <c r="J830" i="15"/>
  <c r="H830" i="15"/>
  <c r="I830" i="15" s="1"/>
  <c r="G830" i="15"/>
  <c r="A830" i="15"/>
  <c r="N829" i="15"/>
  <c r="O829" i="15" s="1"/>
  <c r="L829" i="15"/>
  <c r="M829" i="15" s="1"/>
  <c r="K829" i="15"/>
  <c r="J829" i="15"/>
  <c r="H829" i="15"/>
  <c r="I829" i="15" s="1"/>
  <c r="G829" i="15"/>
  <c r="A829" i="15"/>
  <c r="N828" i="15"/>
  <c r="O828" i="15" s="1"/>
  <c r="L828" i="15"/>
  <c r="M828" i="15" s="1"/>
  <c r="K828" i="15"/>
  <c r="J828" i="15"/>
  <c r="H828" i="15"/>
  <c r="I828" i="15" s="1"/>
  <c r="G828" i="15"/>
  <c r="A828" i="15"/>
  <c r="N827" i="15"/>
  <c r="O827" i="15" s="1"/>
  <c r="L827" i="15"/>
  <c r="M827" i="15" s="1"/>
  <c r="K827" i="15"/>
  <c r="J827" i="15"/>
  <c r="H827" i="15"/>
  <c r="I827" i="15" s="1"/>
  <c r="G827" i="15"/>
  <c r="A827" i="15"/>
  <c r="N826" i="15"/>
  <c r="O826" i="15" s="1"/>
  <c r="L826" i="15"/>
  <c r="M826" i="15" s="1"/>
  <c r="K826" i="15"/>
  <c r="J826" i="15"/>
  <c r="H826" i="15"/>
  <c r="I826" i="15" s="1"/>
  <c r="G826" i="15"/>
  <c r="A826" i="15"/>
  <c r="N825" i="15"/>
  <c r="O825" i="15" s="1"/>
  <c r="L825" i="15"/>
  <c r="M825" i="15" s="1"/>
  <c r="K825" i="15"/>
  <c r="J825" i="15"/>
  <c r="H825" i="15"/>
  <c r="I825" i="15" s="1"/>
  <c r="G825" i="15"/>
  <c r="A825" i="15"/>
  <c r="N824" i="15"/>
  <c r="O824" i="15" s="1"/>
  <c r="L824" i="15"/>
  <c r="M824" i="15" s="1"/>
  <c r="K824" i="15"/>
  <c r="J824" i="15"/>
  <c r="H824" i="15"/>
  <c r="I824" i="15" s="1"/>
  <c r="G824" i="15"/>
  <c r="A824" i="15"/>
  <c r="N823" i="15"/>
  <c r="O823" i="15" s="1"/>
  <c r="L823" i="15"/>
  <c r="M823" i="15" s="1"/>
  <c r="K823" i="15"/>
  <c r="J823" i="15"/>
  <c r="H823" i="15"/>
  <c r="I823" i="15" s="1"/>
  <c r="G823" i="15"/>
  <c r="A823" i="15"/>
  <c r="N822" i="15"/>
  <c r="O822" i="15" s="1"/>
  <c r="L822" i="15"/>
  <c r="M822" i="15" s="1"/>
  <c r="K822" i="15"/>
  <c r="J822" i="15"/>
  <c r="H822" i="15"/>
  <c r="I822" i="15" s="1"/>
  <c r="G822" i="15"/>
  <c r="A822" i="15"/>
  <c r="N821" i="15"/>
  <c r="O821" i="15" s="1"/>
  <c r="L821" i="15"/>
  <c r="M821" i="15" s="1"/>
  <c r="K821" i="15"/>
  <c r="J821" i="15"/>
  <c r="H821" i="15"/>
  <c r="I821" i="15" s="1"/>
  <c r="G821" i="15"/>
  <c r="A821" i="15"/>
  <c r="N820" i="15"/>
  <c r="O820" i="15" s="1"/>
  <c r="L820" i="15"/>
  <c r="M820" i="15" s="1"/>
  <c r="K820" i="15"/>
  <c r="J820" i="15"/>
  <c r="H820" i="15"/>
  <c r="I820" i="15" s="1"/>
  <c r="G820" i="15"/>
  <c r="A820" i="15"/>
  <c r="N819" i="15"/>
  <c r="O819" i="15" s="1"/>
  <c r="L819" i="15"/>
  <c r="M819" i="15" s="1"/>
  <c r="K819" i="15"/>
  <c r="J819" i="15"/>
  <c r="H819" i="15"/>
  <c r="I819" i="15" s="1"/>
  <c r="G819" i="15"/>
  <c r="A819" i="15"/>
  <c r="N818" i="15"/>
  <c r="O818" i="15" s="1"/>
  <c r="L818" i="15"/>
  <c r="M818" i="15" s="1"/>
  <c r="K818" i="15"/>
  <c r="J818" i="15"/>
  <c r="H818" i="15"/>
  <c r="I818" i="15" s="1"/>
  <c r="G818" i="15"/>
  <c r="A818" i="15"/>
  <c r="N817" i="15"/>
  <c r="O817" i="15" s="1"/>
  <c r="L817" i="15"/>
  <c r="M817" i="15" s="1"/>
  <c r="K817" i="15"/>
  <c r="J817" i="15"/>
  <c r="H817" i="15"/>
  <c r="I817" i="15" s="1"/>
  <c r="G817" i="15"/>
  <c r="A817" i="15"/>
  <c r="N816" i="15"/>
  <c r="O816" i="15" s="1"/>
  <c r="L816" i="15"/>
  <c r="M816" i="15" s="1"/>
  <c r="K816" i="15"/>
  <c r="J816" i="15"/>
  <c r="H816" i="15"/>
  <c r="I816" i="15" s="1"/>
  <c r="G816" i="15"/>
  <c r="A816" i="15"/>
  <c r="N815" i="15"/>
  <c r="O815" i="15" s="1"/>
  <c r="L815" i="15"/>
  <c r="M815" i="15" s="1"/>
  <c r="K815" i="15"/>
  <c r="J815" i="15"/>
  <c r="H815" i="15"/>
  <c r="I815" i="15" s="1"/>
  <c r="G815" i="15"/>
  <c r="A815" i="15"/>
  <c r="N814" i="15"/>
  <c r="O814" i="15" s="1"/>
  <c r="L814" i="15"/>
  <c r="M814" i="15" s="1"/>
  <c r="K814" i="15"/>
  <c r="J814" i="15"/>
  <c r="H814" i="15"/>
  <c r="I814" i="15" s="1"/>
  <c r="G814" i="15"/>
  <c r="A814" i="15"/>
  <c r="N813" i="15"/>
  <c r="O813" i="15" s="1"/>
  <c r="L813" i="15"/>
  <c r="M813" i="15" s="1"/>
  <c r="K813" i="15"/>
  <c r="J813" i="15"/>
  <c r="H813" i="15"/>
  <c r="I813" i="15" s="1"/>
  <c r="G813" i="15"/>
  <c r="A813" i="15"/>
  <c r="N812" i="15"/>
  <c r="O812" i="15" s="1"/>
  <c r="L812" i="15"/>
  <c r="M812" i="15" s="1"/>
  <c r="K812" i="15"/>
  <c r="J812" i="15"/>
  <c r="H812" i="15"/>
  <c r="I812" i="15" s="1"/>
  <c r="G812" i="15"/>
  <c r="A812" i="15"/>
  <c r="N811" i="15"/>
  <c r="O811" i="15" s="1"/>
  <c r="L811" i="15"/>
  <c r="M811" i="15" s="1"/>
  <c r="K811" i="15"/>
  <c r="J811" i="15"/>
  <c r="H811" i="15"/>
  <c r="I811" i="15" s="1"/>
  <c r="G811" i="15"/>
  <c r="A811" i="15"/>
  <c r="N810" i="15"/>
  <c r="O810" i="15" s="1"/>
  <c r="L810" i="15"/>
  <c r="M810" i="15" s="1"/>
  <c r="K810" i="15"/>
  <c r="J810" i="15"/>
  <c r="H810" i="15"/>
  <c r="I810" i="15" s="1"/>
  <c r="G810" i="15"/>
  <c r="A810" i="15"/>
  <c r="N809" i="15"/>
  <c r="O809" i="15" s="1"/>
  <c r="L809" i="15"/>
  <c r="M809" i="15" s="1"/>
  <c r="K809" i="15"/>
  <c r="J809" i="15"/>
  <c r="H809" i="15"/>
  <c r="I809" i="15" s="1"/>
  <c r="G809" i="15"/>
  <c r="A809" i="15"/>
  <c r="N808" i="15"/>
  <c r="O808" i="15" s="1"/>
  <c r="L808" i="15"/>
  <c r="M808" i="15" s="1"/>
  <c r="K808" i="15"/>
  <c r="J808" i="15"/>
  <c r="H808" i="15"/>
  <c r="I808" i="15" s="1"/>
  <c r="G808" i="15"/>
  <c r="A808" i="15"/>
  <c r="N807" i="15"/>
  <c r="O807" i="15" s="1"/>
  <c r="L807" i="15"/>
  <c r="M807" i="15" s="1"/>
  <c r="K807" i="15"/>
  <c r="J807" i="15"/>
  <c r="H807" i="15"/>
  <c r="I807" i="15" s="1"/>
  <c r="G807" i="15"/>
  <c r="A807" i="15"/>
  <c r="N806" i="15"/>
  <c r="O806" i="15" s="1"/>
  <c r="L806" i="15"/>
  <c r="M806" i="15" s="1"/>
  <c r="K806" i="15"/>
  <c r="J806" i="15"/>
  <c r="H806" i="15"/>
  <c r="I806" i="15" s="1"/>
  <c r="G806" i="15"/>
  <c r="A806" i="15"/>
  <c r="N805" i="15"/>
  <c r="O805" i="15" s="1"/>
  <c r="L805" i="15"/>
  <c r="M805" i="15" s="1"/>
  <c r="K805" i="15"/>
  <c r="J805" i="15"/>
  <c r="H805" i="15"/>
  <c r="I805" i="15" s="1"/>
  <c r="G805" i="15"/>
  <c r="A805" i="15"/>
  <c r="N804" i="15"/>
  <c r="O804" i="15" s="1"/>
  <c r="L804" i="15"/>
  <c r="M804" i="15" s="1"/>
  <c r="K804" i="15"/>
  <c r="J804" i="15"/>
  <c r="H804" i="15"/>
  <c r="I804" i="15" s="1"/>
  <c r="G804" i="15"/>
  <c r="A804" i="15"/>
  <c r="N803" i="15"/>
  <c r="O803" i="15" s="1"/>
  <c r="L803" i="15"/>
  <c r="M803" i="15" s="1"/>
  <c r="K803" i="15"/>
  <c r="J803" i="15"/>
  <c r="H803" i="15"/>
  <c r="I803" i="15" s="1"/>
  <c r="G803" i="15"/>
  <c r="A803" i="15"/>
  <c r="N802" i="15"/>
  <c r="O802" i="15" s="1"/>
  <c r="L802" i="15"/>
  <c r="M802" i="15" s="1"/>
  <c r="K802" i="15"/>
  <c r="J802" i="15"/>
  <c r="H802" i="15"/>
  <c r="I802" i="15" s="1"/>
  <c r="G802" i="15"/>
  <c r="A802" i="15"/>
  <c r="N801" i="15"/>
  <c r="O801" i="15" s="1"/>
  <c r="L801" i="15"/>
  <c r="M801" i="15" s="1"/>
  <c r="K801" i="15"/>
  <c r="J801" i="15"/>
  <c r="H801" i="15"/>
  <c r="I801" i="15" s="1"/>
  <c r="G801" i="15"/>
  <c r="A801" i="15"/>
  <c r="N800" i="15"/>
  <c r="O800" i="15" s="1"/>
  <c r="L800" i="15"/>
  <c r="M800" i="15" s="1"/>
  <c r="K800" i="15"/>
  <c r="J800" i="15"/>
  <c r="H800" i="15"/>
  <c r="I800" i="15" s="1"/>
  <c r="G800" i="15"/>
  <c r="A800" i="15"/>
  <c r="N799" i="15"/>
  <c r="O799" i="15" s="1"/>
  <c r="L799" i="15"/>
  <c r="M799" i="15" s="1"/>
  <c r="K799" i="15"/>
  <c r="J799" i="15"/>
  <c r="H799" i="15"/>
  <c r="I799" i="15" s="1"/>
  <c r="G799" i="15"/>
  <c r="A799" i="15"/>
  <c r="N798" i="15"/>
  <c r="O798" i="15" s="1"/>
  <c r="L798" i="15"/>
  <c r="M798" i="15" s="1"/>
  <c r="K798" i="15"/>
  <c r="J798" i="15"/>
  <c r="H798" i="15"/>
  <c r="I798" i="15" s="1"/>
  <c r="G798" i="15"/>
  <c r="A798" i="15"/>
  <c r="N797" i="15"/>
  <c r="O797" i="15" s="1"/>
  <c r="L797" i="15"/>
  <c r="M797" i="15" s="1"/>
  <c r="K797" i="15"/>
  <c r="J797" i="15"/>
  <c r="H797" i="15"/>
  <c r="I797" i="15" s="1"/>
  <c r="G797" i="15"/>
  <c r="A797" i="15"/>
  <c r="N796" i="15"/>
  <c r="O796" i="15" s="1"/>
  <c r="L796" i="15"/>
  <c r="M796" i="15" s="1"/>
  <c r="K796" i="15"/>
  <c r="J796" i="15"/>
  <c r="H796" i="15"/>
  <c r="I796" i="15" s="1"/>
  <c r="G796" i="15"/>
  <c r="A796" i="15"/>
  <c r="N795" i="15"/>
  <c r="O795" i="15" s="1"/>
  <c r="L795" i="15"/>
  <c r="M795" i="15" s="1"/>
  <c r="K795" i="15"/>
  <c r="J795" i="15"/>
  <c r="H795" i="15"/>
  <c r="I795" i="15" s="1"/>
  <c r="G795" i="15"/>
  <c r="A795" i="15"/>
  <c r="N794" i="15"/>
  <c r="O794" i="15" s="1"/>
  <c r="L794" i="15"/>
  <c r="M794" i="15" s="1"/>
  <c r="K794" i="15"/>
  <c r="J794" i="15"/>
  <c r="H794" i="15"/>
  <c r="I794" i="15" s="1"/>
  <c r="G794" i="15"/>
  <c r="A794" i="15"/>
  <c r="N793" i="15"/>
  <c r="O793" i="15" s="1"/>
  <c r="L793" i="15"/>
  <c r="M793" i="15" s="1"/>
  <c r="K793" i="15"/>
  <c r="J793" i="15"/>
  <c r="H793" i="15"/>
  <c r="I793" i="15" s="1"/>
  <c r="G793" i="15"/>
  <c r="A793" i="15"/>
  <c r="N792" i="15"/>
  <c r="O792" i="15" s="1"/>
  <c r="L792" i="15"/>
  <c r="M792" i="15" s="1"/>
  <c r="K792" i="15"/>
  <c r="J792" i="15"/>
  <c r="H792" i="15"/>
  <c r="I792" i="15" s="1"/>
  <c r="G792" i="15"/>
  <c r="A792" i="15"/>
  <c r="N791" i="15"/>
  <c r="O791" i="15" s="1"/>
  <c r="L791" i="15"/>
  <c r="M791" i="15" s="1"/>
  <c r="K791" i="15"/>
  <c r="J791" i="15"/>
  <c r="H791" i="15"/>
  <c r="I791" i="15" s="1"/>
  <c r="G791" i="15"/>
  <c r="A791" i="15"/>
  <c r="N790" i="15"/>
  <c r="O790" i="15" s="1"/>
  <c r="L790" i="15"/>
  <c r="M790" i="15" s="1"/>
  <c r="K790" i="15"/>
  <c r="J790" i="15"/>
  <c r="H790" i="15"/>
  <c r="I790" i="15" s="1"/>
  <c r="G790" i="15"/>
  <c r="A790" i="15"/>
  <c r="N789" i="15"/>
  <c r="O789" i="15" s="1"/>
  <c r="L789" i="15"/>
  <c r="M789" i="15" s="1"/>
  <c r="K789" i="15"/>
  <c r="J789" i="15"/>
  <c r="H789" i="15"/>
  <c r="I789" i="15" s="1"/>
  <c r="G789" i="15"/>
  <c r="A789" i="15"/>
  <c r="N788" i="15"/>
  <c r="O788" i="15" s="1"/>
  <c r="L788" i="15"/>
  <c r="M788" i="15" s="1"/>
  <c r="K788" i="15"/>
  <c r="J788" i="15"/>
  <c r="H788" i="15"/>
  <c r="I788" i="15" s="1"/>
  <c r="G788" i="15"/>
  <c r="A788" i="15"/>
  <c r="N787" i="15"/>
  <c r="O787" i="15" s="1"/>
  <c r="L787" i="15"/>
  <c r="M787" i="15" s="1"/>
  <c r="K787" i="15"/>
  <c r="J787" i="15"/>
  <c r="H787" i="15"/>
  <c r="I787" i="15" s="1"/>
  <c r="G787" i="15"/>
  <c r="A787" i="15"/>
  <c r="N786" i="15"/>
  <c r="O786" i="15" s="1"/>
  <c r="L786" i="15"/>
  <c r="M786" i="15" s="1"/>
  <c r="K786" i="15"/>
  <c r="J786" i="15"/>
  <c r="H786" i="15"/>
  <c r="I786" i="15" s="1"/>
  <c r="G786" i="15"/>
  <c r="A786" i="15"/>
  <c r="N785" i="15"/>
  <c r="O785" i="15" s="1"/>
  <c r="L785" i="15"/>
  <c r="M785" i="15" s="1"/>
  <c r="K785" i="15"/>
  <c r="J785" i="15"/>
  <c r="H785" i="15"/>
  <c r="I785" i="15" s="1"/>
  <c r="G785" i="15"/>
  <c r="A785" i="15"/>
  <c r="N784" i="15"/>
  <c r="O784" i="15" s="1"/>
  <c r="L784" i="15"/>
  <c r="M784" i="15" s="1"/>
  <c r="K784" i="15"/>
  <c r="J784" i="15"/>
  <c r="H784" i="15"/>
  <c r="I784" i="15" s="1"/>
  <c r="G784" i="15"/>
  <c r="A784" i="15"/>
  <c r="N783" i="15"/>
  <c r="O783" i="15" s="1"/>
  <c r="L783" i="15"/>
  <c r="M783" i="15" s="1"/>
  <c r="K783" i="15"/>
  <c r="J783" i="15"/>
  <c r="H783" i="15"/>
  <c r="I783" i="15" s="1"/>
  <c r="G783" i="15"/>
  <c r="A783" i="15"/>
  <c r="N782" i="15"/>
  <c r="O782" i="15" s="1"/>
  <c r="L782" i="15"/>
  <c r="M782" i="15" s="1"/>
  <c r="K782" i="15"/>
  <c r="J782" i="15"/>
  <c r="H782" i="15"/>
  <c r="I782" i="15" s="1"/>
  <c r="G782" i="15"/>
  <c r="A782" i="15"/>
  <c r="N781" i="15"/>
  <c r="O781" i="15" s="1"/>
  <c r="L781" i="15"/>
  <c r="M781" i="15" s="1"/>
  <c r="K781" i="15"/>
  <c r="J781" i="15"/>
  <c r="H781" i="15"/>
  <c r="I781" i="15" s="1"/>
  <c r="G781" i="15"/>
  <c r="A781" i="15"/>
  <c r="N780" i="15"/>
  <c r="O780" i="15" s="1"/>
  <c r="L780" i="15"/>
  <c r="M780" i="15" s="1"/>
  <c r="K780" i="15"/>
  <c r="J780" i="15"/>
  <c r="H780" i="15"/>
  <c r="I780" i="15" s="1"/>
  <c r="G780" i="15"/>
  <c r="A780" i="15"/>
  <c r="N779" i="15"/>
  <c r="O779" i="15" s="1"/>
  <c r="L779" i="15"/>
  <c r="M779" i="15" s="1"/>
  <c r="K779" i="15"/>
  <c r="J779" i="15"/>
  <c r="H779" i="15"/>
  <c r="I779" i="15" s="1"/>
  <c r="G779" i="15"/>
  <c r="A779" i="15"/>
  <c r="N778" i="15"/>
  <c r="O778" i="15" s="1"/>
  <c r="L778" i="15"/>
  <c r="M778" i="15" s="1"/>
  <c r="K778" i="15"/>
  <c r="J778" i="15"/>
  <c r="H778" i="15"/>
  <c r="I778" i="15" s="1"/>
  <c r="G778" i="15"/>
  <c r="A778" i="15"/>
  <c r="N777" i="15"/>
  <c r="O777" i="15" s="1"/>
  <c r="L777" i="15"/>
  <c r="M777" i="15" s="1"/>
  <c r="K777" i="15"/>
  <c r="J777" i="15"/>
  <c r="H777" i="15"/>
  <c r="I777" i="15" s="1"/>
  <c r="G777" i="15"/>
  <c r="A777" i="15"/>
  <c r="N776" i="15"/>
  <c r="O776" i="15" s="1"/>
  <c r="L776" i="15"/>
  <c r="M776" i="15" s="1"/>
  <c r="K776" i="15"/>
  <c r="J776" i="15"/>
  <c r="H776" i="15"/>
  <c r="I776" i="15" s="1"/>
  <c r="G776" i="15"/>
  <c r="A776" i="15"/>
  <c r="N775" i="15"/>
  <c r="O775" i="15" s="1"/>
  <c r="L775" i="15"/>
  <c r="M775" i="15" s="1"/>
  <c r="K775" i="15"/>
  <c r="J775" i="15"/>
  <c r="H775" i="15"/>
  <c r="I775" i="15" s="1"/>
  <c r="G775" i="15"/>
  <c r="A775" i="15"/>
  <c r="N774" i="15"/>
  <c r="O774" i="15" s="1"/>
  <c r="L774" i="15"/>
  <c r="M774" i="15" s="1"/>
  <c r="K774" i="15"/>
  <c r="J774" i="15"/>
  <c r="H774" i="15"/>
  <c r="I774" i="15" s="1"/>
  <c r="G774" i="15"/>
  <c r="A774" i="15"/>
  <c r="N773" i="15"/>
  <c r="O773" i="15" s="1"/>
  <c r="L773" i="15"/>
  <c r="M773" i="15" s="1"/>
  <c r="K773" i="15"/>
  <c r="J773" i="15"/>
  <c r="H773" i="15"/>
  <c r="I773" i="15" s="1"/>
  <c r="G773" i="15"/>
  <c r="A773" i="15"/>
  <c r="N772" i="15"/>
  <c r="O772" i="15" s="1"/>
  <c r="L772" i="15"/>
  <c r="M772" i="15" s="1"/>
  <c r="K772" i="15"/>
  <c r="J772" i="15"/>
  <c r="H772" i="15"/>
  <c r="I772" i="15" s="1"/>
  <c r="G772" i="15"/>
  <c r="A772" i="15"/>
  <c r="N771" i="15"/>
  <c r="O771" i="15" s="1"/>
  <c r="L771" i="15"/>
  <c r="M771" i="15" s="1"/>
  <c r="K771" i="15"/>
  <c r="J771" i="15"/>
  <c r="H771" i="15"/>
  <c r="I771" i="15" s="1"/>
  <c r="G771" i="15"/>
  <c r="A771" i="15"/>
  <c r="N770" i="15"/>
  <c r="O770" i="15" s="1"/>
  <c r="L770" i="15"/>
  <c r="M770" i="15" s="1"/>
  <c r="K770" i="15"/>
  <c r="J770" i="15"/>
  <c r="H770" i="15"/>
  <c r="I770" i="15" s="1"/>
  <c r="G770" i="15"/>
  <c r="A770" i="15"/>
  <c r="N769" i="15"/>
  <c r="O769" i="15" s="1"/>
  <c r="L769" i="15"/>
  <c r="M769" i="15" s="1"/>
  <c r="K769" i="15"/>
  <c r="J769" i="15"/>
  <c r="H769" i="15"/>
  <c r="I769" i="15" s="1"/>
  <c r="G769" i="15"/>
  <c r="A769" i="15"/>
  <c r="N768" i="15"/>
  <c r="O768" i="15" s="1"/>
  <c r="L768" i="15"/>
  <c r="M768" i="15" s="1"/>
  <c r="K768" i="15"/>
  <c r="J768" i="15"/>
  <c r="H768" i="15"/>
  <c r="I768" i="15" s="1"/>
  <c r="G768" i="15"/>
  <c r="A768" i="15"/>
  <c r="N767" i="15"/>
  <c r="O767" i="15" s="1"/>
  <c r="L767" i="15"/>
  <c r="M767" i="15" s="1"/>
  <c r="K767" i="15"/>
  <c r="J767" i="15"/>
  <c r="H767" i="15"/>
  <c r="I767" i="15" s="1"/>
  <c r="G767" i="15"/>
  <c r="A767" i="15"/>
  <c r="N766" i="15"/>
  <c r="O766" i="15" s="1"/>
  <c r="L766" i="15"/>
  <c r="M766" i="15" s="1"/>
  <c r="K766" i="15"/>
  <c r="J766" i="15"/>
  <c r="H766" i="15"/>
  <c r="I766" i="15" s="1"/>
  <c r="G766" i="15"/>
  <c r="A766" i="15"/>
  <c r="N765" i="15"/>
  <c r="O765" i="15" s="1"/>
  <c r="L765" i="15"/>
  <c r="M765" i="15" s="1"/>
  <c r="K765" i="15"/>
  <c r="J765" i="15"/>
  <c r="H765" i="15"/>
  <c r="I765" i="15" s="1"/>
  <c r="G765" i="15"/>
  <c r="A765" i="15"/>
  <c r="N764" i="15"/>
  <c r="O764" i="15" s="1"/>
  <c r="L764" i="15"/>
  <c r="M764" i="15" s="1"/>
  <c r="K764" i="15"/>
  <c r="J764" i="15"/>
  <c r="H764" i="15"/>
  <c r="I764" i="15" s="1"/>
  <c r="G764" i="15"/>
  <c r="A764" i="15"/>
  <c r="N763" i="15"/>
  <c r="O763" i="15" s="1"/>
  <c r="L763" i="15"/>
  <c r="M763" i="15" s="1"/>
  <c r="K763" i="15"/>
  <c r="J763" i="15"/>
  <c r="H763" i="15"/>
  <c r="I763" i="15" s="1"/>
  <c r="G763" i="15"/>
  <c r="A763" i="15"/>
  <c r="N762" i="15"/>
  <c r="O762" i="15" s="1"/>
  <c r="L762" i="15"/>
  <c r="M762" i="15" s="1"/>
  <c r="K762" i="15"/>
  <c r="J762" i="15"/>
  <c r="H762" i="15"/>
  <c r="I762" i="15" s="1"/>
  <c r="G762" i="15"/>
  <c r="A762" i="15"/>
  <c r="N761" i="15"/>
  <c r="O761" i="15" s="1"/>
  <c r="L761" i="15"/>
  <c r="M761" i="15" s="1"/>
  <c r="K761" i="15"/>
  <c r="J761" i="15"/>
  <c r="H761" i="15"/>
  <c r="I761" i="15" s="1"/>
  <c r="G761" i="15"/>
  <c r="A761" i="15"/>
  <c r="N760" i="15"/>
  <c r="O760" i="15" s="1"/>
  <c r="L760" i="15"/>
  <c r="M760" i="15" s="1"/>
  <c r="K760" i="15"/>
  <c r="J760" i="15"/>
  <c r="H760" i="15"/>
  <c r="I760" i="15" s="1"/>
  <c r="G760" i="15"/>
  <c r="A760" i="15"/>
  <c r="N759" i="15"/>
  <c r="O759" i="15" s="1"/>
  <c r="L759" i="15"/>
  <c r="M759" i="15" s="1"/>
  <c r="K759" i="15"/>
  <c r="J759" i="15"/>
  <c r="H759" i="15"/>
  <c r="I759" i="15" s="1"/>
  <c r="G759" i="15"/>
  <c r="A759" i="15"/>
  <c r="N758" i="15"/>
  <c r="O758" i="15" s="1"/>
  <c r="L758" i="15"/>
  <c r="M758" i="15" s="1"/>
  <c r="K758" i="15"/>
  <c r="J758" i="15"/>
  <c r="H758" i="15"/>
  <c r="I758" i="15" s="1"/>
  <c r="G758" i="15"/>
  <c r="A758" i="15"/>
  <c r="N757" i="15"/>
  <c r="O757" i="15" s="1"/>
  <c r="L757" i="15"/>
  <c r="M757" i="15" s="1"/>
  <c r="K757" i="15"/>
  <c r="J757" i="15"/>
  <c r="H757" i="15"/>
  <c r="I757" i="15" s="1"/>
  <c r="G757" i="15"/>
  <c r="A757" i="15"/>
  <c r="N756" i="15"/>
  <c r="O756" i="15" s="1"/>
  <c r="L756" i="15"/>
  <c r="M756" i="15" s="1"/>
  <c r="K756" i="15"/>
  <c r="J756" i="15"/>
  <c r="H756" i="15"/>
  <c r="I756" i="15" s="1"/>
  <c r="G756" i="15"/>
  <c r="A756" i="15"/>
  <c r="N755" i="15"/>
  <c r="O755" i="15" s="1"/>
  <c r="L755" i="15"/>
  <c r="M755" i="15" s="1"/>
  <c r="K755" i="15"/>
  <c r="J755" i="15"/>
  <c r="H755" i="15"/>
  <c r="I755" i="15" s="1"/>
  <c r="G755" i="15"/>
  <c r="A755" i="15"/>
  <c r="N754" i="15"/>
  <c r="O754" i="15" s="1"/>
  <c r="L754" i="15"/>
  <c r="M754" i="15" s="1"/>
  <c r="K754" i="15"/>
  <c r="J754" i="15"/>
  <c r="H754" i="15"/>
  <c r="I754" i="15" s="1"/>
  <c r="G754" i="15"/>
  <c r="A754" i="15"/>
  <c r="N753" i="15"/>
  <c r="O753" i="15" s="1"/>
  <c r="L753" i="15"/>
  <c r="M753" i="15" s="1"/>
  <c r="K753" i="15"/>
  <c r="J753" i="15"/>
  <c r="H753" i="15"/>
  <c r="I753" i="15" s="1"/>
  <c r="G753" i="15"/>
  <c r="A753" i="15"/>
  <c r="N752" i="15"/>
  <c r="O752" i="15" s="1"/>
  <c r="L752" i="15"/>
  <c r="M752" i="15" s="1"/>
  <c r="K752" i="15"/>
  <c r="J752" i="15"/>
  <c r="H752" i="15"/>
  <c r="I752" i="15" s="1"/>
  <c r="G752" i="15"/>
  <c r="A752" i="15"/>
  <c r="N751" i="15"/>
  <c r="O751" i="15" s="1"/>
  <c r="L751" i="15"/>
  <c r="M751" i="15" s="1"/>
  <c r="K751" i="15"/>
  <c r="J751" i="15"/>
  <c r="H751" i="15"/>
  <c r="I751" i="15" s="1"/>
  <c r="G751" i="15"/>
  <c r="A751" i="15"/>
  <c r="N750" i="15"/>
  <c r="O750" i="15" s="1"/>
  <c r="L750" i="15"/>
  <c r="M750" i="15" s="1"/>
  <c r="K750" i="15"/>
  <c r="J750" i="15"/>
  <c r="H750" i="15"/>
  <c r="I750" i="15" s="1"/>
  <c r="G750" i="15"/>
  <c r="A750" i="15"/>
  <c r="N749" i="15"/>
  <c r="O749" i="15" s="1"/>
  <c r="L749" i="15"/>
  <c r="M749" i="15" s="1"/>
  <c r="K749" i="15"/>
  <c r="J749" i="15"/>
  <c r="H749" i="15"/>
  <c r="I749" i="15" s="1"/>
  <c r="G749" i="15"/>
  <c r="A749" i="15"/>
  <c r="N748" i="15"/>
  <c r="O748" i="15" s="1"/>
  <c r="L748" i="15"/>
  <c r="M748" i="15" s="1"/>
  <c r="K748" i="15"/>
  <c r="J748" i="15"/>
  <c r="H748" i="15"/>
  <c r="I748" i="15" s="1"/>
  <c r="G748" i="15"/>
  <c r="A748" i="15"/>
  <c r="N747" i="15"/>
  <c r="O747" i="15" s="1"/>
  <c r="L747" i="15"/>
  <c r="M747" i="15" s="1"/>
  <c r="K747" i="15"/>
  <c r="J747" i="15"/>
  <c r="H747" i="15"/>
  <c r="I747" i="15" s="1"/>
  <c r="G747" i="15"/>
  <c r="A747" i="15"/>
  <c r="N746" i="15"/>
  <c r="O746" i="15" s="1"/>
  <c r="L746" i="15"/>
  <c r="M746" i="15" s="1"/>
  <c r="K746" i="15"/>
  <c r="J746" i="15"/>
  <c r="H746" i="15"/>
  <c r="I746" i="15" s="1"/>
  <c r="G746" i="15"/>
  <c r="A746" i="15"/>
  <c r="N745" i="15"/>
  <c r="O745" i="15" s="1"/>
  <c r="L745" i="15"/>
  <c r="M745" i="15" s="1"/>
  <c r="K745" i="15"/>
  <c r="J745" i="15"/>
  <c r="H745" i="15"/>
  <c r="I745" i="15" s="1"/>
  <c r="G745" i="15"/>
  <c r="A745" i="15"/>
  <c r="N744" i="15"/>
  <c r="O744" i="15" s="1"/>
  <c r="L744" i="15"/>
  <c r="M744" i="15" s="1"/>
  <c r="K744" i="15"/>
  <c r="J744" i="15"/>
  <c r="H744" i="15"/>
  <c r="I744" i="15" s="1"/>
  <c r="G744" i="15"/>
  <c r="A744" i="15"/>
  <c r="N743" i="15"/>
  <c r="O743" i="15" s="1"/>
  <c r="L743" i="15"/>
  <c r="M743" i="15" s="1"/>
  <c r="K743" i="15"/>
  <c r="J743" i="15"/>
  <c r="H743" i="15"/>
  <c r="I743" i="15" s="1"/>
  <c r="G743" i="15"/>
  <c r="A743" i="15"/>
  <c r="N742" i="15"/>
  <c r="O742" i="15" s="1"/>
  <c r="L742" i="15"/>
  <c r="M742" i="15" s="1"/>
  <c r="K742" i="15"/>
  <c r="J742" i="15"/>
  <c r="H742" i="15"/>
  <c r="I742" i="15" s="1"/>
  <c r="G742" i="15"/>
  <c r="A742" i="15"/>
  <c r="N741" i="15"/>
  <c r="O741" i="15" s="1"/>
  <c r="L741" i="15"/>
  <c r="M741" i="15" s="1"/>
  <c r="K741" i="15"/>
  <c r="J741" i="15"/>
  <c r="H741" i="15"/>
  <c r="I741" i="15" s="1"/>
  <c r="G741" i="15"/>
  <c r="A741" i="15"/>
  <c r="N740" i="15"/>
  <c r="O740" i="15" s="1"/>
  <c r="L740" i="15"/>
  <c r="M740" i="15" s="1"/>
  <c r="K740" i="15"/>
  <c r="J740" i="15"/>
  <c r="H740" i="15"/>
  <c r="I740" i="15" s="1"/>
  <c r="G740" i="15"/>
  <c r="A740" i="15"/>
  <c r="N739" i="15"/>
  <c r="O739" i="15" s="1"/>
  <c r="L739" i="15"/>
  <c r="M739" i="15" s="1"/>
  <c r="K739" i="15"/>
  <c r="J739" i="15"/>
  <c r="H739" i="15"/>
  <c r="I739" i="15" s="1"/>
  <c r="G739" i="15"/>
  <c r="A739" i="15"/>
  <c r="N738" i="15"/>
  <c r="O738" i="15" s="1"/>
  <c r="L738" i="15"/>
  <c r="M738" i="15" s="1"/>
  <c r="K738" i="15"/>
  <c r="J738" i="15"/>
  <c r="H738" i="15"/>
  <c r="I738" i="15" s="1"/>
  <c r="G738" i="15"/>
  <c r="A738" i="15"/>
  <c r="N737" i="15"/>
  <c r="O737" i="15" s="1"/>
  <c r="L737" i="15"/>
  <c r="M737" i="15" s="1"/>
  <c r="K737" i="15"/>
  <c r="J737" i="15"/>
  <c r="H737" i="15"/>
  <c r="I737" i="15" s="1"/>
  <c r="G737" i="15"/>
  <c r="A737" i="15"/>
  <c r="N736" i="15"/>
  <c r="O736" i="15" s="1"/>
  <c r="L736" i="15"/>
  <c r="M736" i="15" s="1"/>
  <c r="K736" i="15"/>
  <c r="J736" i="15"/>
  <c r="H736" i="15"/>
  <c r="I736" i="15" s="1"/>
  <c r="G736" i="15"/>
  <c r="A736" i="15"/>
  <c r="N735" i="15"/>
  <c r="O735" i="15" s="1"/>
  <c r="L735" i="15"/>
  <c r="M735" i="15" s="1"/>
  <c r="K735" i="15"/>
  <c r="J735" i="15"/>
  <c r="H735" i="15"/>
  <c r="I735" i="15" s="1"/>
  <c r="G735" i="15"/>
  <c r="A735" i="15"/>
  <c r="N734" i="15"/>
  <c r="O734" i="15" s="1"/>
  <c r="L734" i="15"/>
  <c r="M734" i="15" s="1"/>
  <c r="K734" i="15"/>
  <c r="J734" i="15"/>
  <c r="H734" i="15"/>
  <c r="I734" i="15" s="1"/>
  <c r="G734" i="15"/>
  <c r="A734" i="15"/>
  <c r="N733" i="15"/>
  <c r="O733" i="15" s="1"/>
  <c r="L733" i="15"/>
  <c r="M733" i="15" s="1"/>
  <c r="K733" i="15"/>
  <c r="J733" i="15"/>
  <c r="H733" i="15"/>
  <c r="I733" i="15" s="1"/>
  <c r="G733" i="15"/>
  <c r="A733" i="15"/>
  <c r="N732" i="15"/>
  <c r="O732" i="15" s="1"/>
  <c r="L732" i="15"/>
  <c r="M732" i="15" s="1"/>
  <c r="K732" i="15"/>
  <c r="J732" i="15"/>
  <c r="H732" i="15"/>
  <c r="I732" i="15" s="1"/>
  <c r="G732" i="15"/>
  <c r="A732" i="15"/>
  <c r="N731" i="15"/>
  <c r="O731" i="15" s="1"/>
  <c r="L731" i="15"/>
  <c r="M731" i="15" s="1"/>
  <c r="K731" i="15"/>
  <c r="J731" i="15"/>
  <c r="H731" i="15"/>
  <c r="I731" i="15" s="1"/>
  <c r="G731" i="15"/>
  <c r="A731" i="15"/>
  <c r="N730" i="15"/>
  <c r="O730" i="15" s="1"/>
  <c r="L730" i="15"/>
  <c r="M730" i="15" s="1"/>
  <c r="K730" i="15"/>
  <c r="J730" i="15"/>
  <c r="H730" i="15"/>
  <c r="I730" i="15" s="1"/>
  <c r="G730" i="15"/>
  <c r="A730" i="15"/>
  <c r="N729" i="15"/>
  <c r="O729" i="15" s="1"/>
  <c r="L729" i="15"/>
  <c r="M729" i="15" s="1"/>
  <c r="K729" i="15"/>
  <c r="J729" i="15"/>
  <c r="H729" i="15"/>
  <c r="I729" i="15" s="1"/>
  <c r="G729" i="15"/>
  <c r="A729" i="15"/>
  <c r="N728" i="15"/>
  <c r="O728" i="15" s="1"/>
  <c r="L728" i="15"/>
  <c r="M728" i="15" s="1"/>
  <c r="K728" i="15"/>
  <c r="J728" i="15"/>
  <c r="H728" i="15"/>
  <c r="I728" i="15" s="1"/>
  <c r="G728" i="15"/>
  <c r="A728" i="15"/>
  <c r="N727" i="15"/>
  <c r="O727" i="15" s="1"/>
  <c r="L727" i="15"/>
  <c r="M727" i="15" s="1"/>
  <c r="K727" i="15"/>
  <c r="J727" i="15"/>
  <c r="H727" i="15"/>
  <c r="I727" i="15" s="1"/>
  <c r="G727" i="15"/>
  <c r="A727" i="15"/>
  <c r="N726" i="15"/>
  <c r="O726" i="15" s="1"/>
  <c r="L726" i="15"/>
  <c r="M726" i="15" s="1"/>
  <c r="K726" i="15"/>
  <c r="J726" i="15"/>
  <c r="H726" i="15"/>
  <c r="I726" i="15" s="1"/>
  <c r="G726" i="15"/>
  <c r="A726" i="15"/>
  <c r="N725" i="15"/>
  <c r="O725" i="15" s="1"/>
  <c r="L725" i="15"/>
  <c r="M725" i="15" s="1"/>
  <c r="K725" i="15"/>
  <c r="J725" i="15"/>
  <c r="H725" i="15"/>
  <c r="I725" i="15" s="1"/>
  <c r="G725" i="15"/>
  <c r="A725" i="15"/>
  <c r="N724" i="15"/>
  <c r="O724" i="15" s="1"/>
  <c r="L724" i="15"/>
  <c r="M724" i="15" s="1"/>
  <c r="K724" i="15"/>
  <c r="J724" i="15"/>
  <c r="H724" i="15"/>
  <c r="I724" i="15" s="1"/>
  <c r="G724" i="15"/>
  <c r="A724" i="15"/>
  <c r="N723" i="15"/>
  <c r="O723" i="15" s="1"/>
  <c r="L723" i="15"/>
  <c r="M723" i="15" s="1"/>
  <c r="K723" i="15"/>
  <c r="J723" i="15"/>
  <c r="H723" i="15"/>
  <c r="I723" i="15" s="1"/>
  <c r="G723" i="15"/>
  <c r="A723" i="15"/>
  <c r="N722" i="15"/>
  <c r="O722" i="15" s="1"/>
  <c r="L722" i="15"/>
  <c r="M722" i="15" s="1"/>
  <c r="K722" i="15"/>
  <c r="J722" i="15"/>
  <c r="H722" i="15"/>
  <c r="I722" i="15" s="1"/>
  <c r="G722" i="15"/>
  <c r="A722" i="15"/>
  <c r="N721" i="15"/>
  <c r="O721" i="15" s="1"/>
  <c r="L721" i="15"/>
  <c r="M721" i="15" s="1"/>
  <c r="K721" i="15"/>
  <c r="J721" i="15"/>
  <c r="H721" i="15"/>
  <c r="I721" i="15" s="1"/>
  <c r="G721" i="15"/>
  <c r="A721" i="15"/>
  <c r="N720" i="15"/>
  <c r="O720" i="15" s="1"/>
  <c r="L720" i="15"/>
  <c r="M720" i="15" s="1"/>
  <c r="K720" i="15"/>
  <c r="J720" i="15"/>
  <c r="H720" i="15"/>
  <c r="I720" i="15" s="1"/>
  <c r="G720" i="15"/>
  <c r="A720" i="15"/>
  <c r="N719" i="15"/>
  <c r="O719" i="15" s="1"/>
  <c r="L719" i="15"/>
  <c r="M719" i="15" s="1"/>
  <c r="K719" i="15"/>
  <c r="J719" i="15"/>
  <c r="H719" i="15"/>
  <c r="I719" i="15" s="1"/>
  <c r="G719" i="15"/>
  <c r="A719" i="15"/>
  <c r="N718" i="15"/>
  <c r="O718" i="15" s="1"/>
  <c r="L718" i="15"/>
  <c r="M718" i="15" s="1"/>
  <c r="K718" i="15"/>
  <c r="J718" i="15"/>
  <c r="H718" i="15"/>
  <c r="I718" i="15" s="1"/>
  <c r="G718" i="15"/>
  <c r="A718" i="15"/>
  <c r="N717" i="15"/>
  <c r="O717" i="15" s="1"/>
  <c r="L717" i="15"/>
  <c r="M717" i="15" s="1"/>
  <c r="K717" i="15"/>
  <c r="J717" i="15"/>
  <c r="H717" i="15"/>
  <c r="I717" i="15" s="1"/>
  <c r="G717" i="15"/>
  <c r="A717" i="15"/>
  <c r="N716" i="15"/>
  <c r="O716" i="15" s="1"/>
  <c r="L716" i="15"/>
  <c r="M716" i="15" s="1"/>
  <c r="K716" i="15"/>
  <c r="J716" i="15"/>
  <c r="H716" i="15"/>
  <c r="I716" i="15" s="1"/>
  <c r="G716" i="15"/>
  <c r="A716" i="15"/>
  <c r="N715" i="15"/>
  <c r="O715" i="15" s="1"/>
  <c r="L715" i="15"/>
  <c r="M715" i="15" s="1"/>
  <c r="K715" i="15"/>
  <c r="J715" i="15"/>
  <c r="H715" i="15"/>
  <c r="I715" i="15" s="1"/>
  <c r="G715" i="15"/>
  <c r="A715" i="15"/>
  <c r="N714" i="15"/>
  <c r="O714" i="15" s="1"/>
  <c r="L714" i="15"/>
  <c r="M714" i="15" s="1"/>
  <c r="K714" i="15"/>
  <c r="J714" i="15"/>
  <c r="H714" i="15"/>
  <c r="I714" i="15" s="1"/>
  <c r="G714" i="15"/>
  <c r="A714" i="15"/>
  <c r="N713" i="15"/>
  <c r="O713" i="15" s="1"/>
  <c r="L713" i="15"/>
  <c r="M713" i="15" s="1"/>
  <c r="K713" i="15"/>
  <c r="J713" i="15"/>
  <c r="H713" i="15"/>
  <c r="I713" i="15" s="1"/>
  <c r="G713" i="15"/>
  <c r="A713" i="15"/>
  <c r="N712" i="15"/>
  <c r="O712" i="15" s="1"/>
  <c r="L712" i="15"/>
  <c r="M712" i="15" s="1"/>
  <c r="K712" i="15"/>
  <c r="J712" i="15"/>
  <c r="H712" i="15"/>
  <c r="I712" i="15" s="1"/>
  <c r="G712" i="15"/>
  <c r="A712" i="15"/>
  <c r="N711" i="15"/>
  <c r="O711" i="15" s="1"/>
  <c r="L711" i="15"/>
  <c r="M711" i="15" s="1"/>
  <c r="K711" i="15"/>
  <c r="J711" i="15"/>
  <c r="H711" i="15"/>
  <c r="I711" i="15" s="1"/>
  <c r="G711" i="15"/>
  <c r="A711" i="15"/>
  <c r="N710" i="15"/>
  <c r="O710" i="15" s="1"/>
  <c r="L710" i="15"/>
  <c r="M710" i="15" s="1"/>
  <c r="K710" i="15"/>
  <c r="J710" i="15"/>
  <c r="H710" i="15"/>
  <c r="I710" i="15" s="1"/>
  <c r="G710" i="15"/>
  <c r="A710" i="15"/>
  <c r="N709" i="15"/>
  <c r="O709" i="15" s="1"/>
  <c r="L709" i="15"/>
  <c r="M709" i="15" s="1"/>
  <c r="K709" i="15"/>
  <c r="J709" i="15"/>
  <c r="H709" i="15"/>
  <c r="I709" i="15" s="1"/>
  <c r="G709" i="15"/>
  <c r="A709" i="15"/>
  <c r="N708" i="15"/>
  <c r="O708" i="15" s="1"/>
  <c r="L708" i="15"/>
  <c r="M708" i="15" s="1"/>
  <c r="K708" i="15"/>
  <c r="J708" i="15"/>
  <c r="H708" i="15"/>
  <c r="I708" i="15" s="1"/>
  <c r="G708" i="15"/>
  <c r="A708" i="15"/>
  <c r="N707" i="15"/>
  <c r="O707" i="15" s="1"/>
  <c r="L707" i="15"/>
  <c r="M707" i="15" s="1"/>
  <c r="K707" i="15"/>
  <c r="J707" i="15"/>
  <c r="H707" i="15"/>
  <c r="I707" i="15" s="1"/>
  <c r="G707" i="15"/>
  <c r="A707" i="15"/>
  <c r="N706" i="15"/>
  <c r="O706" i="15" s="1"/>
  <c r="L706" i="15"/>
  <c r="M706" i="15" s="1"/>
  <c r="K706" i="15"/>
  <c r="J706" i="15"/>
  <c r="H706" i="15"/>
  <c r="I706" i="15" s="1"/>
  <c r="G706" i="15"/>
  <c r="A706" i="15"/>
  <c r="N705" i="15"/>
  <c r="O705" i="15" s="1"/>
  <c r="L705" i="15"/>
  <c r="M705" i="15" s="1"/>
  <c r="K705" i="15"/>
  <c r="J705" i="15"/>
  <c r="H705" i="15"/>
  <c r="I705" i="15" s="1"/>
  <c r="G705" i="15"/>
  <c r="A705" i="15"/>
  <c r="N704" i="15"/>
  <c r="O704" i="15" s="1"/>
  <c r="L704" i="15"/>
  <c r="M704" i="15" s="1"/>
  <c r="K704" i="15"/>
  <c r="J704" i="15"/>
  <c r="H704" i="15"/>
  <c r="I704" i="15" s="1"/>
  <c r="G704" i="15"/>
  <c r="A704" i="15"/>
  <c r="N703" i="15"/>
  <c r="O703" i="15" s="1"/>
  <c r="L703" i="15"/>
  <c r="M703" i="15" s="1"/>
  <c r="K703" i="15"/>
  <c r="J703" i="15"/>
  <c r="H703" i="15"/>
  <c r="I703" i="15" s="1"/>
  <c r="G703" i="15"/>
  <c r="A703" i="15"/>
  <c r="N702" i="15"/>
  <c r="O702" i="15" s="1"/>
  <c r="L702" i="15"/>
  <c r="M702" i="15" s="1"/>
  <c r="K702" i="15"/>
  <c r="J702" i="15"/>
  <c r="H702" i="15"/>
  <c r="I702" i="15" s="1"/>
  <c r="G702" i="15"/>
  <c r="A702" i="15"/>
  <c r="N701" i="15"/>
  <c r="O701" i="15" s="1"/>
  <c r="L701" i="15"/>
  <c r="M701" i="15" s="1"/>
  <c r="K701" i="15"/>
  <c r="J701" i="15"/>
  <c r="H701" i="15"/>
  <c r="I701" i="15" s="1"/>
  <c r="G701" i="15"/>
  <c r="A701" i="15"/>
  <c r="N700" i="15"/>
  <c r="O700" i="15" s="1"/>
  <c r="L700" i="15"/>
  <c r="M700" i="15" s="1"/>
  <c r="K700" i="15"/>
  <c r="J700" i="15"/>
  <c r="H700" i="15"/>
  <c r="I700" i="15" s="1"/>
  <c r="G700" i="15"/>
  <c r="A700" i="15"/>
  <c r="N699" i="15"/>
  <c r="O699" i="15" s="1"/>
  <c r="L699" i="15"/>
  <c r="M699" i="15" s="1"/>
  <c r="K699" i="15"/>
  <c r="J699" i="15"/>
  <c r="H699" i="15"/>
  <c r="I699" i="15" s="1"/>
  <c r="G699" i="15"/>
  <c r="A699" i="15"/>
  <c r="N698" i="15"/>
  <c r="O698" i="15" s="1"/>
  <c r="L698" i="15"/>
  <c r="M698" i="15" s="1"/>
  <c r="K698" i="15"/>
  <c r="J698" i="15"/>
  <c r="H698" i="15"/>
  <c r="I698" i="15" s="1"/>
  <c r="G698" i="15"/>
  <c r="A698" i="15"/>
  <c r="N697" i="15"/>
  <c r="O697" i="15" s="1"/>
  <c r="L697" i="15"/>
  <c r="M697" i="15" s="1"/>
  <c r="K697" i="15"/>
  <c r="J697" i="15"/>
  <c r="H697" i="15"/>
  <c r="I697" i="15" s="1"/>
  <c r="G697" i="15"/>
  <c r="A697" i="15"/>
  <c r="N696" i="15"/>
  <c r="O696" i="15" s="1"/>
  <c r="L696" i="15"/>
  <c r="M696" i="15" s="1"/>
  <c r="K696" i="15"/>
  <c r="J696" i="15"/>
  <c r="H696" i="15"/>
  <c r="I696" i="15" s="1"/>
  <c r="G696" i="15"/>
  <c r="A696" i="15"/>
  <c r="N695" i="15"/>
  <c r="O695" i="15" s="1"/>
  <c r="L695" i="15"/>
  <c r="M695" i="15" s="1"/>
  <c r="K695" i="15"/>
  <c r="J695" i="15"/>
  <c r="H695" i="15"/>
  <c r="I695" i="15" s="1"/>
  <c r="G695" i="15"/>
  <c r="A695" i="15"/>
  <c r="N694" i="15"/>
  <c r="O694" i="15" s="1"/>
  <c r="L694" i="15"/>
  <c r="M694" i="15" s="1"/>
  <c r="K694" i="15"/>
  <c r="J694" i="15"/>
  <c r="H694" i="15"/>
  <c r="I694" i="15" s="1"/>
  <c r="G694" i="15"/>
  <c r="A694" i="15"/>
  <c r="N693" i="15"/>
  <c r="O693" i="15" s="1"/>
  <c r="L693" i="15"/>
  <c r="M693" i="15" s="1"/>
  <c r="K693" i="15"/>
  <c r="J693" i="15"/>
  <c r="H693" i="15"/>
  <c r="I693" i="15" s="1"/>
  <c r="G693" i="15"/>
  <c r="A693" i="15"/>
  <c r="N692" i="15"/>
  <c r="O692" i="15" s="1"/>
  <c r="L692" i="15"/>
  <c r="M692" i="15" s="1"/>
  <c r="K692" i="15"/>
  <c r="J692" i="15"/>
  <c r="H692" i="15"/>
  <c r="I692" i="15" s="1"/>
  <c r="G692" i="15"/>
  <c r="A692" i="15"/>
  <c r="N691" i="15"/>
  <c r="O691" i="15" s="1"/>
  <c r="L691" i="15"/>
  <c r="M691" i="15" s="1"/>
  <c r="K691" i="15"/>
  <c r="J691" i="15"/>
  <c r="H691" i="15"/>
  <c r="I691" i="15" s="1"/>
  <c r="G691" i="15"/>
  <c r="A691" i="15"/>
  <c r="N690" i="15"/>
  <c r="O690" i="15" s="1"/>
  <c r="L690" i="15"/>
  <c r="M690" i="15" s="1"/>
  <c r="K690" i="15"/>
  <c r="J690" i="15"/>
  <c r="H690" i="15"/>
  <c r="I690" i="15" s="1"/>
  <c r="G690" i="15"/>
  <c r="A690" i="15"/>
  <c r="N689" i="15"/>
  <c r="O689" i="15" s="1"/>
  <c r="L689" i="15"/>
  <c r="M689" i="15" s="1"/>
  <c r="K689" i="15"/>
  <c r="J689" i="15"/>
  <c r="H689" i="15"/>
  <c r="I689" i="15" s="1"/>
  <c r="G689" i="15"/>
  <c r="A689" i="15"/>
  <c r="N688" i="15"/>
  <c r="O688" i="15" s="1"/>
  <c r="L688" i="15"/>
  <c r="M688" i="15" s="1"/>
  <c r="K688" i="15"/>
  <c r="J688" i="15"/>
  <c r="H688" i="15"/>
  <c r="I688" i="15" s="1"/>
  <c r="G688" i="15"/>
  <c r="A688" i="15"/>
  <c r="N687" i="15"/>
  <c r="O687" i="15" s="1"/>
  <c r="L687" i="15"/>
  <c r="M687" i="15" s="1"/>
  <c r="K687" i="15"/>
  <c r="J687" i="15"/>
  <c r="H687" i="15"/>
  <c r="I687" i="15" s="1"/>
  <c r="G687" i="15"/>
  <c r="A687" i="15"/>
  <c r="N686" i="15"/>
  <c r="O686" i="15" s="1"/>
  <c r="L686" i="15"/>
  <c r="M686" i="15" s="1"/>
  <c r="K686" i="15"/>
  <c r="J686" i="15"/>
  <c r="H686" i="15"/>
  <c r="I686" i="15" s="1"/>
  <c r="G686" i="15"/>
  <c r="A686" i="15"/>
  <c r="N685" i="15"/>
  <c r="O685" i="15" s="1"/>
  <c r="L685" i="15"/>
  <c r="M685" i="15" s="1"/>
  <c r="K685" i="15"/>
  <c r="J685" i="15"/>
  <c r="H685" i="15"/>
  <c r="I685" i="15" s="1"/>
  <c r="G685" i="15"/>
  <c r="A685" i="15"/>
  <c r="N684" i="15"/>
  <c r="O684" i="15" s="1"/>
  <c r="L684" i="15"/>
  <c r="M684" i="15" s="1"/>
  <c r="K684" i="15"/>
  <c r="J684" i="15"/>
  <c r="H684" i="15"/>
  <c r="I684" i="15" s="1"/>
  <c r="G684" i="15"/>
  <c r="A684" i="15"/>
  <c r="N683" i="15"/>
  <c r="O683" i="15" s="1"/>
  <c r="L683" i="15"/>
  <c r="M683" i="15" s="1"/>
  <c r="K683" i="15"/>
  <c r="J683" i="15"/>
  <c r="H683" i="15"/>
  <c r="I683" i="15" s="1"/>
  <c r="G683" i="15"/>
  <c r="A683" i="15"/>
  <c r="N682" i="15"/>
  <c r="O682" i="15" s="1"/>
  <c r="L682" i="15"/>
  <c r="M682" i="15" s="1"/>
  <c r="K682" i="15"/>
  <c r="J682" i="15"/>
  <c r="H682" i="15"/>
  <c r="I682" i="15" s="1"/>
  <c r="G682" i="15"/>
  <c r="A682" i="15"/>
  <c r="N681" i="15"/>
  <c r="O681" i="15" s="1"/>
  <c r="L681" i="15"/>
  <c r="M681" i="15" s="1"/>
  <c r="K681" i="15"/>
  <c r="J681" i="15"/>
  <c r="H681" i="15"/>
  <c r="I681" i="15" s="1"/>
  <c r="G681" i="15"/>
  <c r="A681" i="15"/>
  <c r="N680" i="15"/>
  <c r="O680" i="15" s="1"/>
  <c r="L680" i="15"/>
  <c r="M680" i="15" s="1"/>
  <c r="K680" i="15"/>
  <c r="J680" i="15"/>
  <c r="H680" i="15"/>
  <c r="I680" i="15" s="1"/>
  <c r="G680" i="15"/>
  <c r="A680" i="15"/>
  <c r="N679" i="15"/>
  <c r="O679" i="15" s="1"/>
  <c r="L679" i="15"/>
  <c r="M679" i="15" s="1"/>
  <c r="K679" i="15"/>
  <c r="J679" i="15"/>
  <c r="H679" i="15"/>
  <c r="I679" i="15" s="1"/>
  <c r="G679" i="15"/>
  <c r="A679" i="15"/>
  <c r="N678" i="15"/>
  <c r="O678" i="15" s="1"/>
  <c r="L678" i="15"/>
  <c r="M678" i="15" s="1"/>
  <c r="K678" i="15"/>
  <c r="J678" i="15"/>
  <c r="H678" i="15"/>
  <c r="I678" i="15" s="1"/>
  <c r="G678" i="15"/>
  <c r="A678" i="15"/>
  <c r="N677" i="15"/>
  <c r="O677" i="15" s="1"/>
  <c r="L677" i="15"/>
  <c r="M677" i="15" s="1"/>
  <c r="K677" i="15"/>
  <c r="J677" i="15"/>
  <c r="H677" i="15"/>
  <c r="I677" i="15" s="1"/>
  <c r="G677" i="15"/>
  <c r="A677" i="15"/>
  <c r="N676" i="15"/>
  <c r="O676" i="15" s="1"/>
  <c r="L676" i="15"/>
  <c r="M676" i="15" s="1"/>
  <c r="K676" i="15"/>
  <c r="J676" i="15"/>
  <c r="H676" i="15"/>
  <c r="I676" i="15" s="1"/>
  <c r="G676" i="15"/>
  <c r="A676" i="15"/>
  <c r="N675" i="15"/>
  <c r="O675" i="15" s="1"/>
  <c r="L675" i="15"/>
  <c r="M675" i="15" s="1"/>
  <c r="K675" i="15"/>
  <c r="J675" i="15"/>
  <c r="H675" i="15"/>
  <c r="I675" i="15" s="1"/>
  <c r="G675" i="15"/>
  <c r="A675" i="15"/>
  <c r="N674" i="15"/>
  <c r="O674" i="15" s="1"/>
  <c r="L674" i="15"/>
  <c r="M674" i="15" s="1"/>
  <c r="K674" i="15"/>
  <c r="J674" i="15"/>
  <c r="H674" i="15"/>
  <c r="I674" i="15" s="1"/>
  <c r="G674" i="15"/>
  <c r="A674" i="15"/>
  <c r="N673" i="15"/>
  <c r="O673" i="15" s="1"/>
  <c r="L673" i="15"/>
  <c r="M673" i="15" s="1"/>
  <c r="K673" i="15"/>
  <c r="J673" i="15"/>
  <c r="H673" i="15"/>
  <c r="I673" i="15" s="1"/>
  <c r="G673" i="15"/>
  <c r="A673" i="15"/>
  <c r="N672" i="15"/>
  <c r="O672" i="15" s="1"/>
  <c r="L672" i="15"/>
  <c r="M672" i="15" s="1"/>
  <c r="K672" i="15"/>
  <c r="J672" i="15"/>
  <c r="H672" i="15"/>
  <c r="I672" i="15" s="1"/>
  <c r="G672" i="15"/>
  <c r="A672" i="15"/>
  <c r="N671" i="15"/>
  <c r="O671" i="15" s="1"/>
  <c r="L671" i="15"/>
  <c r="M671" i="15" s="1"/>
  <c r="K671" i="15"/>
  <c r="J671" i="15"/>
  <c r="H671" i="15"/>
  <c r="I671" i="15" s="1"/>
  <c r="G671" i="15"/>
  <c r="A671" i="15"/>
  <c r="N670" i="15"/>
  <c r="O670" i="15" s="1"/>
  <c r="L670" i="15"/>
  <c r="M670" i="15" s="1"/>
  <c r="K670" i="15"/>
  <c r="J670" i="15"/>
  <c r="H670" i="15"/>
  <c r="I670" i="15" s="1"/>
  <c r="G670" i="15"/>
  <c r="A670" i="15"/>
  <c r="N669" i="15"/>
  <c r="O669" i="15" s="1"/>
  <c r="L669" i="15"/>
  <c r="M669" i="15" s="1"/>
  <c r="K669" i="15"/>
  <c r="J669" i="15"/>
  <c r="H669" i="15"/>
  <c r="I669" i="15" s="1"/>
  <c r="G669" i="15"/>
  <c r="A669" i="15"/>
  <c r="N668" i="15"/>
  <c r="O668" i="15" s="1"/>
  <c r="L668" i="15"/>
  <c r="M668" i="15" s="1"/>
  <c r="K668" i="15"/>
  <c r="J668" i="15"/>
  <c r="H668" i="15"/>
  <c r="I668" i="15" s="1"/>
  <c r="G668" i="15"/>
  <c r="A668" i="15"/>
  <c r="N667" i="15"/>
  <c r="O667" i="15" s="1"/>
  <c r="L667" i="15"/>
  <c r="M667" i="15" s="1"/>
  <c r="K667" i="15"/>
  <c r="J667" i="15"/>
  <c r="H667" i="15"/>
  <c r="I667" i="15" s="1"/>
  <c r="G667" i="15"/>
  <c r="A667" i="15"/>
  <c r="N666" i="15"/>
  <c r="O666" i="15" s="1"/>
  <c r="L666" i="15"/>
  <c r="M666" i="15" s="1"/>
  <c r="K666" i="15"/>
  <c r="J666" i="15"/>
  <c r="H666" i="15"/>
  <c r="I666" i="15" s="1"/>
  <c r="G666" i="15"/>
  <c r="A666" i="15"/>
  <c r="N665" i="15"/>
  <c r="O665" i="15" s="1"/>
  <c r="L665" i="15"/>
  <c r="M665" i="15" s="1"/>
  <c r="K665" i="15"/>
  <c r="J665" i="15"/>
  <c r="H665" i="15"/>
  <c r="I665" i="15" s="1"/>
  <c r="G665" i="15"/>
  <c r="A665" i="15"/>
  <c r="N664" i="15"/>
  <c r="O664" i="15" s="1"/>
  <c r="L664" i="15"/>
  <c r="M664" i="15" s="1"/>
  <c r="K664" i="15"/>
  <c r="J664" i="15"/>
  <c r="H664" i="15"/>
  <c r="I664" i="15" s="1"/>
  <c r="G664" i="15"/>
  <c r="A664" i="15"/>
  <c r="N663" i="15"/>
  <c r="O663" i="15" s="1"/>
  <c r="L663" i="15"/>
  <c r="M663" i="15" s="1"/>
  <c r="K663" i="15"/>
  <c r="J663" i="15"/>
  <c r="H663" i="15"/>
  <c r="I663" i="15" s="1"/>
  <c r="G663" i="15"/>
  <c r="A663" i="15"/>
  <c r="N662" i="15"/>
  <c r="O662" i="15" s="1"/>
  <c r="L662" i="15"/>
  <c r="M662" i="15" s="1"/>
  <c r="K662" i="15"/>
  <c r="J662" i="15"/>
  <c r="H662" i="15"/>
  <c r="I662" i="15" s="1"/>
  <c r="G662" i="15"/>
  <c r="A662" i="15"/>
  <c r="N661" i="15"/>
  <c r="O661" i="15" s="1"/>
  <c r="L661" i="15"/>
  <c r="M661" i="15" s="1"/>
  <c r="K661" i="15"/>
  <c r="J661" i="15"/>
  <c r="H661" i="15"/>
  <c r="I661" i="15" s="1"/>
  <c r="G661" i="15"/>
  <c r="A661" i="15"/>
  <c r="N660" i="15"/>
  <c r="O660" i="15" s="1"/>
  <c r="L660" i="15"/>
  <c r="M660" i="15" s="1"/>
  <c r="K660" i="15"/>
  <c r="J660" i="15"/>
  <c r="H660" i="15"/>
  <c r="I660" i="15" s="1"/>
  <c r="G660" i="15"/>
  <c r="A660" i="15"/>
  <c r="N659" i="15"/>
  <c r="O659" i="15" s="1"/>
  <c r="L659" i="15"/>
  <c r="M659" i="15" s="1"/>
  <c r="K659" i="15"/>
  <c r="J659" i="15"/>
  <c r="H659" i="15"/>
  <c r="I659" i="15" s="1"/>
  <c r="G659" i="15"/>
  <c r="A659" i="15"/>
  <c r="N658" i="15"/>
  <c r="O658" i="15" s="1"/>
  <c r="L658" i="15"/>
  <c r="M658" i="15" s="1"/>
  <c r="K658" i="15"/>
  <c r="J658" i="15"/>
  <c r="H658" i="15"/>
  <c r="I658" i="15" s="1"/>
  <c r="G658" i="15"/>
  <c r="A658" i="15"/>
  <c r="N657" i="15"/>
  <c r="O657" i="15" s="1"/>
  <c r="L657" i="15"/>
  <c r="M657" i="15" s="1"/>
  <c r="K657" i="15"/>
  <c r="J657" i="15"/>
  <c r="H657" i="15"/>
  <c r="I657" i="15" s="1"/>
  <c r="G657" i="15"/>
  <c r="A657" i="15"/>
  <c r="N656" i="15"/>
  <c r="O656" i="15" s="1"/>
  <c r="L656" i="15"/>
  <c r="M656" i="15" s="1"/>
  <c r="K656" i="15"/>
  <c r="J656" i="15"/>
  <c r="H656" i="15"/>
  <c r="I656" i="15" s="1"/>
  <c r="G656" i="15"/>
  <c r="A656" i="15"/>
  <c r="N655" i="15"/>
  <c r="O655" i="15" s="1"/>
  <c r="L655" i="15"/>
  <c r="M655" i="15" s="1"/>
  <c r="K655" i="15"/>
  <c r="J655" i="15"/>
  <c r="H655" i="15"/>
  <c r="I655" i="15" s="1"/>
  <c r="G655" i="15"/>
  <c r="A655" i="15"/>
  <c r="N654" i="15"/>
  <c r="O654" i="15" s="1"/>
  <c r="L654" i="15"/>
  <c r="M654" i="15" s="1"/>
  <c r="K654" i="15"/>
  <c r="J654" i="15"/>
  <c r="H654" i="15"/>
  <c r="I654" i="15" s="1"/>
  <c r="G654" i="15"/>
  <c r="A654" i="15"/>
  <c r="N653" i="15"/>
  <c r="O653" i="15" s="1"/>
  <c r="L653" i="15"/>
  <c r="M653" i="15" s="1"/>
  <c r="K653" i="15"/>
  <c r="J653" i="15"/>
  <c r="H653" i="15"/>
  <c r="I653" i="15" s="1"/>
  <c r="G653" i="15"/>
  <c r="A653" i="15"/>
  <c r="N652" i="15"/>
  <c r="O652" i="15" s="1"/>
  <c r="L652" i="15"/>
  <c r="M652" i="15" s="1"/>
  <c r="K652" i="15"/>
  <c r="J652" i="15"/>
  <c r="H652" i="15"/>
  <c r="I652" i="15" s="1"/>
  <c r="G652" i="15"/>
  <c r="A652" i="15"/>
  <c r="N651" i="15"/>
  <c r="O651" i="15" s="1"/>
  <c r="L651" i="15"/>
  <c r="M651" i="15" s="1"/>
  <c r="K651" i="15"/>
  <c r="J651" i="15"/>
  <c r="H651" i="15"/>
  <c r="I651" i="15" s="1"/>
  <c r="G651" i="15"/>
  <c r="A651" i="15"/>
  <c r="N650" i="15"/>
  <c r="O650" i="15" s="1"/>
  <c r="L650" i="15"/>
  <c r="M650" i="15" s="1"/>
  <c r="K650" i="15"/>
  <c r="J650" i="15"/>
  <c r="H650" i="15"/>
  <c r="I650" i="15" s="1"/>
  <c r="G650" i="15"/>
  <c r="A650" i="15"/>
  <c r="N649" i="15"/>
  <c r="O649" i="15" s="1"/>
  <c r="L649" i="15"/>
  <c r="M649" i="15" s="1"/>
  <c r="K649" i="15"/>
  <c r="J649" i="15"/>
  <c r="H649" i="15"/>
  <c r="I649" i="15" s="1"/>
  <c r="G649" i="15"/>
  <c r="A649" i="15"/>
  <c r="N648" i="15"/>
  <c r="O648" i="15" s="1"/>
  <c r="L648" i="15"/>
  <c r="M648" i="15" s="1"/>
  <c r="K648" i="15"/>
  <c r="J648" i="15"/>
  <c r="H648" i="15"/>
  <c r="I648" i="15" s="1"/>
  <c r="G648" i="15"/>
  <c r="A648" i="15"/>
  <c r="N647" i="15"/>
  <c r="O647" i="15" s="1"/>
  <c r="L647" i="15"/>
  <c r="M647" i="15" s="1"/>
  <c r="K647" i="15"/>
  <c r="J647" i="15"/>
  <c r="H647" i="15"/>
  <c r="I647" i="15" s="1"/>
  <c r="G647" i="15"/>
  <c r="A647" i="15"/>
  <c r="N646" i="15"/>
  <c r="O646" i="15" s="1"/>
  <c r="L646" i="15"/>
  <c r="M646" i="15" s="1"/>
  <c r="K646" i="15"/>
  <c r="J646" i="15"/>
  <c r="H646" i="15"/>
  <c r="I646" i="15" s="1"/>
  <c r="G646" i="15"/>
  <c r="A646" i="15"/>
  <c r="N645" i="15"/>
  <c r="O645" i="15" s="1"/>
  <c r="L645" i="15"/>
  <c r="M645" i="15" s="1"/>
  <c r="K645" i="15"/>
  <c r="J645" i="15"/>
  <c r="H645" i="15"/>
  <c r="I645" i="15" s="1"/>
  <c r="G645" i="15"/>
  <c r="A645" i="15"/>
  <c r="N644" i="15"/>
  <c r="O644" i="15" s="1"/>
  <c r="L644" i="15"/>
  <c r="M644" i="15" s="1"/>
  <c r="K644" i="15"/>
  <c r="J644" i="15"/>
  <c r="H644" i="15"/>
  <c r="I644" i="15" s="1"/>
  <c r="G644" i="15"/>
  <c r="A644" i="15"/>
  <c r="N643" i="15"/>
  <c r="O643" i="15" s="1"/>
  <c r="L643" i="15"/>
  <c r="M643" i="15" s="1"/>
  <c r="K643" i="15"/>
  <c r="J643" i="15"/>
  <c r="H643" i="15"/>
  <c r="I643" i="15" s="1"/>
  <c r="G643" i="15"/>
  <c r="A643" i="15"/>
  <c r="N642" i="15"/>
  <c r="O642" i="15" s="1"/>
  <c r="L642" i="15"/>
  <c r="M642" i="15" s="1"/>
  <c r="K642" i="15"/>
  <c r="J642" i="15"/>
  <c r="H642" i="15"/>
  <c r="I642" i="15" s="1"/>
  <c r="G642" i="15"/>
  <c r="A642" i="15"/>
  <c r="N641" i="15"/>
  <c r="O641" i="15" s="1"/>
  <c r="L641" i="15"/>
  <c r="M641" i="15" s="1"/>
  <c r="K641" i="15"/>
  <c r="J641" i="15"/>
  <c r="H641" i="15"/>
  <c r="I641" i="15" s="1"/>
  <c r="G641" i="15"/>
  <c r="A641" i="15"/>
  <c r="N640" i="15"/>
  <c r="O640" i="15" s="1"/>
  <c r="L640" i="15"/>
  <c r="M640" i="15" s="1"/>
  <c r="K640" i="15"/>
  <c r="J640" i="15"/>
  <c r="H640" i="15"/>
  <c r="I640" i="15" s="1"/>
  <c r="G640" i="15"/>
  <c r="A640" i="15"/>
  <c r="N639" i="15"/>
  <c r="O639" i="15" s="1"/>
  <c r="L639" i="15"/>
  <c r="M639" i="15" s="1"/>
  <c r="K639" i="15"/>
  <c r="J639" i="15"/>
  <c r="H639" i="15"/>
  <c r="I639" i="15" s="1"/>
  <c r="G639" i="15"/>
  <c r="A639" i="15"/>
  <c r="N638" i="15"/>
  <c r="O638" i="15" s="1"/>
  <c r="L638" i="15"/>
  <c r="M638" i="15" s="1"/>
  <c r="K638" i="15"/>
  <c r="J638" i="15"/>
  <c r="H638" i="15"/>
  <c r="I638" i="15" s="1"/>
  <c r="G638" i="15"/>
  <c r="A638" i="15"/>
  <c r="N637" i="15"/>
  <c r="O637" i="15" s="1"/>
  <c r="L637" i="15"/>
  <c r="M637" i="15" s="1"/>
  <c r="K637" i="15"/>
  <c r="J637" i="15"/>
  <c r="H637" i="15"/>
  <c r="I637" i="15" s="1"/>
  <c r="G637" i="15"/>
  <c r="A637" i="15"/>
  <c r="N636" i="15"/>
  <c r="O636" i="15" s="1"/>
  <c r="L636" i="15"/>
  <c r="M636" i="15" s="1"/>
  <c r="K636" i="15"/>
  <c r="J636" i="15"/>
  <c r="H636" i="15"/>
  <c r="I636" i="15" s="1"/>
  <c r="G636" i="15"/>
  <c r="A636" i="15"/>
  <c r="N635" i="15"/>
  <c r="O635" i="15" s="1"/>
  <c r="L635" i="15"/>
  <c r="M635" i="15" s="1"/>
  <c r="K635" i="15"/>
  <c r="J635" i="15"/>
  <c r="H635" i="15"/>
  <c r="I635" i="15" s="1"/>
  <c r="G635" i="15"/>
  <c r="A635" i="15"/>
  <c r="N634" i="15"/>
  <c r="O634" i="15" s="1"/>
  <c r="L634" i="15"/>
  <c r="M634" i="15" s="1"/>
  <c r="K634" i="15"/>
  <c r="J634" i="15"/>
  <c r="H634" i="15"/>
  <c r="I634" i="15" s="1"/>
  <c r="G634" i="15"/>
  <c r="A634" i="15"/>
  <c r="N633" i="15"/>
  <c r="O633" i="15" s="1"/>
  <c r="L633" i="15"/>
  <c r="M633" i="15" s="1"/>
  <c r="K633" i="15"/>
  <c r="J633" i="15"/>
  <c r="H633" i="15"/>
  <c r="I633" i="15" s="1"/>
  <c r="G633" i="15"/>
  <c r="A633" i="15"/>
  <c r="N632" i="15"/>
  <c r="O632" i="15" s="1"/>
  <c r="L632" i="15"/>
  <c r="M632" i="15" s="1"/>
  <c r="K632" i="15"/>
  <c r="J632" i="15"/>
  <c r="H632" i="15"/>
  <c r="I632" i="15" s="1"/>
  <c r="G632" i="15"/>
  <c r="A632" i="15"/>
  <c r="N631" i="15"/>
  <c r="O631" i="15" s="1"/>
  <c r="L631" i="15"/>
  <c r="M631" i="15" s="1"/>
  <c r="K631" i="15"/>
  <c r="J631" i="15"/>
  <c r="H631" i="15"/>
  <c r="I631" i="15" s="1"/>
  <c r="G631" i="15"/>
  <c r="A631" i="15"/>
  <c r="N630" i="15"/>
  <c r="O630" i="15" s="1"/>
  <c r="L630" i="15"/>
  <c r="M630" i="15" s="1"/>
  <c r="K630" i="15"/>
  <c r="J630" i="15"/>
  <c r="H630" i="15"/>
  <c r="I630" i="15" s="1"/>
  <c r="G630" i="15"/>
  <c r="A630" i="15"/>
  <c r="N629" i="15"/>
  <c r="O629" i="15" s="1"/>
  <c r="L629" i="15"/>
  <c r="M629" i="15" s="1"/>
  <c r="K629" i="15"/>
  <c r="J629" i="15"/>
  <c r="H629" i="15"/>
  <c r="I629" i="15" s="1"/>
  <c r="G629" i="15"/>
  <c r="A629" i="15"/>
  <c r="N628" i="15"/>
  <c r="O628" i="15" s="1"/>
  <c r="L628" i="15"/>
  <c r="M628" i="15" s="1"/>
  <c r="K628" i="15"/>
  <c r="J628" i="15"/>
  <c r="H628" i="15"/>
  <c r="I628" i="15" s="1"/>
  <c r="G628" i="15"/>
  <c r="A628" i="15"/>
  <c r="N627" i="15"/>
  <c r="O627" i="15" s="1"/>
  <c r="L627" i="15"/>
  <c r="M627" i="15" s="1"/>
  <c r="K627" i="15"/>
  <c r="J627" i="15"/>
  <c r="H627" i="15"/>
  <c r="I627" i="15" s="1"/>
  <c r="G627" i="15"/>
  <c r="A627" i="15"/>
  <c r="N626" i="15"/>
  <c r="O626" i="15" s="1"/>
  <c r="L626" i="15"/>
  <c r="M626" i="15" s="1"/>
  <c r="K626" i="15"/>
  <c r="J626" i="15"/>
  <c r="H626" i="15"/>
  <c r="I626" i="15" s="1"/>
  <c r="G626" i="15"/>
  <c r="A626" i="15"/>
  <c r="N625" i="15"/>
  <c r="O625" i="15" s="1"/>
  <c r="L625" i="15"/>
  <c r="M625" i="15" s="1"/>
  <c r="K625" i="15"/>
  <c r="J625" i="15"/>
  <c r="H625" i="15"/>
  <c r="I625" i="15" s="1"/>
  <c r="G625" i="15"/>
  <c r="A625" i="15"/>
  <c r="N624" i="15"/>
  <c r="O624" i="15" s="1"/>
  <c r="L624" i="15"/>
  <c r="M624" i="15" s="1"/>
  <c r="K624" i="15"/>
  <c r="J624" i="15"/>
  <c r="H624" i="15"/>
  <c r="I624" i="15" s="1"/>
  <c r="G624" i="15"/>
  <c r="A624" i="15"/>
  <c r="N623" i="15"/>
  <c r="O623" i="15" s="1"/>
  <c r="L623" i="15"/>
  <c r="M623" i="15" s="1"/>
  <c r="K623" i="15"/>
  <c r="J623" i="15"/>
  <c r="H623" i="15"/>
  <c r="I623" i="15" s="1"/>
  <c r="G623" i="15"/>
  <c r="A623" i="15"/>
  <c r="N622" i="15"/>
  <c r="O622" i="15" s="1"/>
  <c r="L622" i="15"/>
  <c r="M622" i="15" s="1"/>
  <c r="K622" i="15"/>
  <c r="J622" i="15"/>
  <c r="H622" i="15"/>
  <c r="I622" i="15" s="1"/>
  <c r="G622" i="15"/>
  <c r="A622" i="15"/>
  <c r="N621" i="15"/>
  <c r="O621" i="15" s="1"/>
  <c r="L621" i="15"/>
  <c r="M621" i="15" s="1"/>
  <c r="K621" i="15"/>
  <c r="J621" i="15"/>
  <c r="H621" i="15"/>
  <c r="I621" i="15" s="1"/>
  <c r="G621" i="15"/>
  <c r="A621" i="15"/>
  <c r="N620" i="15"/>
  <c r="O620" i="15" s="1"/>
  <c r="L620" i="15"/>
  <c r="M620" i="15" s="1"/>
  <c r="K620" i="15"/>
  <c r="J620" i="15"/>
  <c r="H620" i="15"/>
  <c r="I620" i="15" s="1"/>
  <c r="G620" i="15"/>
  <c r="A620" i="15"/>
  <c r="N619" i="15"/>
  <c r="O619" i="15" s="1"/>
  <c r="L619" i="15"/>
  <c r="M619" i="15" s="1"/>
  <c r="K619" i="15"/>
  <c r="J619" i="15"/>
  <c r="H619" i="15"/>
  <c r="I619" i="15" s="1"/>
  <c r="G619" i="15"/>
  <c r="A619" i="15"/>
  <c r="N618" i="15"/>
  <c r="O618" i="15" s="1"/>
  <c r="L618" i="15"/>
  <c r="M618" i="15" s="1"/>
  <c r="K618" i="15"/>
  <c r="J618" i="15"/>
  <c r="H618" i="15"/>
  <c r="I618" i="15" s="1"/>
  <c r="G618" i="15"/>
  <c r="A618" i="15"/>
  <c r="N617" i="15"/>
  <c r="O617" i="15" s="1"/>
  <c r="L617" i="15"/>
  <c r="M617" i="15" s="1"/>
  <c r="K617" i="15"/>
  <c r="J617" i="15"/>
  <c r="H617" i="15"/>
  <c r="I617" i="15" s="1"/>
  <c r="G617" i="15"/>
  <c r="A617" i="15"/>
  <c r="N616" i="15"/>
  <c r="O616" i="15" s="1"/>
  <c r="L616" i="15"/>
  <c r="M616" i="15" s="1"/>
  <c r="K616" i="15"/>
  <c r="J616" i="15"/>
  <c r="H616" i="15"/>
  <c r="I616" i="15" s="1"/>
  <c r="G616" i="15"/>
  <c r="A616" i="15"/>
  <c r="N615" i="15"/>
  <c r="O615" i="15" s="1"/>
  <c r="L615" i="15"/>
  <c r="M615" i="15" s="1"/>
  <c r="K615" i="15"/>
  <c r="J615" i="15"/>
  <c r="H615" i="15"/>
  <c r="I615" i="15" s="1"/>
  <c r="G615" i="15"/>
  <c r="A615" i="15"/>
  <c r="N614" i="15"/>
  <c r="O614" i="15" s="1"/>
  <c r="L614" i="15"/>
  <c r="M614" i="15" s="1"/>
  <c r="K614" i="15"/>
  <c r="J614" i="15"/>
  <c r="H614" i="15"/>
  <c r="I614" i="15" s="1"/>
  <c r="G614" i="15"/>
  <c r="A614" i="15"/>
  <c r="N613" i="15"/>
  <c r="O613" i="15" s="1"/>
  <c r="L613" i="15"/>
  <c r="M613" i="15" s="1"/>
  <c r="K613" i="15"/>
  <c r="J613" i="15"/>
  <c r="H613" i="15"/>
  <c r="I613" i="15" s="1"/>
  <c r="G613" i="15"/>
  <c r="A613" i="15"/>
  <c r="N612" i="15"/>
  <c r="O612" i="15" s="1"/>
  <c r="L612" i="15"/>
  <c r="M612" i="15" s="1"/>
  <c r="K612" i="15"/>
  <c r="J612" i="15"/>
  <c r="H612" i="15"/>
  <c r="I612" i="15" s="1"/>
  <c r="G612" i="15"/>
  <c r="A612" i="15"/>
  <c r="N611" i="15"/>
  <c r="O611" i="15" s="1"/>
  <c r="L611" i="15"/>
  <c r="M611" i="15" s="1"/>
  <c r="K611" i="15"/>
  <c r="J611" i="15"/>
  <c r="H611" i="15"/>
  <c r="I611" i="15" s="1"/>
  <c r="G611" i="15"/>
  <c r="A611" i="15"/>
  <c r="N610" i="15"/>
  <c r="O610" i="15" s="1"/>
  <c r="L610" i="15"/>
  <c r="M610" i="15" s="1"/>
  <c r="K610" i="15"/>
  <c r="J610" i="15"/>
  <c r="H610" i="15"/>
  <c r="I610" i="15" s="1"/>
  <c r="G610" i="15"/>
  <c r="A610" i="15"/>
  <c r="N609" i="15"/>
  <c r="O609" i="15" s="1"/>
  <c r="L609" i="15"/>
  <c r="M609" i="15" s="1"/>
  <c r="K609" i="15"/>
  <c r="J609" i="15"/>
  <c r="H609" i="15"/>
  <c r="I609" i="15" s="1"/>
  <c r="G609" i="15"/>
  <c r="A609" i="15"/>
  <c r="N608" i="15"/>
  <c r="O608" i="15" s="1"/>
  <c r="L608" i="15"/>
  <c r="M608" i="15" s="1"/>
  <c r="K608" i="15"/>
  <c r="J608" i="15"/>
  <c r="H608" i="15"/>
  <c r="I608" i="15" s="1"/>
  <c r="G608" i="15"/>
  <c r="A608" i="15"/>
  <c r="N607" i="15"/>
  <c r="O607" i="15" s="1"/>
  <c r="L607" i="15"/>
  <c r="M607" i="15" s="1"/>
  <c r="K607" i="15"/>
  <c r="J607" i="15"/>
  <c r="H607" i="15"/>
  <c r="I607" i="15" s="1"/>
  <c r="G607" i="15"/>
  <c r="A607" i="15"/>
  <c r="N606" i="15"/>
  <c r="O606" i="15" s="1"/>
  <c r="L606" i="15"/>
  <c r="M606" i="15" s="1"/>
  <c r="K606" i="15"/>
  <c r="J606" i="15"/>
  <c r="H606" i="15"/>
  <c r="I606" i="15" s="1"/>
  <c r="G606" i="15"/>
  <c r="A606" i="15"/>
  <c r="N605" i="15"/>
  <c r="O605" i="15" s="1"/>
  <c r="L605" i="15"/>
  <c r="M605" i="15" s="1"/>
  <c r="K605" i="15"/>
  <c r="J605" i="15"/>
  <c r="H605" i="15"/>
  <c r="I605" i="15" s="1"/>
  <c r="G605" i="15"/>
  <c r="A605" i="15"/>
  <c r="N604" i="15"/>
  <c r="O604" i="15" s="1"/>
  <c r="L604" i="15"/>
  <c r="M604" i="15" s="1"/>
  <c r="K604" i="15"/>
  <c r="J604" i="15"/>
  <c r="H604" i="15"/>
  <c r="I604" i="15" s="1"/>
  <c r="G604" i="15"/>
  <c r="A604" i="15"/>
  <c r="N603" i="15"/>
  <c r="O603" i="15" s="1"/>
  <c r="L603" i="15"/>
  <c r="M603" i="15" s="1"/>
  <c r="K603" i="15"/>
  <c r="J603" i="15"/>
  <c r="H603" i="15"/>
  <c r="I603" i="15" s="1"/>
  <c r="G603" i="15"/>
  <c r="A603" i="15"/>
  <c r="N602" i="15"/>
  <c r="O602" i="15" s="1"/>
  <c r="L602" i="15"/>
  <c r="M602" i="15" s="1"/>
  <c r="K602" i="15"/>
  <c r="J602" i="15"/>
  <c r="H602" i="15"/>
  <c r="I602" i="15" s="1"/>
  <c r="G602" i="15"/>
  <c r="A602" i="15"/>
  <c r="N601" i="15"/>
  <c r="O601" i="15" s="1"/>
  <c r="L601" i="15"/>
  <c r="M601" i="15" s="1"/>
  <c r="K601" i="15"/>
  <c r="J601" i="15"/>
  <c r="H601" i="15"/>
  <c r="I601" i="15" s="1"/>
  <c r="G601" i="15"/>
  <c r="A601" i="15"/>
  <c r="N600" i="15"/>
  <c r="O600" i="15" s="1"/>
  <c r="L600" i="15"/>
  <c r="M600" i="15" s="1"/>
  <c r="K600" i="15"/>
  <c r="J600" i="15"/>
  <c r="H600" i="15"/>
  <c r="I600" i="15" s="1"/>
  <c r="G600" i="15"/>
  <c r="A600" i="15"/>
  <c r="N599" i="15"/>
  <c r="O599" i="15" s="1"/>
  <c r="L599" i="15"/>
  <c r="M599" i="15" s="1"/>
  <c r="K599" i="15"/>
  <c r="J599" i="15"/>
  <c r="H599" i="15"/>
  <c r="I599" i="15" s="1"/>
  <c r="G599" i="15"/>
  <c r="A599" i="15"/>
  <c r="N598" i="15"/>
  <c r="O598" i="15" s="1"/>
  <c r="L598" i="15"/>
  <c r="M598" i="15" s="1"/>
  <c r="K598" i="15"/>
  <c r="J598" i="15"/>
  <c r="H598" i="15"/>
  <c r="I598" i="15" s="1"/>
  <c r="G598" i="15"/>
  <c r="A598" i="15"/>
  <c r="N597" i="15"/>
  <c r="O597" i="15" s="1"/>
  <c r="L597" i="15"/>
  <c r="M597" i="15" s="1"/>
  <c r="K597" i="15"/>
  <c r="J597" i="15"/>
  <c r="H597" i="15"/>
  <c r="I597" i="15" s="1"/>
  <c r="G597" i="15"/>
  <c r="A597" i="15"/>
  <c r="N596" i="15"/>
  <c r="O596" i="15" s="1"/>
  <c r="L596" i="15"/>
  <c r="M596" i="15" s="1"/>
  <c r="K596" i="15"/>
  <c r="J596" i="15"/>
  <c r="H596" i="15"/>
  <c r="I596" i="15" s="1"/>
  <c r="G596" i="15"/>
  <c r="A596" i="15"/>
  <c r="N595" i="15"/>
  <c r="O595" i="15" s="1"/>
  <c r="L595" i="15"/>
  <c r="M595" i="15" s="1"/>
  <c r="K595" i="15"/>
  <c r="J595" i="15"/>
  <c r="H595" i="15"/>
  <c r="I595" i="15" s="1"/>
  <c r="G595" i="15"/>
  <c r="A595" i="15"/>
  <c r="N594" i="15"/>
  <c r="O594" i="15" s="1"/>
  <c r="L594" i="15"/>
  <c r="M594" i="15" s="1"/>
  <c r="K594" i="15"/>
  <c r="J594" i="15"/>
  <c r="H594" i="15"/>
  <c r="I594" i="15" s="1"/>
  <c r="G594" i="15"/>
  <c r="A594" i="15"/>
  <c r="N593" i="15"/>
  <c r="O593" i="15" s="1"/>
  <c r="L593" i="15"/>
  <c r="M593" i="15" s="1"/>
  <c r="K593" i="15"/>
  <c r="J593" i="15"/>
  <c r="H593" i="15"/>
  <c r="I593" i="15" s="1"/>
  <c r="G593" i="15"/>
  <c r="A593" i="15"/>
  <c r="N592" i="15"/>
  <c r="O592" i="15" s="1"/>
  <c r="L592" i="15"/>
  <c r="M592" i="15" s="1"/>
  <c r="K592" i="15"/>
  <c r="J592" i="15"/>
  <c r="H592" i="15"/>
  <c r="I592" i="15" s="1"/>
  <c r="G592" i="15"/>
  <c r="A592" i="15"/>
  <c r="N591" i="15"/>
  <c r="O591" i="15" s="1"/>
  <c r="L591" i="15"/>
  <c r="M591" i="15" s="1"/>
  <c r="K591" i="15"/>
  <c r="J591" i="15"/>
  <c r="H591" i="15"/>
  <c r="I591" i="15" s="1"/>
  <c r="G591" i="15"/>
  <c r="A591" i="15"/>
  <c r="N590" i="15"/>
  <c r="O590" i="15" s="1"/>
  <c r="L590" i="15"/>
  <c r="M590" i="15" s="1"/>
  <c r="K590" i="15"/>
  <c r="J590" i="15"/>
  <c r="H590" i="15"/>
  <c r="I590" i="15" s="1"/>
  <c r="G590" i="15"/>
  <c r="A590" i="15"/>
  <c r="N589" i="15"/>
  <c r="O589" i="15" s="1"/>
  <c r="L589" i="15"/>
  <c r="M589" i="15" s="1"/>
  <c r="K589" i="15"/>
  <c r="J589" i="15"/>
  <c r="H589" i="15"/>
  <c r="I589" i="15" s="1"/>
  <c r="G589" i="15"/>
  <c r="A589" i="15"/>
  <c r="N588" i="15"/>
  <c r="O588" i="15" s="1"/>
  <c r="L588" i="15"/>
  <c r="M588" i="15" s="1"/>
  <c r="K588" i="15"/>
  <c r="J588" i="15"/>
  <c r="H588" i="15"/>
  <c r="I588" i="15" s="1"/>
  <c r="G588" i="15"/>
  <c r="A588" i="15"/>
  <c r="N587" i="15"/>
  <c r="O587" i="15" s="1"/>
  <c r="L587" i="15"/>
  <c r="M587" i="15" s="1"/>
  <c r="K587" i="15"/>
  <c r="J587" i="15"/>
  <c r="H587" i="15"/>
  <c r="I587" i="15" s="1"/>
  <c r="G587" i="15"/>
  <c r="A587" i="15"/>
  <c r="N586" i="15"/>
  <c r="O586" i="15" s="1"/>
  <c r="L586" i="15"/>
  <c r="M586" i="15" s="1"/>
  <c r="K586" i="15"/>
  <c r="J586" i="15"/>
  <c r="H586" i="15"/>
  <c r="I586" i="15" s="1"/>
  <c r="G586" i="15"/>
  <c r="A586" i="15"/>
  <c r="N585" i="15"/>
  <c r="O585" i="15" s="1"/>
  <c r="L585" i="15"/>
  <c r="M585" i="15" s="1"/>
  <c r="K585" i="15"/>
  <c r="J585" i="15"/>
  <c r="H585" i="15"/>
  <c r="I585" i="15" s="1"/>
  <c r="G585" i="15"/>
  <c r="A585" i="15"/>
  <c r="N584" i="15"/>
  <c r="O584" i="15" s="1"/>
  <c r="L584" i="15"/>
  <c r="M584" i="15" s="1"/>
  <c r="K584" i="15"/>
  <c r="J584" i="15"/>
  <c r="H584" i="15"/>
  <c r="I584" i="15" s="1"/>
  <c r="G584" i="15"/>
  <c r="A584" i="15"/>
  <c r="N583" i="15"/>
  <c r="O583" i="15" s="1"/>
  <c r="L583" i="15"/>
  <c r="M583" i="15" s="1"/>
  <c r="K583" i="15"/>
  <c r="J583" i="15"/>
  <c r="H583" i="15"/>
  <c r="I583" i="15" s="1"/>
  <c r="G583" i="15"/>
  <c r="A583" i="15"/>
  <c r="N582" i="15"/>
  <c r="O582" i="15" s="1"/>
  <c r="L582" i="15"/>
  <c r="M582" i="15" s="1"/>
  <c r="K582" i="15"/>
  <c r="J582" i="15"/>
  <c r="H582" i="15"/>
  <c r="I582" i="15" s="1"/>
  <c r="G582" i="15"/>
  <c r="A582" i="15"/>
  <c r="N581" i="15"/>
  <c r="O581" i="15" s="1"/>
  <c r="L581" i="15"/>
  <c r="M581" i="15" s="1"/>
  <c r="K581" i="15"/>
  <c r="J581" i="15"/>
  <c r="H581" i="15"/>
  <c r="I581" i="15" s="1"/>
  <c r="G581" i="15"/>
  <c r="A581" i="15"/>
  <c r="N580" i="15"/>
  <c r="O580" i="15" s="1"/>
  <c r="L580" i="15"/>
  <c r="M580" i="15" s="1"/>
  <c r="K580" i="15"/>
  <c r="J580" i="15"/>
  <c r="H580" i="15"/>
  <c r="I580" i="15" s="1"/>
  <c r="G580" i="15"/>
  <c r="A580" i="15"/>
  <c r="N579" i="15"/>
  <c r="O579" i="15" s="1"/>
  <c r="L579" i="15"/>
  <c r="M579" i="15" s="1"/>
  <c r="K579" i="15"/>
  <c r="J579" i="15"/>
  <c r="H579" i="15"/>
  <c r="I579" i="15" s="1"/>
  <c r="G579" i="15"/>
  <c r="A579" i="15"/>
  <c r="N578" i="15"/>
  <c r="O578" i="15" s="1"/>
  <c r="L578" i="15"/>
  <c r="M578" i="15" s="1"/>
  <c r="K578" i="15"/>
  <c r="J578" i="15"/>
  <c r="H578" i="15"/>
  <c r="I578" i="15" s="1"/>
  <c r="G578" i="15"/>
  <c r="A578" i="15"/>
  <c r="N577" i="15"/>
  <c r="O577" i="15" s="1"/>
  <c r="L577" i="15"/>
  <c r="M577" i="15" s="1"/>
  <c r="K577" i="15"/>
  <c r="J577" i="15"/>
  <c r="H577" i="15"/>
  <c r="I577" i="15" s="1"/>
  <c r="G577" i="15"/>
  <c r="A577" i="15"/>
  <c r="N576" i="15"/>
  <c r="O576" i="15" s="1"/>
  <c r="L576" i="15"/>
  <c r="M576" i="15" s="1"/>
  <c r="K576" i="15"/>
  <c r="J576" i="15"/>
  <c r="H576" i="15"/>
  <c r="I576" i="15" s="1"/>
  <c r="G576" i="15"/>
  <c r="A576" i="15"/>
  <c r="N575" i="15"/>
  <c r="O575" i="15" s="1"/>
  <c r="L575" i="15"/>
  <c r="M575" i="15" s="1"/>
  <c r="K575" i="15"/>
  <c r="J575" i="15"/>
  <c r="H575" i="15"/>
  <c r="I575" i="15" s="1"/>
  <c r="G575" i="15"/>
  <c r="A575" i="15"/>
  <c r="N574" i="15"/>
  <c r="O574" i="15" s="1"/>
  <c r="L574" i="15"/>
  <c r="M574" i="15" s="1"/>
  <c r="K574" i="15"/>
  <c r="J574" i="15"/>
  <c r="H574" i="15"/>
  <c r="I574" i="15" s="1"/>
  <c r="G574" i="15"/>
  <c r="A574" i="15"/>
  <c r="N573" i="15"/>
  <c r="O573" i="15" s="1"/>
  <c r="L573" i="15"/>
  <c r="M573" i="15" s="1"/>
  <c r="K573" i="15"/>
  <c r="J573" i="15"/>
  <c r="H573" i="15"/>
  <c r="I573" i="15" s="1"/>
  <c r="G573" i="15"/>
  <c r="A573" i="15"/>
  <c r="N572" i="15"/>
  <c r="O572" i="15" s="1"/>
  <c r="L572" i="15"/>
  <c r="M572" i="15" s="1"/>
  <c r="K572" i="15"/>
  <c r="J572" i="15"/>
  <c r="H572" i="15"/>
  <c r="I572" i="15" s="1"/>
  <c r="G572" i="15"/>
  <c r="A572" i="15"/>
  <c r="N571" i="15"/>
  <c r="O571" i="15" s="1"/>
  <c r="L571" i="15"/>
  <c r="M571" i="15" s="1"/>
  <c r="K571" i="15"/>
  <c r="J571" i="15"/>
  <c r="H571" i="15"/>
  <c r="I571" i="15" s="1"/>
  <c r="G571" i="15"/>
  <c r="A571" i="15"/>
  <c r="N570" i="15"/>
  <c r="O570" i="15" s="1"/>
  <c r="L570" i="15"/>
  <c r="M570" i="15" s="1"/>
  <c r="K570" i="15"/>
  <c r="J570" i="15"/>
  <c r="H570" i="15"/>
  <c r="I570" i="15" s="1"/>
  <c r="G570" i="15"/>
  <c r="A570" i="15"/>
  <c r="N569" i="15"/>
  <c r="O569" i="15" s="1"/>
  <c r="L569" i="15"/>
  <c r="M569" i="15" s="1"/>
  <c r="K569" i="15"/>
  <c r="J569" i="15"/>
  <c r="H569" i="15"/>
  <c r="I569" i="15" s="1"/>
  <c r="G569" i="15"/>
  <c r="A569" i="15"/>
  <c r="N568" i="15"/>
  <c r="O568" i="15" s="1"/>
  <c r="L568" i="15"/>
  <c r="M568" i="15" s="1"/>
  <c r="K568" i="15"/>
  <c r="J568" i="15"/>
  <c r="H568" i="15"/>
  <c r="I568" i="15" s="1"/>
  <c r="G568" i="15"/>
  <c r="A568" i="15"/>
  <c r="N567" i="15"/>
  <c r="O567" i="15" s="1"/>
  <c r="L567" i="15"/>
  <c r="M567" i="15" s="1"/>
  <c r="K567" i="15"/>
  <c r="J567" i="15"/>
  <c r="H567" i="15"/>
  <c r="I567" i="15" s="1"/>
  <c r="G567" i="15"/>
  <c r="A567" i="15"/>
  <c r="N566" i="15"/>
  <c r="O566" i="15" s="1"/>
  <c r="L566" i="15"/>
  <c r="M566" i="15" s="1"/>
  <c r="K566" i="15"/>
  <c r="J566" i="15"/>
  <c r="H566" i="15"/>
  <c r="I566" i="15" s="1"/>
  <c r="G566" i="15"/>
  <c r="A566" i="15"/>
  <c r="N565" i="15"/>
  <c r="O565" i="15" s="1"/>
  <c r="L565" i="15"/>
  <c r="M565" i="15" s="1"/>
  <c r="K565" i="15"/>
  <c r="J565" i="15"/>
  <c r="H565" i="15"/>
  <c r="I565" i="15" s="1"/>
  <c r="G565" i="15"/>
  <c r="A565" i="15"/>
  <c r="N564" i="15"/>
  <c r="O564" i="15" s="1"/>
  <c r="L564" i="15"/>
  <c r="M564" i="15" s="1"/>
  <c r="K564" i="15"/>
  <c r="J564" i="15"/>
  <c r="H564" i="15"/>
  <c r="I564" i="15" s="1"/>
  <c r="G564" i="15"/>
  <c r="A564" i="15"/>
  <c r="N563" i="15"/>
  <c r="O563" i="15" s="1"/>
  <c r="L563" i="15"/>
  <c r="M563" i="15" s="1"/>
  <c r="K563" i="15"/>
  <c r="J563" i="15"/>
  <c r="H563" i="15"/>
  <c r="I563" i="15" s="1"/>
  <c r="G563" i="15"/>
  <c r="A563" i="15"/>
  <c r="N562" i="15"/>
  <c r="O562" i="15" s="1"/>
  <c r="L562" i="15"/>
  <c r="M562" i="15" s="1"/>
  <c r="K562" i="15"/>
  <c r="J562" i="15"/>
  <c r="H562" i="15"/>
  <c r="I562" i="15" s="1"/>
  <c r="G562" i="15"/>
  <c r="A562" i="15"/>
  <c r="N561" i="15"/>
  <c r="O561" i="15" s="1"/>
  <c r="L561" i="15"/>
  <c r="M561" i="15" s="1"/>
  <c r="K561" i="15"/>
  <c r="J561" i="15"/>
  <c r="H561" i="15"/>
  <c r="I561" i="15" s="1"/>
  <c r="G561" i="15"/>
  <c r="A561" i="15"/>
  <c r="N560" i="15"/>
  <c r="O560" i="15" s="1"/>
  <c r="L560" i="15"/>
  <c r="M560" i="15" s="1"/>
  <c r="K560" i="15"/>
  <c r="J560" i="15"/>
  <c r="H560" i="15"/>
  <c r="I560" i="15" s="1"/>
  <c r="G560" i="15"/>
  <c r="A560" i="15"/>
  <c r="N559" i="15"/>
  <c r="O559" i="15" s="1"/>
  <c r="L559" i="15"/>
  <c r="M559" i="15" s="1"/>
  <c r="K559" i="15"/>
  <c r="J559" i="15"/>
  <c r="H559" i="15"/>
  <c r="I559" i="15" s="1"/>
  <c r="G559" i="15"/>
  <c r="A559" i="15"/>
  <c r="N558" i="15"/>
  <c r="O558" i="15" s="1"/>
  <c r="L558" i="15"/>
  <c r="M558" i="15" s="1"/>
  <c r="K558" i="15"/>
  <c r="J558" i="15"/>
  <c r="H558" i="15"/>
  <c r="I558" i="15" s="1"/>
  <c r="G558" i="15"/>
  <c r="A558" i="15"/>
  <c r="N557" i="15"/>
  <c r="O557" i="15" s="1"/>
  <c r="L557" i="15"/>
  <c r="M557" i="15" s="1"/>
  <c r="K557" i="15"/>
  <c r="J557" i="15"/>
  <c r="H557" i="15"/>
  <c r="I557" i="15" s="1"/>
  <c r="G557" i="15"/>
  <c r="A557" i="15"/>
  <c r="N556" i="15"/>
  <c r="O556" i="15" s="1"/>
  <c r="L556" i="15"/>
  <c r="M556" i="15" s="1"/>
  <c r="K556" i="15"/>
  <c r="J556" i="15"/>
  <c r="H556" i="15"/>
  <c r="I556" i="15" s="1"/>
  <c r="G556" i="15"/>
  <c r="A556" i="15"/>
  <c r="N555" i="15"/>
  <c r="O555" i="15" s="1"/>
  <c r="L555" i="15"/>
  <c r="M555" i="15" s="1"/>
  <c r="K555" i="15"/>
  <c r="J555" i="15"/>
  <c r="H555" i="15"/>
  <c r="I555" i="15" s="1"/>
  <c r="G555" i="15"/>
  <c r="A555" i="15"/>
  <c r="N554" i="15"/>
  <c r="O554" i="15" s="1"/>
  <c r="L554" i="15"/>
  <c r="M554" i="15" s="1"/>
  <c r="K554" i="15"/>
  <c r="J554" i="15"/>
  <c r="H554" i="15"/>
  <c r="I554" i="15" s="1"/>
  <c r="G554" i="15"/>
  <c r="A554" i="15"/>
  <c r="N553" i="15"/>
  <c r="O553" i="15" s="1"/>
  <c r="L553" i="15"/>
  <c r="M553" i="15" s="1"/>
  <c r="K553" i="15"/>
  <c r="J553" i="15"/>
  <c r="H553" i="15"/>
  <c r="I553" i="15" s="1"/>
  <c r="G553" i="15"/>
  <c r="A553" i="15"/>
  <c r="N552" i="15"/>
  <c r="O552" i="15" s="1"/>
  <c r="L552" i="15"/>
  <c r="M552" i="15" s="1"/>
  <c r="K552" i="15"/>
  <c r="J552" i="15"/>
  <c r="H552" i="15"/>
  <c r="I552" i="15" s="1"/>
  <c r="G552" i="15"/>
  <c r="A552" i="15"/>
  <c r="N551" i="15"/>
  <c r="O551" i="15" s="1"/>
  <c r="L551" i="15"/>
  <c r="M551" i="15" s="1"/>
  <c r="K551" i="15"/>
  <c r="J551" i="15"/>
  <c r="H551" i="15"/>
  <c r="I551" i="15" s="1"/>
  <c r="G551" i="15"/>
  <c r="A551" i="15"/>
  <c r="N550" i="15"/>
  <c r="O550" i="15" s="1"/>
  <c r="L550" i="15"/>
  <c r="M550" i="15" s="1"/>
  <c r="K550" i="15"/>
  <c r="J550" i="15"/>
  <c r="H550" i="15"/>
  <c r="I550" i="15" s="1"/>
  <c r="G550" i="15"/>
  <c r="A550" i="15"/>
  <c r="N549" i="15"/>
  <c r="O549" i="15" s="1"/>
  <c r="L549" i="15"/>
  <c r="M549" i="15" s="1"/>
  <c r="K549" i="15"/>
  <c r="J549" i="15"/>
  <c r="H549" i="15"/>
  <c r="I549" i="15" s="1"/>
  <c r="G549" i="15"/>
  <c r="A549" i="15"/>
  <c r="N548" i="15"/>
  <c r="O548" i="15" s="1"/>
  <c r="L548" i="15"/>
  <c r="M548" i="15" s="1"/>
  <c r="K548" i="15"/>
  <c r="J548" i="15"/>
  <c r="H548" i="15"/>
  <c r="I548" i="15" s="1"/>
  <c r="G548" i="15"/>
  <c r="A548" i="15"/>
  <c r="N547" i="15"/>
  <c r="O547" i="15" s="1"/>
  <c r="L547" i="15"/>
  <c r="M547" i="15" s="1"/>
  <c r="K547" i="15"/>
  <c r="J547" i="15"/>
  <c r="H547" i="15"/>
  <c r="I547" i="15" s="1"/>
  <c r="G547" i="15"/>
  <c r="A547" i="15"/>
  <c r="N546" i="15"/>
  <c r="O546" i="15" s="1"/>
  <c r="L546" i="15"/>
  <c r="M546" i="15" s="1"/>
  <c r="K546" i="15"/>
  <c r="J546" i="15"/>
  <c r="H546" i="15"/>
  <c r="I546" i="15" s="1"/>
  <c r="G546" i="15"/>
  <c r="A546" i="15"/>
  <c r="N545" i="15"/>
  <c r="O545" i="15" s="1"/>
  <c r="L545" i="15"/>
  <c r="M545" i="15" s="1"/>
  <c r="K545" i="15"/>
  <c r="J545" i="15"/>
  <c r="H545" i="15"/>
  <c r="I545" i="15" s="1"/>
  <c r="G545" i="15"/>
  <c r="A545" i="15"/>
  <c r="N544" i="15"/>
  <c r="O544" i="15" s="1"/>
  <c r="L544" i="15"/>
  <c r="M544" i="15" s="1"/>
  <c r="K544" i="15"/>
  <c r="J544" i="15"/>
  <c r="H544" i="15"/>
  <c r="I544" i="15" s="1"/>
  <c r="G544" i="15"/>
  <c r="A544" i="15"/>
  <c r="N543" i="15"/>
  <c r="O543" i="15" s="1"/>
  <c r="L543" i="15"/>
  <c r="M543" i="15" s="1"/>
  <c r="K543" i="15"/>
  <c r="J543" i="15"/>
  <c r="H543" i="15"/>
  <c r="I543" i="15" s="1"/>
  <c r="G543" i="15"/>
  <c r="A543" i="15"/>
  <c r="N542" i="15"/>
  <c r="O542" i="15" s="1"/>
  <c r="L542" i="15"/>
  <c r="M542" i="15" s="1"/>
  <c r="K542" i="15"/>
  <c r="J542" i="15"/>
  <c r="H542" i="15"/>
  <c r="I542" i="15" s="1"/>
  <c r="G542" i="15"/>
  <c r="A542" i="15"/>
  <c r="N541" i="15"/>
  <c r="O541" i="15" s="1"/>
  <c r="L541" i="15"/>
  <c r="M541" i="15" s="1"/>
  <c r="K541" i="15"/>
  <c r="J541" i="15"/>
  <c r="H541" i="15"/>
  <c r="I541" i="15" s="1"/>
  <c r="G541" i="15"/>
  <c r="A541" i="15"/>
  <c r="N540" i="15"/>
  <c r="O540" i="15" s="1"/>
  <c r="L540" i="15"/>
  <c r="M540" i="15" s="1"/>
  <c r="K540" i="15"/>
  <c r="J540" i="15"/>
  <c r="H540" i="15"/>
  <c r="I540" i="15" s="1"/>
  <c r="G540" i="15"/>
  <c r="A540" i="15"/>
  <c r="N539" i="15"/>
  <c r="O539" i="15" s="1"/>
  <c r="L539" i="15"/>
  <c r="M539" i="15" s="1"/>
  <c r="K539" i="15"/>
  <c r="J539" i="15"/>
  <c r="H539" i="15"/>
  <c r="I539" i="15" s="1"/>
  <c r="G539" i="15"/>
  <c r="A539" i="15"/>
  <c r="N538" i="15"/>
  <c r="O538" i="15" s="1"/>
  <c r="L538" i="15"/>
  <c r="M538" i="15" s="1"/>
  <c r="K538" i="15"/>
  <c r="J538" i="15"/>
  <c r="H538" i="15"/>
  <c r="I538" i="15" s="1"/>
  <c r="G538" i="15"/>
  <c r="A538" i="15"/>
  <c r="N537" i="15"/>
  <c r="O537" i="15" s="1"/>
  <c r="L537" i="15"/>
  <c r="M537" i="15" s="1"/>
  <c r="K537" i="15"/>
  <c r="J537" i="15"/>
  <c r="H537" i="15"/>
  <c r="I537" i="15" s="1"/>
  <c r="G537" i="15"/>
  <c r="A537" i="15"/>
  <c r="N536" i="15"/>
  <c r="O536" i="15" s="1"/>
  <c r="L536" i="15"/>
  <c r="M536" i="15" s="1"/>
  <c r="K536" i="15"/>
  <c r="J536" i="15"/>
  <c r="H536" i="15"/>
  <c r="I536" i="15" s="1"/>
  <c r="G536" i="15"/>
  <c r="A536" i="15"/>
  <c r="N535" i="15"/>
  <c r="O535" i="15" s="1"/>
  <c r="L535" i="15"/>
  <c r="M535" i="15" s="1"/>
  <c r="K535" i="15"/>
  <c r="J535" i="15"/>
  <c r="H535" i="15"/>
  <c r="I535" i="15" s="1"/>
  <c r="G535" i="15"/>
  <c r="A535" i="15"/>
  <c r="N534" i="15"/>
  <c r="O534" i="15" s="1"/>
  <c r="L534" i="15"/>
  <c r="M534" i="15" s="1"/>
  <c r="K534" i="15"/>
  <c r="J534" i="15"/>
  <c r="H534" i="15"/>
  <c r="I534" i="15" s="1"/>
  <c r="G534" i="15"/>
  <c r="A534" i="15"/>
  <c r="N533" i="15"/>
  <c r="O533" i="15" s="1"/>
  <c r="L533" i="15"/>
  <c r="M533" i="15" s="1"/>
  <c r="K533" i="15"/>
  <c r="J533" i="15"/>
  <c r="H533" i="15"/>
  <c r="I533" i="15" s="1"/>
  <c r="G533" i="15"/>
  <c r="A533" i="15"/>
  <c r="N532" i="15"/>
  <c r="O532" i="15" s="1"/>
  <c r="L532" i="15"/>
  <c r="M532" i="15" s="1"/>
  <c r="K532" i="15"/>
  <c r="J532" i="15"/>
  <c r="H532" i="15"/>
  <c r="I532" i="15" s="1"/>
  <c r="G532" i="15"/>
  <c r="A532" i="15"/>
  <c r="N531" i="15"/>
  <c r="O531" i="15" s="1"/>
  <c r="L531" i="15"/>
  <c r="M531" i="15" s="1"/>
  <c r="K531" i="15"/>
  <c r="J531" i="15"/>
  <c r="H531" i="15"/>
  <c r="I531" i="15" s="1"/>
  <c r="G531" i="15"/>
  <c r="A531" i="15"/>
  <c r="N530" i="15"/>
  <c r="O530" i="15" s="1"/>
  <c r="L530" i="15"/>
  <c r="M530" i="15" s="1"/>
  <c r="K530" i="15"/>
  <c r="J530" i="15"/>
  <c r="H530" i="15"/>
  <c r="I530" i="15" s="1"/>
  <c r="G530" i="15"/>
  <c r="A530" i="15"/>
  <c r="N529" i="15"/>
  <c r="O529" i="15" s="1"/>
  <c r="L529" i="15"/>
  <c r="M529" i="15" s="1"/>
  <c r="K529" i="15"/>
  <c r="J529" i="15"/>
  <c r="H529" i="15"/>
  <c r="I529" i="15" s="1"/>
  <c r="G529" i="15"/>
  <c r="A529" i="15"/>
  <c r="N528" i="15"/>
  <c r="O528" i="15" s="1"/>
  <c r="L528" i="15"/>
  <c r="M528" i="15" s="1"/>
  <c r="K528" i="15"/>
  <c r="J528" i="15"/>
  <c r="H528" i="15"/>
  <c r="I528" i="15" s="1"/>
  <c r="G528" i="15"/>
  <c r="A528" i="15"/>
  <c r="N527" i="15"/>
  <c r="O527" i="15" s="1"/>
  <c r="L527" i="15"/>
  <c r="M527" i="15" s="1"/>
  <c r="K527" i="15"/>
  <c r="J527" i="15"/>
  <c r="H527" i="15"/>
  <c r="I527" i="15" s="1"/>
  <c r="G527" i="15"/>
  <c r="A527" i="15"/>
  <c r="N526" i="15"/>
  <c r="O526" i="15" s="1"/>
  <c r="L526" i="15"/>
  <c r="M526" i="15" s="1"/>
  <c r="K526" i="15"/>
  <c r="J526" i="15"/>
  <c r="H526" i="15"/>
  <c r="I526" i="15" s="1"/>
  <c r="G526" i="15"/>
  <c r="A526" i="15"/>
  <c r="N525" i="15"/>
  <c r="O525" i="15" s="1"/>
  <c r="L525" i="15"/>
  <c r="M525" i="15" s="1"/>
  <c r="K525" i="15"/>
  <c r="J525" i="15"/>
  <c r="H525" i="15"/>
  <c r="I525" i="15" s="1"/>
  <c r="G525" i="15"/>
  <c r="A525" i="15"/>
  <c r="N524" i="15"/>
  <c r="O524" i="15" s="1"/>
  <c r="L524" i="15"/>
  <c r="M524" i="15" s="1"/>
  <c r="K524" i="15"/>
  <c r="J524" i="15"/>
  <c r="H524" i="15"/>
  <c r="I524" i="15" s="1"/>
  <c r="G524" i="15"/>
  <c r="A524" i="15"/>
  <c r="N523" i="15"/>
  <c r="O523" i="15" s="1"/>
  <c r="L523" i="15"/>
  <c r="M523" i="15" s="1"/>
  <c r="K523" i="15"/>
  <c r="J523" i="15"/>
  <c r="H523" i="15"/>
  <c r="I523" i="15" s="1"/>
  <c r="G523" i="15"/>
  <c r="A523" i="15"/>
  <c r="N522" i="15"/>
  <c r="O522" i="15" s="1"/>
  <c r="L522" i="15"/>
  <c r="M522" i="15" s="1"/>
  <c r="K522" i="15"/>
  <c r="J522" i="15"/>
  <c r="H522" i="15"/>
  <c r="I522" i="15" s="1"/>
  <c r="G522" i="15"/>
  <c r="A522" i="15"/>
  <c r="N521" i="15"/>
  <c r="O521" i="15" s="1"/>
  <c r="L521" i="15"/>
  <c r="M521" i="15" s="1"/>
  <c r="K521" i="15"/>
  <c r="J521" i="15"/>
  <c r="H521" i="15"/>
  <c r="I521" i="15" s="1"/>
  <c r="G521" i="15"/>
  <c r="A521" i="15"/>
  <c r="N520" i="15"/>
  <c r="O520" i="15" s="1"/>
  <c r="L520" i="15"/>
  <c r="M520" i="15" s="1"/>
  <c r="K520" i="15"/>
  <c r="J520" i="15"/>
  <c r="H520" i="15"/>
  <c r="I520" i="15" s="1"/>
  <c r="G520" i="15"/>
  <c r="A520" i="15"/>
  <c r="N519" i="15"/>
  <c r="O519" i="15" s="1"/>
  <c r="L519" i="15"/>
  <c r="M519" i="15" s="1"/>
  <c r="K519" i="15"/>
  <c r="J519" i="15"/>
  <c r="H519" i="15"/>
  <c r="I519" i="15" s="1"/>
  <c r="G519" i="15"/>
  <c r="A519" i="15"/>
  <c r="N518" i="15"/>
  <c r="O518" i="15" s="1"/>
  <c r="L518" i="15"/>
  <c r="M518" i="15" s="1"/>
  <c r="K518" i="15"/>
  <c r="J518" i="15"/>
  <c r="H518" i="15"/>
  <c r="I518" i="15" s="1"/>
  <c r="G518" i="15"/>
  <c r="A518" i="15"/>
  <c r="N517" i="15"/>
  <c r="O517" i="15" s="1"/>
  <c r="L517" i="15"/>
  <c r="M517" i="15" s="1"/>
  <c r="K517" i="15"/>
  <c r="J517" i="15"/>
  <c r="H517" i="15"/>
  <c r="I517" i="15" s="1"/>
  <c r="G517" i="15"/>
  <c r="A517" i="15"/>
  <c r="N516" i="15"/>
  <c r="O516" i="15" s="1"/>
  <c r="L516" i="15"/>
  <c r="M516" i="15" s="1"/>
  <c r="K516" i="15"/>
  <c r="J516" i="15"/>
  <c r="H516" i="15"/>
  <c r="I516" i="15" s="1"/>
  <c r="G516" i="15"/>
  <c r="A516" i="15"/>
  <c r="N515" i="15"/>
  <c r="O515" i="15" s="1"/>
  <c r="L515" i="15"/>
  <c r="M515" i="15" s="1"/>
  <c r="K515" i="15"/>
  <c r="J515" i="15"/>
  <c r="H515" i="15"/>
  <c r="I515" i="15" s="1"/>
  <c r="G515" i="15"/>
  <c r="A515" i="15"/>
  <c r="N514" i="15"/>
  <c r="O514" i="15" s="1"/>
  <c r="L514" i="15"/>
  <c r="M514" i="15" s="1"/>
  <c r="K514" i="15"/>
  <c r="J514" i="15"/>
  <c r="H514" i="15"/>
  <c r="I514" i="15" s="1"/>
  <c r="G514" i="15"/>
  <c r="A514" i="15"/>
  <c r="N513" i="15"/>
  <c r="O513" i="15" s="1"/>
  <c r="L513" i="15"/>
  <c r="M513" i="15" s="1"/>
  <c r="K513" i="15"/>
  <c r="J513" i="15"/>
  <c r="H513" i="15"/>
  <c r="I513" i="15" s="1"/>
  <c r="G513" i="15"/>
  <c r="A513" i="15"/>
  <c r="N512" i="15"/>
  <c r="O512" i="15" s="1"/>
  <c r="L512" i="15"/>
  <c r="M512" i="15" s="1"/>
  <c r="K512" i="15"/>
  <c r="J512" i="15"/>
  <c r="H512" i="15"/>
  <c r="I512" i="15" s="1"/>
  <c r="G512" i="15"/>
  <c r="A512" i="15"/>
  <c r="N511" i="15"/>
  <c r="O511" i="15" s="1"/>
  <c r="L511" i="15"/>
  <c r="M511" i="15" s="1"/>
  <c r="K511" i="15"/>
  <c r="J511" i="15"/>
  <c r="H511" i="15"/>
  <c r="I511" i="15" s="1"/>
  <c r="G511" i="15"/>
  <c r="A511" i="15"/>
  <c r="N510" i="15"/>
  <c r="O510" i="15" s="1"/>
  <c r="L510" i="15"/>
  <c r="M510" i="15" s="1"/>
  <c r="K510" i="15"/>
  <c r="J510" i="15"/>
  <c r="H510" i="15"/>
  <c r="I510" i="15" s="1"/>
  <c r="G510" i="15"/>
  <c r="A510" i="15"/>
  <c r="N509" i="15"/>
  <c r="O509" i="15" s="1"/>
  <c r="L509" i="15"/>
  <c r="M509" i="15" s="1"/>
  <c r="K509" i="15"/>
  <c r="J509" i="15"/>
  <c r="H509" i="15"/>
  <c r="I509" i="15" s="1"/>
  <c r="G509" i="15"/>
  <c r="A509" i="15"/>
  <c r="N508" i="15"/>
  <c r="O508" i="15" s="1"/>
  <c r="L508" i="15"/>
  <c r="M508" i="15" s="1"/>
  <c r="K508" i="15"/>
  <c r="J508" i="15"/>
  <c r="H508" i="15"/>
  <c r="I508" i="15" s="1"/>
  <c r="G508" i="15"/>
  <c r="A508" i="15"/>
  <c r="N507" i="15"/>
  <c r="O507" i="15" s="1"/>
  <c r="L507" i="15"/>
  <c r="M507" i="15" s="1"/>
  <c r="K507" i="15"/>
  <c r="J507" i="15"/>
  <c r="H507" i="15"/>
  <c r="I507" i="15" s="1"/>
  <c r="G507" i="15"/>
  <c r="A507" i="15"/>
  <c r="N506" i="15"/>
  <c r="O506" i="15" s="1"/>
  <c r="L506" i="15"/>
  <c r="M506" i="15" s="1"/>
  <c r="K506" i="15"/>
  <c r="J506" i="15"/>
  <c r="H506" i="15"/>
  <c r="I506" i="15" s="1"/>
  <c r="G506" i="15"/>
  <c r="A506" i="15"/>
  <c r="N505" i="15"/>
  <c r="O505" i="15" s="1"/>
  <c r="L505" i="15"/>
  <c r="M505" i="15" s="1"/>
  <c r="K505" i="15"/>
  <c r="J505" i="15"/>
  <c r="H505" i="15"/>
  <c r="I505" i="15" s="1"/>
  <c r="G505" i="15"/>
  <c r="A505" i="15"/>
  <c r="N504" i="15"/>
  <c r="O504" i="15" s="1"/>
  <c r="L504" i="15"/>
  <c r="M504" i="15" s="1"/>
  <c r="K504" i="15"/>
  <c r="J504" i="15"/>
  <c r="H504" i="15"/>
  <c r="I504" i="15" s="1"/>
  <c r="G504" i="15"/>
  <c r="A504" i="15"/>
  <c r="N503" i="15"/>
  <c r="O503" i="15" s="1"/>
  <c r="L503" i="15"/>
  <c r="M503" i="15" s="1"/>
  <c r="K503" i="15"/>
  <c r="J503" i="15"/>
  <c r="H503" i="15"/>
  <c r="I503" i="15" s="1"/>
  <c r="G503" i="15"/>
  <c r="A503" i="15"/>
  <c r="N502" i="15"/>
  <c r="O502" i="15" s="1"/>
  <c r="L502" i="15"/>
  <c r="M502" i="15" s="1"/>
  <c r="K502" i="15"/>
  <c r="J502" i="15"/>
  <c r="H502" i="15"/>
  <c r="I502" i="15" s="1"/>
  <c r="G502" i="15"/>
  <c r="A502" i="15"/>
  <c r="N501" i="15"/>
  <c r="O501" i="15" s="1"/>
  <c r="L501" i="15"/>
  <c r="M501" i="15" s="1"/>
  <c r="K501" i="15"/>
  <c r="J501" i="15"/>
  <c r="H501" i="15"/>
  <c r="I501" i="15" s="1"/>
  <c r="G501" i="15"/>
  <c r="A501" i="15"/>
  <c r="N500" i="15"/>
  <c r="O500" i="15" s="1"/>
  <c r="L500" i="15"/>
  <c r="M500" i="15" s="1"/>
  <c r="K500" i="15"/>
  <c r="J500" i="15"/>
  <c r="H500" i="15"/>
  <c r="I500" i="15" s="1"/>
  <c r="G500" i="15"/>
  <c r="A500" i="15"/>
  <c r="N499" i="15"/>
  <c r="O499" i="15" s="1"/>
  <c r="L499" i="15"/>
  <c r="M499" i="15" s="1"/>
  <c r="K499" i="15"/>
  <c r="J499" i="15"/>
  <c r="H499" i="15"/>
  <c r="I499" i="15" s="1"/>
  <c r="G499" i="15"/>
  <c r="A499" i="15"/>
  <c r="N498" i="15"/>
  <c r="O498" i="15" s="1"/>
  <c r="L498" i="15"/>
  <c r="M498" i="15" s="1"/>
  <c r="K498" i="15"/>
  <c r="J498" i="15"/>
  <c r="H498" i="15"/>
  <c r="I498" i="15" s="1"/>
  <c r="G498" i="15"/>
  <c r="A498" i="15"/>
  <c r="N497" i="15"/>
  <c r="O497" i="15" s="1"/>
  <c r="L497" i="15"/>
  <c r="M497" i="15" s="1"/>
  <c r="K497" i="15"/>
  <c r="J497" i="15"/>
  <c r="H497" i="15"/>
  <c r="I497" i="15" s="1"/>
  <c r="G497" i="15"/>
  <c r="A497" i="15"/>
  <c r="N496" i="15"/>
  <c r="O496" i="15" s="1"/>
  <c r="L496" i="15"/>
  <c r="M496" i="15" s="1"/>
  <c r="K496" i="15"/>
  <c r="J496" i="15"/>
  <c r="H496" i="15"/>
  <c r="I496" i="15" s="1"/>
  <c r="G496" i="15"/>
  <c r="A496" i="15"/>
  <c r="N495" i="15"/>
  <c r="O495" i="15" s="1"/>
  <c r="L495" i="15"/>
  <c r="M495" i="15" s="1"/>
  <c r="K495" i="15"/>
  <c r="J495" i="15"/>
  <c r="H495" i="15"/>
  <c r="I495" i="15" s="1"/>
  <c r="G495" i="15"/>
  <c r="A495" i="15"/>
  <c r="N494" i="15"/>
  <c r="O494" i="15" s="1"/>
  <c r="L494" i="15"/>
  <c r="M494" i="15" s="1"/>
  <c r="K494" i="15"/>
  <c r="J494" i="15"/>
  <c r="H494" i="15"/>
  <c r="I494" i="15" s="1"/>
  <c r="G494" i="15"/>
  <c r="A494" i="15"/>
  <c r="N493" i="15"/>
  <c r="O493" i="15" s="1"/>
  <c r="L493" i="15"/>
  <c r="M493" i="15" s="1"/>
  <c r="K493" i="15"/>
  <c r="J493" i="15"/>
  <c r="H493" i="15"/>
  <c r="I493" i="15" s="1"/>
  <c r="G493" i="15"/>
  <c r="A493" i="15"/>
  <c r="N492" i="15"/>
  <c r="O492" i="15" s="1"/>
  <c r="L492" i="15"/>
  <c r="M492" i="15" s="1"/>
  <c r="K492" i="15"/>
  <c r="J492" i="15"/>
  <c r="H492" i="15"/>
  <c r="I492" i="15" s="1"/>
  <c r="G492" i="15"/>
  <c r="A492" i="15"/>
  <c r="N491" i="15"/>
  <c r="O491" i="15" s="1"/>
  <c r="L491" i="15"/>
  <c r="M491" i="15" s="1"/>
  <c r="K491" i="15"/>
  <c r="J491" i="15"/>
  <c r="H491" i="15"/>
  <c r="I491" i="15" s="1"/>
  <c r="G491" i="15"/>
  <c r="A491" i="15"/>
  <c r="N490" i="15"/>
  <c r="O490" i="15" s="1"/>
  <c r="L490" i="15"/>
  <c r="M490" i="15" s="1"/>
  <c r="K490" i="15"/>
  <c r="J490" i="15"/>
  <c r="H490" i="15"/>
  <c r="I490" i="15" s="1"/>
  <c r="G490" i="15"/>
  <c r="A490" i="15"/>
  <c r="N489" i="15"/>
  <c r="O489" i="15" s="1"/>
  <c r="L489" i="15"/>
  <c r="M489" i="15" s="1"/>
  <c r="K489" i="15"/>
  <c r="J489" i="15"/>
  <c r="H489" i="15"/>
  <c r="I489" i="15" s="1"/>
  <c r="G489" i="15"/>
  <c r="A489" i="15"/>
  <c r="N488" i="15"/>
  <c r="O488" i="15" s="1"/>
  <c r="L488" i="15"/>
  <c r="M488" i="15" s="1"/>
  <c r="K488" i="15"/>
  <c r="J488" i="15"/>
  <c r="H488" i="15"/>
  <c r="I488" i="15" s="1"/>
  <c r="G488" i="15"/>
  <c r="A488" i="15"/>
  <c r="N487" i="15"/>
  <c r="O487" i="15" s="1"/>
  <c r="L487" i="15"/>
  <c r="M487" i="15" s="1"/>
  <c r="K487" i="15"/>
  <c r="J487" i="15"/>
  <c r="H487" i="15"/>
  <c r="I487" i="15" s="1"/>
  <c r="G487" i="15"/>
  <c r="A487" i="15"/>
  <c r="N486" i="15"/>
  <c r="O486" i="15" s="1"/>
  <c r="L486" i="15"/>
  <c r="M486" i="15" s="1"/>
  <c r="K486" i="15"/>
  <c r="J486" i="15"/>
  <c r="H486" i="15"/>
  <c r="I486" i="15" s="1"/>
  <c r="G486" i="15"/>
  <c r="A486" i="15"/>
  <c r="N485" i="15"/>
  <c r="O485" i="15" s="1"/>
  <c r="L485" i="15"/>
  <c r="M485" i="15" s="1"/>
  <c r="K485" i="15"/>
  <c r="J485" i="15"/>
  <c r="H485" i="15"/>
  <c r="I485" i="15" s="1"/>
  <c r="G485" i="15"/>
  <c r="A485" i="15"/>
  <c r="N484" i="15"/>
  <c r="O484" i="15" s="1"/>
  <c r="L484" i="15"/>
  <c r="M484" i="15" s="1"/>
  <c r="K484" i="15"/>
  <c r="J484" i="15"/>
  <c r="H484" i="15"/>
  <c r="I484" i="15" s="1"/>
  <c r="G484" i="15"/>
  <c r="A484" i="15"/>
  <c r="N483" i="15"/>
  <c r="O483" i="15" s="1"/>
  <c r="L483" i="15"/>
  <c r="M483" i="15" s="1"/>
  <c r="K483" i="15"/>
  <c r="J483" i="15"/>
  <c r="H483" i="15"/>
  <c r="I483" i="15" s="1"/>
  <c r="G483" i="15"/>
  <c r="A483" i="15"/>
  <c r="N482" i="15"/>
  <c r="O482" i="15" s="1"/>
  <c r="L482" i="15"/>
  <c r="M482" i="15" s="1"/>
  <c r="K482" i="15"/>
  <c r="J482" i="15"/>
  <c r="H482" i="15"/>
  <c r="I482" i="15" s="1"/>
  <c r="G482" i="15"/>
  <c r="A482" i="15"/>
  <c r="N481" i="15"/>
  <c r="O481" i="15" s="1"/>
  <c r="L481" i="15"/>
  <c r="M481" i="15" s="1"/>
  <c r="K481" i="15"/>
  <c r="J481" i="15"/>
  <c r="H481" i="15"/>
  <c r="I481" i="15" s="1"/>
  <c r="G481" i="15"/>
  <c r="A481" i="15"/>
  <c r="N480" i="15"/>
  <c r="O480" i="15" s="1"/>
  <c r="L480" i="15"/>
  <c r="M480" i="15" s="1"/>
  <c r="K480" i="15"/>
  <c r="J480" i="15"/>
  <c r="H480" i="15"/>
  <c r="I480" i="15" s="1"/>
  <c r="G480" i="15"/>
  <c r="A480" i="15"/>
  <c r="N479" i="15"/>
  <c r="O479" i="15" s="1"/>
  <c r="L479" i="15"/>
  <c r="M479" i="15" s="1"/>
  <c r="K479" i="15"/>
  <c r="J479" i="15"/>
  <c r="H479" i="15"/>
  <c r="I479" i="15" s="1"/>
  <c r="G479" i="15"/>
  <c r="A479" i="15"/>
  <c r="N478" i="15"/>
  <c r="O478" i="15" s="1"/>
  <c r="L478" i="15"/>
  <c r="M478" i="15" s="1"/>
  <c r="K478" i="15"/>
  <c r="J478" i="15"/>
  <c r="H478" i="15"/>
  <c r="I478" i="15" s="1"/>
  <c r="G478" i="15"/>
  <c r="A478" i="15"/>
  <c r="N477" i="15"/>
  <c r="O477" i="15" s="1"/>
  <c r="L477" i="15"/>
  <c r="M477" i="15" s="1"/>
  <c r="K477" i="15"/>
  <c r="J477" i="15"/>
  <c r="H477" i="15"/>
  <c r="I477" i="15" s="1"/>
  <c r="G477" i="15"/>
  <c r="A477" i="15"/>
  <c r="N476" i="15"/>
  <c r="O476" i="15" s="1"/>
  <c r="L476" i="15"/>
  <c r="M476" i="15" s="1"/>
  <c r="K476" i="15"/>
  <c r="J476" i="15"/>
  <c r="H476" i="15"/>
  <c r="I476" i="15" s="1"/>
  <c r="G476" i="15"/>
  <c r="A476" i="15"/>
  <c r="N475" i="15"/>
  <c r="O475" i="15" s="1"/>
  <c r="L475" i="15"/>
  <c r="M475" i="15" s="1"/>
  <c r="K475" i="15"/>
  <c r="J475" i="15"/>
  <c r="H475" i="15"/>
  <c r="I475" i="15" s="1"/>
  <c r="G475" i="15"/>
  <c r="A475" i="15"/>
  <c r="N474" i="15"/>
  <c r="O474" i="15" s="1"/>
  <c r="L474" i="15"/>
  <c r="M474" i="15" s="1"/>
  <c r="K474" i="15"/>
  <c r="J474" i="15"/>
  <c r="H474" i="15"/>
  <c r="I474" i="15" s="1"/>
  <c r="G474" i="15"/>
  <c r="A474" i="15"/>
  <c r="N473" i="15"/>
  <c r="O473" i="15" s="1"/>
  <c r="L473" i="15"/>
  <c r="M473" i="15" s="1"/>
  <c r="K473" i="15"/>
  <c r="J473" i="15"/>
  <c r="H473" i="15"/>
  <c r="I473" i="15" s="1"/>
  <c r="G473" i="15"/>
  <c r="A473" i="15"/>
  <c r="N472" i="15"/>
  <c r="O472" i="15" s="1"/>
  <c r="L472" i="15"/>
  <c r="M472" i="15" s="1"/>
  <c r="K472" i="15"/>
  <c r="J472" i="15"/>
  <c r="H472" i="15"/>
  <c r="I472" i="15" s="1"/>
  <c r="G472" i="15"/>
  <c r="A472" i="15"/>
  <c r="N471" i="15"/>
  <c r="O471" i="15" s="1"/>
  <c r="L471" i="15"/>
  <c r="M471" i="15" s="1"/>
  <c r="K471" i="15"/>
  <c r="J471" i="15"/>
  <c r="H471" i="15"/>
  <c r="I471" i="15" s="1"/>
  <c r="G471" i="15"/>
  <c r="A471" i="15"/>
  <c r="N470" i="15"/>
  <c r="O470" i="15" s="1"/>
  <c r="L470" i="15"/>
  <c r="M470" i="15" s="1"/>
  <c r="K470" i="15"/>
  <c r="J470" i="15"/>
  <c r="H470" i="15"/>
  <c r="I470" i="15" s="1"/>
  <c r="G470" i="15"/>
  <c r="A470" i="15"/>
  <c r="N469" i="15"/>
  <c r="O469" i="15" s="1"/>
  <c r="L469" i="15"/>
  <c r="M469" i="15" s="1"/>
  <c r="K469" i="15"/>
  <c r="J469" i="15"/>
  <c r="H469" i="15"/>
  <c r="I469" i="15" s="1"/>
  <c r="G469" i="15"/>
  <c r="A469" i="15"/>
  <c r="N468" i="15"/>
  <c r="O468" i="15" s="1"/>
  <c r="L468" i="15"/>
  <c r="M468" i="15" s="1"/>
  <c r="K468" i="15"/>
  <c r="J468" i="15"/>
  <c r="H468" i="15"/>
  <c r="I468" i="15" s="1"/>
  <c r="G468" i="15"/>
  <c r="A468" i="15"/>
  <c r="N467" i="15"/>
  <c r="O467" i="15" s="1"/>
  <c r="L467" i="15"/>
  <c r="M467" i="15" s="1"/>
  <c r="K467" i="15"/>
  <c r="J467" i="15"/>
  <c r="H467" i="15"/>
  <c r="I467" i="15" s="1"/>
  <c r="G467" i="15"/>
  <c r="A467" i="15"/>
  <c r="N466" i="15"/>
  <c r="O466" i="15" s="1"/>
  <c r="L466" i="15"/>
  <c r="M466" i="15" s="1"/>
  <c r="K466" i="15"/>
  <c r="J466" i="15"/>
  <c r="H466" i="15"/>
  <c r="I466" i="15" s="1"/>
  <c r="G466" i="15"/>
  <c r="A466" i="15"/>
  <c r="N465" i="15"/>
  <c r="O465" i="15" s="1"/>
  <c r="L465" i="15"/>
  <c r="M465" i="15" s="1"/>
  <c r="K465" i="15"/>
  <c r="J465" i="15"/>
  <c r="H465" i="15"/>
  <c r="I465" i="15" s="1"/>
  <c r="G465" i="15"/>
  <c r="A465" i="15"/>
  <c r="N464" i="15"/>
  <c r="O464" i="15" s="1"/>
  <c r="L464" i="15"/>
  <c r="M464" i="15" s="1"/>
  <c r="K464" i="15"/>
  <c r="J464" i="15"/>
  <c r="H464" i="15"/>
  <c r="I464" i="15" s="1"/>
  <c r="G464" i="15"/>
  <c r="A464" i="15"/>
  <c r="N463" i="15"/>
  <c r="O463" i="15" s="1"/>
  <c r="L463" i="15"/>
  <c r="M463" i="15" s="1"/>
  <c r="K463" i="15"/>
  <c r="J463" i="15"/>
  <c r="H463" i="15"/>
  <c r="I463" i="15" s="1"/>
  <c r="G463" i="15"/>
  <c r="A463" i="15"/>
  <c r="N462" i="15"/>
  <c r="O462" i="15" s="1"/>
  <c r="L462" i="15"/>
  <c r="M462" i="15" s="1"/>
  <c r="K462" i="15"/>
  <c r="J462" i="15"/>
  <c r="H462" i="15"/>
  <c r="I462" i="15" s="1"/>
  <c r="G462" i="15"/>
  <c r="A462" i="15"/>
  <c r="N461" i="15"/>
  <c r="O461" i="15" s="1"/>
  <c r="L461" i="15"/>
  <c r="M461" i="15" s="1"/>
  <c r="K461" i="15"/>
  <c r="J461" i="15"/>
  <c r="H461" i="15"/>
  <c r="I461" i="15" s="1"/>
  <c r="G461" i="15"/>
  <c r="A461" i="15"/>
  <c r="N460" i="15"/>
  <c r="O460" i="15" s="1"/>
  <c r="L460" i="15"/>
  <c r="M460" i="15" s="1"/>
  <c r="K460" i="15"/>
  <c r="J460" i="15"/>
  <c r="H460" i="15"/>
  <c r="I460" i="15" s="1"/>
  <c r="G460" i="15"/>
  <c r="A460" i="15"/>
  <c r="N459" i="15"/>
  <c r="O459" i="15" s="1"/>
  <c r="L459" i="15"/>
  <c r="M459" i="15" s="1"/>
  <c r="K459" i="15"/>
  <c r="J459" i="15"/>
  <c r="H459" i="15"/>
  <c r="I459" i="15" s="1"/>
  <c r="G459" i="15"/>
  <c r="A459" i="15"/>
  <c r="N458" i="15"/>
  <c r="O458" i="15" s="1"/>
  <c r="L458" i="15"/>
  <c r="M458" i="15" s="1"/>
  <c r="K458" i="15"/>
  <c r="J458" i="15"/>
  <c r="H458" i="15"/>
  <c r="I458" i="15" s="1"/>
  <c r="G458" i="15"/>
  <c r="A458" i="15"/>
  <c r="N457" i="15"/>
  <c r="O457" i="15" s="1"/>
  <c r="L457" i="15"/>
  <c r="M457" i="15" s="1"/>
  <c r="K457" i="15"/>
  <c r="J457" i="15"/>
  <c r="H457" i="15"/>
  <c r="I457" i="15" s="1"/>
  <c r="G457" i="15"/>
  <c r="A457" i="15"/>
  <c r="N456" i="15"/>
  <c r="O456" i="15" s="1"/>
  <c r="L456" i="15"/>
  <c r="M456" i="15" s="1"/>
  <c r="K456" i="15"/>
  <c r="J456" i="15"/>
  <c r="H456" i="15"/>
  <c r="I456" i="15" s="1"/>
  <c r="G456" i="15"/>
  <c r="A456" i="15"/>
  <c r="N455" i="15"/>
  <c r="O455" i="15" s="1"/>
  <c r="L455" i="15"/>
  <c r="M455" i="15" s="1"/>
  <c r="K455" i="15"/>
  <c r="J455" i="15"/>
  <c r="H455" i="15"/>
  <c r="I455" i="15" s="1"/>
  <c r="G455" i="15"/>
  <c r="A455" i="15"/>
  <c r="N454" i="15"/>
  <c r="O454" i="15" s="1"/>
  <c r="L454" i="15"/>
  <c r="M454" i="15" s="1"/>
  <c r="K454" i="15"/>
  <c r="J454" i="15"/>
  <c r="H454" i="15"/>
  <c r="I454" i="15" s="1"/>
  <c r="G454" i="15"/>
  <c r="A454" i="15"/>
  <c r="N453" i="15"/>
  <c r="O453" i="15" s="1"/>
  <c r="L453" i="15"/>
  <c r="M453" i="15" s="1"/>
  <c r="K453" i="15"/>
  <c r="J453" i="15"/>
  <c r="H453" i="15"/>
  <c r="I453" i="15" s="1"/>
  <c r="G453" i="15"/>
  <c r="A453" i="15"/>
  <c r="N452" i="15"/>
  <c r="O452" i="15" s="1"/>
  <c r="L452" i="15"/>
  <c r="M452" i="15" s="1"/>
  <c r="K452" i="15"/>
  <c r="J452" i="15"/>
  <c r="H452" i="15"/>
  <c r="I452" i="15" s="1"/>
  <c r="G452" i="15"/>
  <c r="A452" i="15"/>
  <c r="N451" i="15"/>
  <c r="O451" i="15" s="1"/>
  <c r="L451" i="15"/>
  <c r="M451" i="15" s="1"/>
  <c r="K451" i="15"/>
  <c r="J451" i="15"/>
  <c r="H451" i="15"/>
  <c r="I451" i="15" s="1"/>
  <c r="G451" i="15"/>
  <c r="A451" i="15"/>
  <c r="N450" i="15"/>
  <c r="O450" i="15" s="1"/>
  <c r="L450" i="15"/>
  <c r="M450" i="15" s="1"/>
  <c r="K450" i="15"/>
  <c r="J450" i="15"/>
  <c r="H450" i="15"/>
  <c r="I450" i="15" s="1"/>
  <c r="G450" i="15"/>
  <c r="A450" i="15"/>
  <c r="N449" i="15"/>
  <c r="O449" i="15" s="1"/>
  <c r="L449" i="15"/>
  <c r="M449" i="15" s="1"/>
  <c r="K449" i="15"/>
  <c r="J449" i="15"/>
  <c r="H449" i="15"/>
  <c r="I449" i="15" s="1"/>
  <c r="G449" i="15"/>
  <c r="A449" i="15"/>
  <c r="N448" i="15"/>
  <c r="O448" i="15" s="1"/>
  <c r="L448" i="15"/>
  <c r="M448" i="15" s="1"/>
  <c r="K448" i="15"/>
  <c r="J448" i="15"/>
  <c r="H448" i="15"/>
  <c r="I448" i="15" s="1"/>
  <c r="G448" i="15"/>
  <c r="A448" i="15"/>
  <c r="N447" i="15"/>
  <c r="O447" i="15" s="1"/>
  <c r="L447" i="15"/>
  <c r="M447" i="15" s="1"/>
  <c r="K447" i="15"/>
  <c r="J447" i="15"/>
  <c r="H447" i="15"/>
  <c r="I447" i="15" s="1"/>
  <c r="G447" i="15"/>
  <c r="A447" i="15"/>
  <c r="N446" i="15"/>
  <c r="O446" i="15" s="1"/>
  <c r="L446" i="15"/>
  <c r="M446" i="15" s="1"/>
  <c r="K446" i="15"/>
  <c r="J446" i="15"/>
  <c r="H446" i="15"/>
  <c r="I446" i="15" s="1"/>
  <c r="G446" i="15"/>
  <c r="A446" i="15"/>
  <c r="N445" i="15"/>
  <c r="O445" i="15" s="1"/>
  <c r="L445" i="15"/>
  <c r="M445" i="15" s="1"/>
  <c r="K445" i="15"/>
  <c r="J445" i="15"/>
  <c r="H445" i="15"/>
  <c r="I445" i="15" s="1"/>
  <c r="G445" i="15"/>
  <c r="A445" i="15"/>
  <c r="N444" i="15"/>
  <c r="O444" i="15" s="1"/>
  <c r="L444" i="15"/>
  <c r="M444" i="15" s="1"/>
  <c r="K444" i="15"/>
  <c r="J444" i="15"/>
  <c r="H444" i="15"/>
  <c r="I444" i="15" s="1"/>
  <c r="G444" i="15"/>
  <c r="A444" i="15"/>
  <c r="N443" i="15"/>
  <c r="O443" i="15" s="1"/>
  <c r="L443" i="15"/>
  <c r="M443" i="15" s="1"/>
  <c r="K443" i="15"/>
  <c r="J443" i="15"/>
  <c r="H443" i="15"/>
  <c r="I443" i="15" s="1"/>
  <c r="G443" i="15"/>
  <c r="A443" i="15"/>
  <c r="N442" i="15"/>
  <c r="O442" i="15" s="1"/>
  <c r="L442" i="15"/>
  <c r="M442" i="15" s="1"/>
  <c r="K442" i="15"/>
  <c r="J442" i="15"/>
  <c r="H442" i="15"/>
  <c r="I442" i="15" s="1"/>
  <c r="G442" i="15"/>
  <c r="A442" i="15"/>
  <c r="N441" i="15"/>
  <c r="O441" i="15" s="1"/>
  <c r="L441" i="15"/>
  <c r="M441" i="15" s="1"/>
  <c r="K441" i="15"/>
  <c r="J441" i="15"/>
  <c r="H441" i="15"/>
  <c r="I441" i="15" s="1"/>
  <c r="G441" i="15"/>
  <c r="A441" i="15"/>
  <c r="N440" i="15"/>
  <c r="O440" i="15" s="1"/>
  <c r="L440" i="15"/>
  <c r="M440" i="15" s="1"/>
  <c r="K440" i="15"/>
  <c r="J440" i="15"/>
  <c r="H440" i="15"/>
  <c r="I440" i="15" s="1"/>
  <c r="G440" i="15"/>
  <c r="A440" i="15"/>
  <c r="N439" i="15"/>
  <c r="O439" i="15" s="1"/>
  <c r="L439" i="15"/>
  <c r="M439" i="15" s="1"/>
  <c r="K439" i="15"/>
  <c r="J439" i="15"/>
  <c r="H439" i="15"/>
  <c r="I439" i="15" s="1"/>
  <c r="G439" i="15"/>
  <c r="A439" i="15"/>
  <c r="N438" i="15"/>
  <c r="O438" i="15" s="1"/>
  <c r="L438" i="15"/>
  <c r="M438" i="15" s="1"/>
  <c r="K438" i="15"/>
  <c r="J438" i="15"/>
  <c r="H438" i="15"/>
  <c r="I438" i="15" s="1"/>
  <c r="G438" i="15"/>
  <c r="A438" i="15"/>
  <c r="N437" i="15"/>
  <c r="O437" i="15" s="1"/>
  <c r="L437" i="15"/>
  <c r="M437" i="15" s="1"/>
  <c r="K437" i="15"/>
  <c r="J437" i="15"/>
  <c r="H437" i="15"/>
  <c r="I437" i="15" s="1"/>
  <c r="G437" i="15"/>
  <c r="A437" i="15"/>
  <c r="N436" i="15"/>
  <c r="O436" i="15" s="1"/>
  <c r="L436" i="15"/>
  <c r="M436" i="15" s="1"/>
  <c r="K436" i="15"/>
  <c r="J436" i="15"/>
  <c r="H436" i="15"/>
  <c r="I436" i="15" s="1"/>
  <c r="G436" i="15"/>
  <c r="A436" i="15"/>
  <c r="N435" i="15"/>
  <c r="O435" i="15" s="1"/>
  <c r="L435" i="15"/>
  <c r="M435" i="15" s="1"/>
  <c r="K435" i="15"/>
  <c r="J435" i="15"/>
  <c r="H435" i="15"/>
  <c r="I435" i="15" s="1"/>
  <c r="G435" i="15"/>
  <c r="A435" i="15"/>
  <c r="N434" i="15"/>
  <c r="O434" i="15" s="1"/>
  <c r="L434" i="15"/>
  <c r="M434" i="15" s="1"/>
  <c r="K434" i="15"/>
  <c r="J434" i="15"/>
  <c r="H434" i="15"/>
  <c r="I434" i="15" s="1"/>
  <c r="G434" i="15"/>
  <c r="A434" i="15"/>
  <c r="N433" i="15"/>
  <c r="O433" i="15" s="1"/>
  <c r="L433" i="15"/>
  <c r="M433" i="15" s="1"/>
  <c r="K433" i="15"/>
  <c r="J433" i="15"/>
  <c r="H433" i="15"/>
  <c r="I433" i="15" s="1"/>
  <c r="G433" i="15"/>
  <c r="A433" i="15"/>
  <c r="N432" i="15"/>
  <c r="O432" i="15" s="1"/>
  <c r="L432" i="15"/>
  <c r="M432" i="15" s="1"/>
  <c r="K432" i="15"/>
  <c r="J432" i="15"/>
  <c r="H432" i="15"/>
  <c r="I432" i="15" s="1"/>
  <c r="G432" i="15"/>
  <c r="A432" i="15"/>
  <c r="N431" i="15"/>
  <c r="O431" i="15" s="1"/>
  <c r="L431" i="15"/>
  <c r="M431" i="15" s="1"/>
  <c r="K431" i="15"/>
  <c r="J431" i="15"/>
  <c r="H431" i="15"/>
  <c r="I431" i="15" s="1"/>
  <c r="G431" i="15"/>
  <c r="A431" i="15"/>
  <c r="N430" i="15"/>
  <c r="O430" i="15" s="1"/>
  <c r="L430" i="15"/>
  <c r="M430" i="15" s="1"/>
  <c r="K430" i="15"/>
  <c r="J430" i="15"/>
  <c r="H430" i="15"/>
  <c r="I430" i="15" s="1"/>
  <c r="G430" i="15"/>
  <c r="A430" i="15"/>
  <c r="N429" i="15"/>
  <c r="O429" i="15" s="1"/>
  <c r="L429" i="15"/>
  <c r="M429" i="15" s="1"/>
  <c r="K429" i="15"/>
  <c r="J429" i="15"/>
  <c r="H429" i="15"/>
  <c r="I429" i="15" s="1"/>
  <c r="G429" i="15"/>
  <c r="A429" i="15"/>
  <c r="N428" i="15"/>
  <c r="O428" i="15" s="1"/>
  <c r="L428" i="15"/>
  <c r="M428" i="15" s="1"/>
  <c r="K428" i="15"/>
  <c r="J428" i="15"/>
  <c r="H428" i="15"/>
  <c r="I428" i="15" s="1"/>
  <c r="G428" i="15"/>
  <c r="A428" i="15"/>
  <c r="N427" i="15"/>
  <c r="O427" i="15" s="1"/>
  <c r="L427" i="15"/>
  <c r="M427" i="15" s="1"/>
  <c r="K427" i="15"/>
  <c r="J427" i="15"/>
  <c r="H427" i="15"/>
  <c r="I427" i="15" s="1"/>
  <c r="G427" i="15"/>
  <c r="A427" i="15"/>
  <c r="N426" i="15"/>
  <c r="O426" i="15" s="1"/>
  <c r="L426" i="15"/>
  <c r="M426" i="15" s="1"/>
  <c r="K426" i="15"/>
  <c r="J426" i="15"/>
  <c r="H426" i="15"/>
  <c r="I426" i="15" s="1"/>
  <c r="G426" i="15"/>
  <c r="A426" i="15"/>
  <c r="N425" i="15"/>
  <c r="O425" i="15" s="1"/>
  <c r="L425" i="15"/>
  <c r="M425" i="15" s="1"/>
  <c r="K425" i="15"/>
  <c r="J425" i="15"/>
  <c r="H425" i="15"/>
  <c r="I425" i="15" s="1"/>
  <c r="G425" i="15"/>
  <c r="A425" i="15"/>
  <c r="N424" i="15"/>
  <c r="O424" i="15" s="1"/>
  <c r="L424" i="15"/>
  <c r="M424" i="15" s="1"/>
  <c r="K424" i="15"/>
  <c r="J424" i="15"/>
  <c r="H424" i="15"/>
  <c r="I424" i="15" s="1"/>
  <c r="G424" i="15"/>
  <c r="A424" i="15"/>
  <c r="N423" i="15"/>
  <c r="O423" i="15" s="1"/>
  <c r="L423" i="15"/>
  <c r="M423" i="15" s="1"/>
  <c r="K423" i="15"/>
  <c r="J423" i="15"/>
  <c r="H423" i="15"/>
  <c r="I423" i="15" s="1"/>
  <c r="G423" i="15"/>
  <c r="A423" i="15"/>
  <c r="N422" i="15"/>
  <c r="O422" i="15" s="1"/>
  <c r="L422" i="15"/>
  <c r="M422" i="15" s="1"/>
  <c r="K422" i="15"/>
  <c r="J422" i="15"/>
  <c r="H422" i="15"/>
  <c r="I422" i="15" s="1"/>
  <c r="G422" i="15"/>
  <c r="A422" i="15"/>
  <c r="N421" i="15"/>
  <c r="O421" i="15" s="1"/>
  <c r="L421" i="15"/>
  <c r="M421" i="15" s="1"/>
  <c r="K421" i="15"/>
  <c r="J421" i="15"/>
  <c r="H421" i="15"/>
  <c r="I421" i="15" s="1"/>
  <c r="G421" i="15"/>
  <c r="A421" i="15"/>
  <c r="N420" i="15"/>
  <c r="O420" i="15" s="1"/>
  <c r="L420" i="15"/>
  <c r="M420" i="15" s="1"/>
  <c r="K420" i="15"/>
  <c r="J420" i="15"/>
  <c r="H420" i="15"/>
  <c r="I420" i="15" s="1"/>
  <c r="G420" i="15"/>
  <c r="A420" i="15"/>
  <c r="N419" i="15"/>
  <c r="O419" i="15" s="1"/>
  <c r="L419" i="15"/>
  <c r="M419" i="15" s="1"/>
  <c r="K419" i="15"/>
  <c r="J419" i="15"/>
  <c r="H419" i="15"/>
  <c r="I419" i="15" s="1"/>
  <c r="G419" i="15"/>
  <c r="A419" i="15"/>
  <c r="N418" i="15"/>
  <c r="O418" i="15" s="1"/>
  <c r="L418" i="15"/>
  <c r="M418" i="15" s="1"/>
  <c r="K418" i="15"/>
  <c r="J418" i="15"/>
  <c r="H418" i="15"/>
  <c r="I418" i="15" s="1"/>
  <c r="G418" i="15"/>
  <c r="A418" i="15"/>
  <c r="N417" i="15"/>
  <c r="O417" i="15" s="1"/>
  <c r="L417" i="15"/>
  <c r="M417" i="15" s="1"/>
  <c r="K417" i="15"/>
  <c r="J417" i="15"/>
  <c r="H417" i="15"/>
  <c r="I417" i="15" s="1"/>
  <c r="G417" i="15"/>
  <c r="A417" i="15"/>
  <c r="N416" i="15"/>
  <c r="O416" i="15" s="1"/>
  <c r="L416" i="15"/>
  <c r="M416" i="15" s="1"/>
  <c r="K416" i="15"/>
  <c r="J416" i="15"/>
  <c r="H416" i="15"/>
  <c r="I416" i="15" s="1"/>
  <c r="G416" i="15"/>
  <c r="A416" i="15"/>
  <c r="N415" i="15"/>
  <c r="O415" i="15" s="1"/>
  <c r="L415" i="15"/>
  <c r="M415" i="15" s="1"/>
  <c r="K415" i="15"/>
  <c r="J415" i="15"/>
  <c r="H415" i="15"/>
  <c r="I415" i="15" s="1"/>
  <c r="G415" i="15"/>
  <c r="A415" i="15"/>
  <c r="N414" i="15"/>
  <c r="O414" i="15" s="1"/>
  <c r="L414" i="15"/>
  <c r="M414" i="15" s="1"/>
  <c r="K414" i="15"/>
  <c r="J414" i="15"/>
  <c r="H414" i="15"/>
  <c r="I414" i="15" s="1"/>
  <c r="G414" i="15"/>
  <c r="A414" i="15"/>
  <c r="N413" i="15"/>
  <c r="O413" i="15" s="1"/>
  <c r="L413" i="15"/>
  <c r="M413" i="15" s="1"/>
  <c r="K413" i="15"/>
  <c r="J413" i="15"/>
  <c r="H413" i="15"/>
  <c r="I413" i="15" s="1"/>
  <c r="G413" i="15"/>
  <c r="A413" i="15"/>
  <c r="N412" i="15"/>
  <c r="O412" i="15" s="1"/>
  <c r="L412" i="15"/>
  <c r="M412" i="15" s="1"/>
  <c r="K412" i="15"/>
  <c r="J412" i="15"/>
  <c r="H412" i="15"/>
  <c r="I412" i="15" s="1"/>
  <c r="G412" i="15"/>
  <c r="A412" i="15"/>
  <c r="N411" i="15"/>
  <c r="O411" i="15" s="1"/>
  <c r="L411" i="15"/>
  <c r="M411" i="15" s="1"/>
  <c r="K411" i="15"/>
  <c r="J411" i="15"/>
  <c r="H411" i="15"/>
  <c r="I411" i="15" s="1"/>
  <c r="G411" i="15"/>
  <c r="A411" i="15"/>
  <c r="N410" i="15"/>
  <c r="O410" i="15" s="1"/>
  <c r="L410" i="15"/>
  <c r="M410" i="15" s="1"/>
  <c r="K410" i="15"/>
  <c r="J410" i="15"/>
  <c r="H410" i="15"/>
  <c r="I410" i="15" s="1"/>
  <c r="G410" i="15"/>
  <c r="A410" i="15"/>
  <c r="N409" i="15"/>
  <c r="O409" i="15" s="1"/>
  <c r="L409" i="15"/>
  <c r="M409" i="15" s="1"/>
  <c r="K409" i="15"/>
  <c r="J409" i="15"/>
  <c r="H409" i="15"/>
  <c r="I409" i="15" s="1"/>
  <c r="G409" i="15"/>
  <c r="A409" i="15"/>
  <c r="N408" i="15"/>
  <c r="O408" i="15" s="1"/>
  <c r="L408" i="15"/>
  <c r="M408" i="15" s="1"/>
  <c r="K408" i="15"/>
  <c r="J408" i="15"/>
  <c r="H408" i="15"/>
  <c r="I408" i="15" s="1"/>
  <c r="G408" i="15"/>
  <c r="A408" i="15"/>
  <c r="N407" i="15"/>
  <c r="O407" i="15" s="1"/>
  <c r="L407" i="15"/>
  <c r="M407" i="15" s="1"/>
  <c r="K407" i="15"/>
  <c r="J407" i="15"/>
  <c r="H407" i="15"/>
  <c r="I407" i="15" s="1"/>
  <c r="G407" i="15"/>
  <c r="A407" i="15"/>
  <c r="N406" i="15"/>
  <c r="O406" i="15" s="1"/>
  <c r="L406" i="15"/>
  <c r="M406" i="15" s="1"/>
  <c r="K406" i="15"/>
  <c r="J406" i="15"/>
  <c r="H406" i="15"/>
  <c r="I406" i="15" s="1"/>
  <c r="G406" i="15"/>
  <c r="A406" i="15"/>
  <c r="N405" i="15"/>
  <c r="O405" i="15" s="1"/>
  <c r="L405" i="15"/>
  <c r="M405" i="15" s="1"/>
  <c r="K405" i="15"/>
  <c r="J405" i="15"/>
  <c r="H405" i="15"/>
  <c r="I405" i="15" s="1"/>
  <c r="G405" i="15"/>
  <c r="A405" i="15"/>
  <c r="N404" i="15"/>
  <c r="O404" i="15" s="1"/>
  <c r="L404" i="15"/>
  <c r="M404" i="15" s="1"/>
  <c r="K404" i="15"/>
  <c r="J404" i="15"/>
  <c r="H404" i="15"/>
  <c r="I404" i="15" s="1"/>
  <c r="G404" i="15"/>
  <c r="A404" i="15"/>
  <c r="N403" i="15"/>
  <c r="O403" i="15" s="1"/>
  <c r="L403" i="15"/>
  <c r="M403" i="15" s="1"/>
  <c r="K403" i="15"/>
  <c r="J403" i="15"/>
  <c r="H403" i="15"/>
  <c r="I403" i="15" s="1"/>
  <c r="G403" i="15"/>
  <c r="A403" i="15"/>
  <c r="N402" i="15"/>
  <c r="O402" i="15" s="1"/>
  <c r="L402" i="15"/>
  <c r="M402" i="15" s="1"/>
  <c r="K402" i="15"/>
  <c r="J402" i="15"/>
  <c r="H402" i="15"/>
  <c r="I402" i="15" s="1"/>
  <c r="G402" i="15"/>
  <c r="A402" i="15"/>
  <c r="N401" i="15"/>
  <c r="O401" i="15" s="1"/>
  <c r="L401" i="15"/>
  <c r="M401" i="15" s="1"/>
  <c r="K401" i="15"/>
  <c r="J401" i="15"/>
  <c r="H401" i="15"/>
  <c r="I401" i="15" s="1"/>
  <c r="G401" i="15"/>
  <c r="A401" i="15"/>
  <c r="N400" i="15"/>
  <c r="O400" i="15" s="1"/>
  <c r="L400" i="15"/>
  <c r="M400" i="15" s="1"/>
  <c r="K400" i="15"/>
  <c r="J400" i="15"/>
  <c r="H400" i="15"/>
  <c r="I400" i="15" s="1"/>
  <c r="G400" i="15"/>
  <c r="A400" i="15"/>
  <c r="N399" i="15"/>
  <c r="O399" i="15" s="1"/>
  <c r="L399" i="15"/>
  <c r="M399" i="15" s="1"/>
  <c r="K399" i="15"/>
  <c r="J399" i="15"/>
  <c r="H399" i="15"/>
  <c r="I399" i="15" s="1"/>
  <c r="G399" i="15"/>
  <c r="A399" i="15"/>
  <c r="N398" i="15"/>
  <c r="O398" i="15" s="1"/>
  <c r="L398" i="15"/>
  <c r="M398" i="15" s="1"/>
  <c r="K398" i="15"/>
  <c r="J398" i="15"/>
  <c r="H398" i="15"/>
  <c r="I398" i="15" s="1"/>
  <c r="G398" i="15"/>
  <c r="A398" i="15"/>
  <c r="N397" i="15"/>
  <c r="O397" i="15" s="1"/>
  <c r="L397" i="15"/>
  <c r="M397" i="15" s="1"/>
  <c r="K397" i="15"/>
  <c r="J397" i="15"/>
  <c r="H397" i="15"/>
  <c r="I397" i="15" s="1"/>
  <c r="G397" i="15"/>
  <c r="A397" i="15"/>
  <c r="N396" i="15"/>
  <c r="O396" i="15" s="1"/>
  <c r="L396" i="15"/>
  <c r="M396" i="15" s="1"/>
  <c r="K396" i="15"/>
  <c r="J396" i="15"/>
  <c r="H396" i="15"/>
  <c r="I396" i="15" s="1"/>
  <c r="G396" i="15"/>
  <c r="A396" i="15"/>
  <c r="N395" i="15"/>
  <c r="O395" i="15" s="1"/>
  <c r="L395" i="15"/>
  <c r="M395" i="15" s="1"/>
  <c r="K395" i="15"/>
  <c r="J395" i="15"/>
  <c r="H395" i="15"/>
  <c r="I395" i="15" s="1"/>
  <c r="G395" i="15"/>
  <c r="A395" i="15"/>
  <c r="N394" i="15"/>
  <c r="O394" i="15" s="1"/>
  <c r="L394" i="15"/>
  <c r="M394" i="15" s="1"/>
  <c r="K394" i="15"/>
  <c r="J394" i="15"/>
  <c r="H394" i="15"/>
  <c r="I394" i="15" s="1"/>
  <c r="G394" i="15"/>
  <c r="A394" i="15"/>
  <c r="N393" i="15"/>
  <c r="O393" i="15" s="1"/>
  <c r="L393" i="15"/>
  <c r="M393" i="15" s="1"/>
  <c r="K393" i="15"/>
  <c r="J393" i="15"/>
  <c r="H393" i="15"/>
  <c r="I393" i="15" s="1"/>
  <c r="G393" i="15"/>
  <c r="A393" i="15"/>
  <c r="N392" i="15"/>
  <c r="O392" i="15" s="1"/>
  <c r="L392" i="15"/>
  <c r="M392" i="15" s="1"/>
  <c r="K392" i="15"/>
  <c r="J392" i="15"/>
  <c r="H392" i="15"/>
  <c r="I392" i="15" s="1"/>
  <c r="G392" i="15"/>
  <c r="A392" i="15"/>
  <c r="N391" i="15"/>
  <c r="O391" i="15" s="1"/>
  <c r="L391" i="15"/>
  <c r="M391" i="15" s="1"/>
  <c r="K391" i="15"/>
  <c r="J391" i="15"/>
  <c r="H391" i="15"/>
  <c r="I391" i="15" s="1"/>
  <c r="G391" i="15"/>
  <c r="A391" i="15"/>
  <c r="N390" i="15"/>
  <c r="O390" i="15" s="1"/>
  <c r="L390" i="15"/>
  <c r="M390" i="15" s="1"/>
  <c r="K390" i="15"/>
  <c r="J390" i="15"/>
  <c r="H390" i="15"/>
  <c r="I390" i="15" s="1"/>
  <c r="G390" i="15"/>
  <c r="A390" i="15"/>
  <c r="N389" i="15"/>
  <c r="O389" i="15" s="1"/>
  <c r="L389" i="15"/>
  <c r="M389" i="15" s="1"/>
  <c r="K389" i="15"/>
  <c r="J389" i="15"/>
  <c r="H389" i="15"/>
  <c r="I389" i="15" s="1"/>
  <c r="G389" i="15"/>
  <c r="A389" i="15"/>
  <c r="N388" i="15"/>
  <c r="O388" i="15" s="1"/>
  <c r="L388" i="15"/>
  <c r="M388" i="15" s="1"/>
  <c r="K388" i="15"/>
  <c r="J388" i="15"/>
  <c r="H388" i="15"/>
  <c r="I388" i="15" s="1"/>
  <c r="G388" i="15"/>
  <c r="A388" i="15"/>
  <c r="N387" i="15"/>
  <c r="O387" i="15" s="1"/>
  <c r="L387" i="15"/>
  <c r="M387" i="15" s="1"/>
  <c r="K387" i="15"/>
  <c r="J387" i="15"/>
  <c r="H387" i="15"/>
  <c r="I387" i="15" s="1"/>
  <c r="G387" i="15"/>
  <c r="A387" i="15"/>
  <c r="N386" i="15"/>
  <c r="O386" i="15" s="1"/>
  <c r="L386" i="15"/>
  <c r="M386" i="15" s="1"/>
  <c r="K386" i="15"/>
  <c r="J386" i="15"/>
  <c r="H386" i="15"/>
  <c r="I386" i="15" s="1"/>
  <c r="G386" i="15"/>
  <c r="A386" i="15"/>
  <c r="N385" i="15"/>
  <c r="O385" i="15" s="1"/>
  <c r="L385" i="15"/>
  <c r="M385" i="15" s="1"/>
  <c r="K385" i="15"/>
  <c r="J385" i="15"/>
  <c r="H385" i="15"/>
  <c r="I385" i="15" s="1"/>
  <c r="G385" i="15"/>
  <c r="A385" i="15"/>
  <c r="N384" i="15"/>
  <c r="O384" i="15" s="1"/>
  <c r="L384" i="15"/>
  <c r="M384" i="15" s="1"/>
  <c r="K384" i="15"/>
  <c r="J384" i="15"/>
  <c r="H384" i="15"/>
  <c r="I384" i="15" s="1"/>
  <c r="G384" i="15"/>
  <c r="A384" i="15"/>
  <c r="N383" i="15"/>
  <c r="O383" i="15" s="1"/>
  <c r="L383" i="15"/>
  <c r="M383" i="15" s="1"/>
  <c r="K383" i="15"/>
  <c r="J383" i="15"/>
  <c r="H383" i="15"/>
  <c r="I383" i="15" s="1"/>
  <c r="G383" i="15"/>
  <c r="A383" i="15"/>
  <c r="N382" i="15"/>
  <c r="O382" i="15" s="1"/>
  <c r="L382" i="15"/>
  <c r="M382" i="15" s="1"/>
  <c r="K382" i="15"/>
  <c r="J382" i="15"/>
  <c r="H382" i="15"/>
  <c r="I382" i="15" s="1"/>
  <c r="G382" i="15"/>
  <c r="A382" i="15"/>
  <c r="N381" i="15"/>
  <c r="O381" i="15" s="1"/>
  <c r="L381" i="15"/>
  <c r="M381" i="15" s="1"/>
  <c r="K381" i="15"/>
  <c r="J381" i="15"/>
  <c r="H381" i="15"/>
  <c r="I381" i="15" s="1"/>
  <c r="G381" i="15"/>
  <c r="A381" i="15"/>
  <c r="N380" i="15"/>
  <c r="O380" i="15" s="1"/>
  <c r="L380" i="15"/>
  <c r="M380" i="15" s="1"/>
  <c r="K380" i="15"/>
  <c r="J380" i="15"/>
  <c r="H380" i="15"/>
  <c r="I380" i="15" s="1"/>
  <c r="G380" i="15"/>
  <c r="A380" i="15"/>
  <c r="N379" i="15"/>
  <c r="O379" i="15" s="1"/>
  <c r="L379" i="15"/>
  <c r="M379" i="15" s="1"/>
  <c r="K379" i="15"/>
  <c r="J379" i="15"/>
  <c r="H379" i="15"/>
  <c r="I379" i="15" s="1"/>
  <c r="G379" i="15"/>
  <c r="A379" i="15"/>
  <c r="N378" i="15"/>
  <c r="O378" i="15" s="1"/>
  <c r="L378" i="15"/>
  <c r="M378" i="15" s="1"/>
  <c r="K378" i="15"/>
  <c r="J378" i="15"/>
  <c r="H378" i="15"/>
  <c r="I378" i="15" s="1"/>
  <c r="G378" i="15"/>
  <c r="A378" i="15"/>
  <c r="N377" i="15"/>
  <c r="O377" i="15" s="1"/>
  <c r="L377" i="15"/>
  <c r="M377" i="15" s="1"/>
  <c r="K377" i="15"/>
  <c r="J377" i="15"/>
  <c r="H377" i="15"/>
  <c r="I377" i="15" s="1"/>
  <c r="G377" i="15"/>
  <c r="A377" i="15"/>
  <c r="N376" i="15"/>
  <c r="O376" i="15" s="1"/>
  <c r="L376" i="15"/>
  <c r="M376" i="15" s="1"/>
  <c r="K376" i="15"/>
  <c r="J376" i="15"/>
  <c r="H376" i="15"/>
  <c r="I376" i="15" s="1"/>
  <c r="G376" i="15"/>
  <c r="A376" i="15"/>
  <c r="N375" i="15"/>
  <c r="O375" i="15" s="1"/>
  <c r="L375" i="15"/>
  <c r="M375" i="15" s="1"/>
  <c r="K375" i="15"/>
  <c r="J375" i="15"/>
  <c r="H375" i="15"/>
  <c r="I375" i="15" s="1"/>
  <c r="G375" i="15"/>
  <c r="A375" i="15"/>
  <c r="N374" i="15"/>
  <c r="O374" i="15" s="1"/>
  <c r="L374" i="15"/>
  <c r="M374" i="15" s="1"/>
  <c r="K374" i="15"/>
  <c r="J374" i="15"/>
  <c r="H374" i="15"/>
  <c r="I374" i="15" s="1"/>
  <c r="G374" i="15"/>
  <c r="A374" i="15"/>
  <c r="N373" i="15"/>
  <c r="O373" i="15" s="1"/>
  <c r="L373" i="15"/>
  <c r="M373" i="15" s="1"/>
  <c r="K373" i="15"/>
  <c r="J373" i="15"/>
  <c r="H373" i="15"/>
  <c r="I373" i="15" s="1"/>
  <c r="G373" i="15"/>
  <c r="A373" i="15"/>
  <c r="N372" i="15"/>
  <c r="O372" i="15" s="1"/>
  <c r="L372" i="15"/>
  <c r="M372" i="15" s="1"/>
  <c r="K372" i="15"/>
  <c r="J372" i="15"/>
  <c r="H372" i="15"/>
  <c r="I372" i="15" s="1"/>
  <c r="G372" i="15"/>
  <c r="A372" i="15"/>
  <c r="N371" i="15"/>
  <c r="O371" i="15" s="1"/>
  <c r="L371" i="15"/>
  <c r="M371" i="15" s="1"/>
  <c r="K371" i="15"/>
  <c r="J371" i="15"/>
  <c r="H371" i="15"/>
  <c r="I371" i="15" s="1"/>
  <c r="G371" i="15"/>
  <c r="A371" i="15"/>
  <c r="N370" i="15"/>
  <c r="O370" i="15" s="1"/>
  <c r="L370" i="15"/>
  <c r="M370" i="15" s="1"/>
  <c r="K370" i="15"/>
  <c r="J370" i="15"/>
  <c r="H370" i="15"/>
  <c r="I370" i="15" s="1"/>
  <c r="G370" i="15"/>
  <c r="A370" i="15"/>
  <c r="N369" i="15"/>
  <c r="O369" i="15" s="1"/>
  <c r="L369" i="15"/>
  <c r="M369" i="15" s="1"/>
  <c r="K369" i="15"/>
  <c r="J369" i="15"/>
  <c r="H369" i="15"/>
  <c r="I369" i="15" s="1"/>
  <c r="G369" i="15"/>
  <c r="A369" i="15"/>
  <c r="N368" i="15"/>
  <c r="O368" i="15" s="1"/>
  <c r="L368" i="15"/>
  <c r="M368" i="15" s="1"/>
  <c r="K368" i="15"/>
  <c r="J368" i="15"/>
  <c r="H368" i="15"/>
  <c r="I368" i="15" s="1"/>
  <c r="G368" i="15"/>
  <c r="A368" i="15"/>
  <c r="N367" i="15"/>
  <c r="O367" i="15" s="1"/>
  <c r="L367" i="15"/>
  <c r="M367" i="15" s="1"/>
  <c r="K367" i="15"/>
  <c r="J367" i="15"/>
  <c r="H367" i="15"/>
  <c r="I367" i="15" s="1"/>
  <c r="G367" i="15"/>
  <c r="A367" i="15"/>
  <c r="N366" i="15"/>
  <c r="O366" i="15" s="1"/>
  <c r="L366" i="15"/>
  <c r="M366" i="15" s="1"/>
  <c r="K366" i="15"/>
  <c r="J366" i="15"/>
  <c r="H366" i="15"/>
  <c r="I366" i="15" s="1"/>
  <c r="G366" i="15"/>
  <c r="A366" i="15"/>
  <c r="N365" i="15"/>
  <c r="O365" i="15" s="1"/>
  <c r="L365" i="15"/>
  <c r="M365" i="15" s="1"/>
  <c r="K365" i="15"/>
  <c r="J365" i="15"/>
  <c r="H365" i="15"/>
  <c r="I365" i="15" s="1"/>
  <c r="G365" i="15"/>
  <c r="A365" i="15"/>
  <c r="N364" i="15"/>
  <c r="O364" i="15" s="1"/>
  <c r="L364" i="15"/>
  <c r="M364" i="15" s="1"/>
  <c r="K364" i="15"/>
  <c r="J364" i="15"/>
  <c r="H364" i="15"/>
  <c r="I364" i="15" s="1"/>
  <c r="G364" i="15"/>
  <c r="A364" i="15"/>
  <c r="N363" i="15"/>
  <c r="O363" i="15" s="1"/>
  <c r="L363" i="15"/>
  <c r="M363" i="15" s="1"/>
  <c r="K363" i="15"/>
  <c r="J363" i="15"/>
  <c r="H363" i="15"/>
  <c r="I363" i="15" s="1"/>
  <c r="G363" i="15"/>
  <c r="A363" i="15"/>
  <c r="N362" i="15"/>
  <c r="O362" i="15" s="1"/>
  <c r="L362" i="15"/>
  <c r="M362" i="15" s="1"/>
  <c r="K362" i="15"/>
  <c r="J362" i="15"/>
  <c r="H362" i="15"/>
  <c r="I362" i="15" s="1"/>
  <c r="G362" i="15"/>
  <c r="A362" i="15"/>
  <c r="N361" i="15"/>
  <c r="O361" i="15" s="1"/>
  <c r="L361" i="15"/>
  <c r="M361" i="15" s="1"/>
  <c r="K361" i="15"/>
  <c r="J361" i="15"/>
  <c r="H361" i="15"/>
  <c r="I361" i="15" s="1"/>
  <c r="G361" i="15"/>
  <c r="A361" i="15"/>
  <c r="N360" i="15"/>
  <c r="O360" i="15" s="1"/>
  <c r="L360" i="15"/>
  <c r="M360" i="15" s="1"/>
  <c r="K360" i="15"/>
  <c r="J360" i="15"/>
  <c r="H360" i="15"/>
  <c r="I360" i="15" s="1"/>
  <c r="G360" i="15"/>
  <c r="A360" i="15"/>
  <c r="N359" i="15"/>
  <c r="O359" i="15" s="1"/>
  <c r="L359" i="15"/>
  <c r="M359" i="15" s="1"/>
  <c r="K359" i="15"/>
  <c r="J359" i="15"/>
  <c r="H359" i="15"/>
  <c r="I359" i="15" s="1"/>
  <c r="G359" i="15"/>
  <c r="A359" i="15"/>
  <c r="N358" i="15"/>
  <c r="O358" i="15" s="1"/>
  <c r="L358" i="15"/>
  <c r="M358" i="15" s="1"/>
  <c r="K358" i="15"/>
  <c r="J358" i="15"/>
  <c r="H358" i="15"/>
  <c r="I358" i="15" s="1"/>
  <c r="G358" i="15"/>
  <c r="A358" i="15"/>
  <c r="N357" i="15"/>
  <c r="O357" i="15" s="1"/>
  <c r="L357" i="15"/>
  <c r="M357" i="15" s="1"/>
  <c r="K357" i="15"/>
  <c r="J357" i="15"/>
  <c r="H357" i="15"/>
  <c r="I357" i="15" s="1"/>
  <c r="G357" i="15"/>
  <c r="A357" i="15"/>
  <c r="N356" i="15"/>
  <c r="O356" i="15" s="1"/>
  <c r="L356" i="15"/>
  <c r="M356" i="15" s="1"/>
  <c r="K356" i="15"/>
  <c r="J356" i="15"/>
  <c r="H356" i="15"/>
  <c r="I356" i="15" s="1"/>
  <c r="G356" i="15"/>
  <c r="A356" i="15"/>
  <c r="N355" i="15"/>
  <c r="O355" i="15" s="1"/>
  <c r="L355" i="15"/>
  <c r="M355" i="15" s="1"/>
  <c r="K355" i="15"/>
  <c r="J355" i="15"/>
  <c r="H355" i="15"/>
  <c r="I355" i="15" s="1"/>
  <c r="G355" i="15"/>
  <c r="A355" i="15"/>
  <c r="N354" i="15"/>
  <c r="O354" i="15" s="1"/>
  <c r="L354" i="15"/>
  <c r="M354" i="15" s="1"/>
  <c r="K354" i="15"/>
  <c r="J354" i="15"/>
  <c r="H354" i="15"/>
  <c r="I354" i="15" s="1"/>
  <c r="G354" i="15"/>
  <c r="A354" i="15"/>
  <c r="N353" i="15"/>
  <c r="O353" i="15" s="1"/>
  <c r="L353" i="15"/>
  <c r="M353" i="15" s="1"/>
  <c r="K353" i="15"/>
  <c r="J353" i="15"/>
  <c r="H353" i="15"/>
  <c r="I353" i="15" s="1"/>
  <c r="G353" i="15"/>
  <c r="A353" i="15"/>
  <c r="N352" i="15"/>
  <c r="O352" i="15" s="1"/>
  <c r="L352" i="15"/>
  <c r="M352" i="15" s="1"/>
  <c r="K352" i="15"/>
  <c r="J352" i="15"/>
  <c r="H352" i="15"/>
  <c r="I352" i="15" s="1"/>
  <c r="G352" i="15"/>
  <c r="A352" i="15"/>
  <c r="N351" i="15"/>
  <c r="O351" i="15" s="1"/>
  <c r="L351" i="15"/>
  <c r="M351" i="15" s="1"/>
  <c r="K351" i="15"/>
  <c r="J351" i="15"/>
  <c r="H351" i="15"/>
  <c r="I351" i="15" s="1"/>
  <c r="G351" i="15"/>
  <c r="A351" i="15"/>
  <c r="N350" i="15"/>
  <c r="O350" i="15" s="1"/>
  <c r="L350" i="15"/>
  <c r="M350" i="15" s="1"/>
  <c r="K350" i="15"/>
  <c r="J350" i="15"/>
  <c r="H350" i="15"/>
  <c r="I350" i="15" s="1"/>
  <c r="G350" i="15"/>
  <c r="A350" i="15"/>
  <c r="N349" i="15"/>
  <c r="O349" i="15" s="1"/>
  <c r="L349" i="15"/>
  <c r="M349" i="15" s="1"/>
  <c r="K349" i="15"/>
  <c r="J349" i="15"/>
  <c r="H349" i="15"/>
  <c r="I349" i="15" s="1"/>
  <c r="G349" i="15"/>
  <c r="A349" i="15"/>
  <c r="N348" i="15"/>
  <c r="O348" i="15" s="1"/>
  <c r="L348" i="15"/>
  <c r="M348" i="15" s="1"/>
  <c r="K348" i="15"/>
  <c r="J348" i="15"/>
  <c r="H348" i="15"/>
  <c r="I348" i="15" s="1"/>
  <c r="G348" i="15"/>
  <c r="A348" i="15"/>
  <c r="N347" i="15"/>
  <c r="O347" i="15" s="1"/>
  <c r="L347" i="15"/>
  <c r="M347" i="15" s="1"/>
  <c r="K347" i="15"/>
  <c r="J347" i="15"/>
  <c r="H347" i="15"/>
  <c r="I347" i="15" s="1"/>
  <c r="G347" i="15"/>
  <c r="A347" i="15"/>
  <c r="N346" i="15"/>
  <c r="O346" i="15" s="1"/>
  <c r="L346" i="15"/>
  <c r="M346" i="15" s="1"/>
  <c r="K346" i="15"/>
  <c r="J346" i="15"/>
  <c r="H346" i="15"/>
  <c r="I346" i="15" s="1"/>
  <c r="G346" i="15"/>
  <c r="A346" i="15"/>
  <c r="N345" i="15"/>
  <c r="O345" i="15" s="1"/>
  <c r="L345" i="15"/>
  <c r="M345" i="15" s="1"/>
  <c r="K345" i="15"/>
  <c r="J345" i="15"/>
  <c r="H345" i="15"/>
  <c r="I345" i="15" s="1"/>
  <c r="G345" i="15"/>
  <c r="A345" i="15"/>
  <c r="N344" i="15"/>
  <c r="O344" i="15" s="1"/>
  <c r="L344" i="15"/>
  <c r="M344" i="15" s="1"/>
  <c r="K344" i="15"/>
  <c r="J344" i="15"/>
  <c r="H344" i="15"/>
  <c r="I344" i="15" s="1"/>
  <c r="G344" i="15"/>
  <c r="A344" i="15"/>
  <c r="N343" i="15"/>
  <c r="O343" i="15" s="1"/>
  <c r="L343" i="15"/>
  <c r="M343" i="15" s="1"/>
  <c r="K343" i="15"/>
  <c r="J343" i="15"/>
  <c r="H343" i="15"/>
  <c r="I343" i="15" s="1"/>
  <c r="G343" i="15"/>
  <c r="A343" i="15"/>
  <c r="N342" i="15"/>
  <c r="O342" i="15" s="1"/>
  <c r="L342" i="15"/>
  <c r="M342" i="15" s="1"/>
  <c r="K342" i="15"/>
  <c r="J342" i="15"/>
  <c r="H342" i="15"/>
  <c r="I342" i="15" s="1"/>
  <c r="G342" i="15"/>
  <c r="A342" i="15"/>
  <c r="N341" i="15"/>
  <c r="O341" i="15" s="1"/>
  <c r="L341" i="15"/>
  <c r="M341" i="15" s="1"/>
  <c r="K341" i="15"/>
  <c r="J341" i="15"/>
  <c r="H341" i="15"/>
  <c r="I341" i="15" s="1"/>
  <c r="G341" i="15"/>
  <c r="A341" i="15"/>
  <c r="N340" i="15"/>
  <c r="O340" i="15" s="1"/>
  <c r="L340" i="15"/>
  <c r="M340" i="15" s="1"/>
  <c r="K340" i="15"/>
  <c r="J340" i="15"/>
  <c r="H340" i="15"/>
  <c r="I340" i="15" s="1"/>
  <c r="G340" i="15"/>
  <c r="A340" i="15"/>
  <c r="N339" i="15"/>
  <c r="O339" i="15" s="1"/>
  <c r="L339" i="15"/>
  <c r="M339" i="15" s="1"/>
  <c r="K339" i="15"/>
  <c r="J339" i="15"/>
  <c r="H339" i="15"/>
  <c r="I339" i="15" s="1"/>
  <c r="G339" i="15"/>
  <c r="A339" i="15"/>
  <c r="N338" i="15"/>
  <c r="O338" i="15" s="1"/>
  <c r="L338" i="15"/>
  <c r="M338" i="15" s="1"/>
  <c r="K338" i="15"/>
  <c r="J338" i="15"/>
  <c r="H338" i="15"/>
  <c r="I338" i="15" s="1"/>
  <c r="G338" i="15"/>
  <c r="A338" i="15"/>
  <c r="N337" i="15"/>
  <c r="O337" i="15" s="1"/>
  <c r="L337" i="15"/>
  <c r="M337" i="15" s="1"/>
  <c r="K337" i="15"/>
  <c r="J337" i="15"/>
  <c r="H337" i="15"/>
  <c r="I337" i="15" s="1"/>
  <c r="G337" i="15"/>
  <c r="A337" i="15"/>
  <c r="N336" i="15"/>
  <c r="O336" i="15" s="1"/>
  <c r="L336" i="15"/>
  <c r="M336" i="15" s="1"/>
  <c r="K336" i="15"/>
  <c r="J336" i="15"/>
  <c r="H336" i="15"/>
  <c r="I336" i="15" s="1"/>
  <c r="G336" i="15"/>
  <c r="A336" i="15"/>
  <c r="N335" i="15"/>
  <c r="O335" i="15" s="1"/>
  <c r="L335" i="15"/>
  <c r="M335" i="15" s="1"/>
  <c r="K335" i="15"/>
  <c r="J335" i="15"/>
  <c r="H335" i="15"/>
  <c r="I335" i="15" s="1"/>
  <c r="G335" i="15"/>
  <c r="A335" i="15"/>
  <c r="N334" i="15"/>
  <c r="O334" i="15" s="1"/>
  <c r="L334" i="15"/>
  <c r="M334" i="15" s="1"/>
  <c r="K334" i="15"/>
  <c r="J334" i="15"/>
  <c r="H334" i="15"/>
  <c r="I334" i="15" s="1"/>
  <c r="G334" i="15"/>
  <c r="A334" i="15"/>
  <c r="N333" i="15"/>
  <c r="O333" i="15" s="1"/>
  <c r="L333" i="15"/>
  <c r="M333" i="15" s="1"/>
  <c r="K333" i="15"/>
  <c r="J333" i="15"/>
  <c r="H333" i="15"/>
  <c r="I333" i="15" s="1"/>
  <c r="G333" i="15"/>
  <c r="A333" i="15"/>
  <c r="N332" i="15"/>
  <c r="O332" i="15" s="1"/>
  <c r="L332" i="15"/>
  <c r="M332" i="15" s="1"/>
  <c r="K332" i="15"/>
  <c r="J332" i="15"/>
  <c r="H332" i="15"/>
  <c r="I332" i="15" s="1"/>
  <c r="G332" i="15"/>
  <c r="A332" i="15"/>
  <c r="N331" i="15"/>
  <c r="O331" i="15" s="1"/>
  <c r="L331" i="15"/>
  <c r="M331" i="15" s="1"/>
  <c r="K331" i="15"/>
  <c r="J331" i="15"/>
  <c r="H331" i="15"/>
  <c r="I331" i="15" s="1"/>
  <c r="G331" i="15"/>
  <c r="A331" i="15"/>
  <c r="N330" i="15"/>
  <c r="O330" i="15" s="1"/>
  <c r="L330" i="15"/>
  <c r="M330" i="15" s="1"/>
  <c r="K330" i="15"/>
  <c r="J330" i="15"/>
  <c r="H330" i="15"/>
  <c r="I330" i="15" s="1"/>
  <c r="G330" i="15"/>
  <c r="A330" i="15"/>
  <c r="N329" i="15"/>
  <c r="O329" i="15" s="1"/>
  <c r="L329" i="15"/>
  <c r="M329" i="15" s="1"/>
  <c r="K329" i="15"/>
  <c r="J329" i="15"/>
  <c r="H329" i="15"/>
  <c r="I329" i="15" s="1"/>
  <c r="G329" i="15"/>
  <c r="A329" i="15"/>
  <c r="N328" i="15"/>
  <c r="O328" i="15" s="1"/>
  <c r="L328" i="15"/>
  <c r="M328" i="15" s="1"/>
  <c r="K328" i="15"/>
  <c r="J328" i="15"/>
  <c r="H328" i="15"/>
  <c r="I328" i="15" s="1"/>
  <c r="G328" i="15"/>
  <c r="A328" i="15"/>
  <c r="N327" i="15"/>
  <c r="O327" i="15" s="1"/>
  <c r="L327" i="15"/>
  <c r="M327" i="15" s="1"/>
  <c r="K327" i="15"/>
  <c r="J327" i="15"/>
  <c r="H327" i="15"/>
  <c r="I327" i="15" s="1"/>
  <c r="G327" i="15"/>
  <c r="A327" i="15"/>
  <c r="N326" i="15"/>
  <c r="O326" i="15" s="1"/>
  <c r="L326" i="15"/>
  <c r="M326" i="15" s="1"/>
  <c r="K326" i="15"/>
  <c r="J326" i="15"/>
  <c r="H326" i="15"/>
  <c r="I326" i="15" s="1"/>
  <c r="G326" i="15"/>
  <c r="A326" i="15"/>
  <c r="N325" i="15"/>
  <c r="O325" i="15" s="1"/>
  <c r="L325" i="15"/>
  <c r="M325" i="15" s="1"/>
  <c r="K325" i="15"/>
  <c r="J325" i="15"/>
  <c r="H325" i="15"/>
  <c r="I325" i="15" s="1"/>
  <c r="G325" i="15"/>
  <c r="A325" i="15"/>
  <c r="N324" i="15"/>
  <c r="O324" i="15" s="1"/>
  <c r="L324" i="15"/>
  <c r="M324" i="15" s="1"/>
  <c r="K324" i="15"/>
  <c r="J324" i="15"/>
  <c r="H324" i="15"/>
  <c r="I324" i="15" s="1"/>
  <c r="G324" i="15"/>
  <c r="A324" i="15"/>
  <c r="N323" i="15"/>
  <c r="O323" i="15" s="1"/>
  <c r="L323" i="15"/>
  <c r="M323" i="15" s="1"/>
  <c r="K323" i="15"/>
  <c r="J323" i="15"/>
  <c r="H323" i="15"/>
  <c r="I323" i="15" s="1"/>
  <c r="G323" i="15"/>
  <c r="A323" i="15"/>
  <c r="N322" i="15"/>
  <c r="O322" i="15" s="1"/>
  <c r="L322" i="15"/>
  <c r="M322" i="15" s="1"/>
  <c r="K322" i="15"/>
  <c r="J322" i="15"/>
  <c r="H322" i="15"/>
  <c r="I322" i="15" s="1"/>
  <c r="G322" i="15"/>
  <c r="A322" i="15"/>
  <c r="N321" i="15"/>
  <c r="O321" i="15" s="1"/>
  <c r="L321" i="15"/>
  <c r="M321" i="15" s="1"/>
  <c r="K321" i="15"/>
  <c r="J321" i="15"/>
  <c r="H321" i="15"/>
  <c r="I321" i="15" s="1"/>
  <c r="G321" i="15"/>
  <c r="A321" i="15"/>
  <c r="N320" i="15"/>
  <c r="O320" i="15" s="1"/>
  <c r="L320" i="15"/>
  <c r="M320" i="15" s="1"/>
  <c r="K320" i="15"/>
  <c r="J320" i="15"/>
  <c r="H320" i="15"/>
  <c r="I320" i="15" s="1"/>
  <c r="G320" i="15"/>
  <c r="A320" i="15"/>
  <c r="N319" i="15"/>
  <c r="O319" i="15" s="1"/>
  <c r="L319" i="15"/>
  <c r="M319" i="15" s="1"/>
  <c r="K319" i="15"/>
  <c r="J319" i="15"/>
  <c r="H319" i="15"/>
  <c r="I319" i="15" s="1"/>
  <c r="G319" i="15"/>
  <c r="A319" i="15"/>
  <c r="N318" i="15"/>
  <c r="O318" i="15" s="1"/>
  <c r="L318" i="15"/>
  <c r="M318" i="15" s="1"/>
  <c r="K318" i="15"/>
  <c r="J318" i="15"/>
  <c r="H318" i="15"/>
  <c r="I318" i="15" s="1"/>
  <c r="G318" i="15"/>
  <c r="A318" i="15"/>
  <c r="N317" i="15"/>
  <c r="O317" i="15" s="1"/>
  <c r="L317" i="15"/>
  <c r="M317" i="15" s="1"/>
  <c r="K317" i="15"/>
  <c r="J317" i="15"/>
  <c r="H317" i="15"/>
  <c r="I317" i="15" s="1"/>
  <c r="G317" i="15"/>
  <c r="A317" i="15"/>
  <c r="N316" i="15"/>
  <c r="O316" i="15" s="1"/>
  <c r="L316" i="15"/>
  <c r="M316" i="15" s="1"/>
  <c r="K316" i="15"/>
  <c r="J316" i="15"/>
  <c r="H316" i="15"/>
  <c r="I316" i="15" s="1"/>
  <c r="G316" i="15"/>
  <c r="A316" i="15"/>
  <c r="N315" i="15"/>
  <c r="O315" i="15" s="1"/>
  <c r="L315" i="15"/>
  <c r="M315" i="15" s="1"/>
  <c r="K315" i="15"/>
  <c r="J315" i="15"/>
  <c r="H315" i="15"/>
  <c r="I315" i="15" s="1"/>
  <c r="G315" i="15"/>
  <c r="A315" i="15"/>
  <c r="N314" i="15"/>
  <c r="O314" i="15" s="1"/>
  <c r="L314" i="15"/>
  <c r="M314" i="15" s="1"/>
  <c r="K314" i="15"/>
  <c r="J314" i="15"/>
  <c r="H314" i="15"/>
  <c r="I314" i="15" s="1"/>
  <c r="G314" i="15"/>
  <c r="A314" i="15"/>
  <c r="N313" i="15"/>
  <c r="O313" i="15" s="1"/>
  <c r="L313" i="15"/>
  <c r="M313" i="15" s="1"/>
  <c r="K313" i="15"/>
  <c r="J313" i="15"/>
  <c r="H313" i="15"/>
  <c r="I313" i="15" s="1"/>
  <c r="G313" i="15"/>
  <c r="A313" i="15"/>
  <c r="N312" i="15"/>
  <c r="O312" i="15" s="1"/>
  <c r="L312" i="15"/>
  <c r="M312" i="15" s="1"/>
  <c r="K312" i="15"/>
  <c r="J312" i="15"/>
  <c r="H312" i="15"/>
  <c r="I312" i="15" s="1"/>
  <c r="G312" i="15"/>
  <c r="A312" i="15"/>
  <c r="N311" i="15"/>
  <c r="O311" i="15" s="1"/>
  <c r="L311" i="15"/>
  <c r="M311" i="15" s="1"/>
  <c r="K311" i="15"/>
  <c r="J311" i="15"/>
  <c r="H311" i="15"/>
  <c r="I311" i="15" s="1"/>
  <c r="G311" i="15"/>
  <c r="A311" i="15"/>
  <c r="N310" i="15"/>
  <c r="O310" i="15" s="1"/>
  <c r="L310" i="15"/>
  <c r="M310" i="15" s="1"/>
  <c r="K310" i="15"/>
  <c r="J310" i="15"/>
  <c r="H310" i="15"/>
  <c r="I310" i="15" s="1"/>
  <c r="G310" i="15"/>
  <c r="A310" i="15"/>
  <c r="N309" i="15"/>
  <c r="O309" i="15" s="1"/>
  <c r="L309" i="15"/>
  <c r="M309" i="15" s="1"/>
  <c r="K309" i="15"/>
  <c r="J309" i="15"/>
  <c r="H309" i="15"/>
  <c r="I309" i="15" s="1"/>
  <c r="G309" i="15"/>
  <c r="A309" i="15"/>
  <c r="N308" i="15"/>
  <c r="O308" i="15" s="1"/>
  <c r="L308" i="15"/>
  <c r="M308" i="15" s="1"/>
  <c r="K308" i="15"/>
  <c r="J308" i="15"/>
  <c r="H308" i="15"/>
  <c r="I308" i="15" s="1"/>
  <c r="G308" i="15"/>
  <c r="A308" i="15"/>
  <c r="N307" i="15"/>
  <c r="O307" i="15" s="1"/>
  <c r="L307" i="15"/>
  <c r="M307" i="15" s="1"/>
  <c r="K307" i="15"/>
  <c r="J307" i="15"/>
  <c r="H307" i="15"/>
  <c r="I307" i="15" s="1"/>
  <c r="G307" i="15"/>
  <c r="A307" i="15"/>
  <c r="N306" i="15"/>
  <c r="O306" i="15" s="1"/>
  <c r="L306" i="15"/>
  <c r="M306" i="15" s="1"/>
  <c r="K306" i="15"/>
  <c r="J306" i="15"/>
  <c r="H306" i="15"/>
  <c r="I306" i="15" s="1"/>
  <c r="G306" i="15"/>
  <c r="A306" i="15"/>
  <c r="N305" i="15"/>
  <c r="O305" i="15" s="1"/>
  <c r="L305" i="15"/>
  <c r="M305" i="15" s="1"/>
  <c r="K305" i="15"/>
  <c r="J305" i="15"/>
  <c r="H305" i="15"/>
  <c r="I305" i="15" s="1"/>
  <c r="G305" i="15"/>
  <c r="A305" i="15"/>
  <c r="N304" i="15"/>
  <c r="O304" i="15" s="1"/>
  <c r="L304" i="15"/>
  <c r="M304" i="15" s="1"/>
  <c r="K304" i="15"/>
  <c r="J304" i="15"/>
  <c r="H304" i="15"/>
  <c r="I304" i="15" s="1"/>
  <c r="G304" i="15"/>
  <c r="A304" i="15"/>
  <c r="N303" i="15"/>
  <c r="O303" i="15" s="1"/>
  <c r="L303" i="15"/>
  <c r="M303" i="15" s="1"/>
  <c r="K303" i="15"/>
  <c r="J303" i="15"/>
  <c r="H303" i="15"/>
  <c r="I303" i="15" s="1"/>
  <c r="G303" i="15"/>
  <c r="A303" i="15"/>
  <c r="N302" i="15"/>
  <c r="O302" i="15" s="1"/>
  <c r="L302" i="15"/>
  <c r="M302" i="15" s="1"/>
  <c r="K302" i="15"/>
  <c r="J302" i="15"/>
  <c r="H302" i="15"/>
  <c r="I302" i="15" s="1"/>
  <c r="G302" i="15"/>
  <c r="A302" i="15"/>
  <c r="N301" i="15"/>
  <c r="O301" i="15" s="1"/>
  <c r="L301" i="15"/>
  <c r="M301" i="15" s="1"/>
  <c r="K301" i="15"/>
  <c r="J301" i="15"/>
  <c r="H301" i="15"/>
  <c r="I301" i="15" s="1"/>
  <c r="G301" i="15"/>
  <c r="A301" i="15"/>
  <c r="N300" i="15"/>
  <c r="O300" i="15" s="1"/>
  <c r="L300" i="15"/>
  <c r="M300" i="15" s="1"/>
  <c r="K300" i="15"/>
  <c r="J300" i="15"/>
  <c r="H300" i="15"/>
  <c r="I300" i="15" s="1"/>
  <c r="G300" i="15"/>
  <c r="A300" i="15"/>
  <c r="N299" i="15"/>
  <c r="O299" i="15" s="1"/>
  <c r="L299" i="15"/>
  <c r="M299" i="15" s="1"/>
  <c r="K299" i="15"/>
  <c r="J299" i="15"/>
  <c r="H299" i="15"/>
  <c r="I299" i="15" s="1"/>
  <c r="G299" i="15"/>
  <c r="A299" i="15"/>
  <c r="N298" i="15"/>
  <c r="O298" i="15" s="1"/>
  <c r="L298" i="15"/>
  <c r="M298" i="15" s="1"/>
  <c r="K298" i="15"/>
  <c r="J298" i="15"/>
  <c r="H298" i="15"/>
  <c r="I298" i="15" s="1"/>
  <c r="G298" i="15"/>
  <c r="A298" i="15"/>
  <c r="N297" i="15"/>
  <c r="O297" i="15" s="1"/>
  <c r="L297" i="15"/>
  <c r="M297" i="15" s="1"/>
  <c r="K297" i="15"/>
  <c r="J297" i="15"/>
  <c r="H297" i="15"/>
  <c r="I297" i="15" s="1"/>
  <c r="G297" i="15"/>
  <c r="A297" i="15"/>
  <c r="N296" i="15"/>
  <c r="O296" i="15" s="1"/>
  <c r="L296" i="15"/>
  <c r="M296" i="15" s="1"/>
  <c r="K296" i="15"/>
  <c r="J296" i="15"/>
  <c r="H296" i="15"/>
  <c r="I296" i="15" s="1"/>
  <c r="G296" i="15"/>
  <c r="A296" i="15"/>
  <c r="N295" i="15"/>
  <c r="O295" i="15" s="1"/>
  <c r="L295" i="15"/>
  <c r="M295" i="15" s="1"/>
  <c r="K295" i="15"/>
  <c r="J295" i="15"/>
  <c r="H295" i="15"/>
  <c r="I295" i="15" s="1"/>
  <c r="G295" i="15"/>
  <c r="A295" i="15"/>
  <c r="N294" i="15"/>
  <c r="O294" i="15" s="1"/>
  <c r="L294" i="15"/>
  <c r="M294" i="15" s="1"/>
  <c r="K294" i="15"/>
  <c r="J294" i="15"/>
  <c r="H294" i="15"/>
  <c r="I294" i="15" s="1"/>
  <c r="G294" i="15"/>
  <c r="A294" i="15"/>
  <c r="N293" i="15"/>
  <c r="O293" i="15" s="1"/>
  <c r="L293" i="15"/>
  <c r="M293" i="15" s="1"/>
  <c r="K293" i="15"/>
  <c r="J293" i="15"/>
  <c r="H293" i="15"/>
  <c r="I293" i="15" s="1"/>
  <c r="G293" i="15"/>
  <c r="A293" i="15"/>
  <c r="N292" i="15"/>
  <c r="O292" i="15" s="1"/>
  <c r="L292" i="15"/>
  <c r="M292" i="15" s="1"/>
  <c r="K292" i="15"/>
  <c r="J292" i="15"/>
  <c r="H292" i="15"/>
  <c r="I292" i="15" s="1"/>
  <c r="G292" i="15"/>
  <c r="A292" i="15"/>
  <c r="N291" i="15"/>
  <c r="O291" i="15" s="1"/>
  <c r="L291" i="15"/>
  <c r="M291" i="15" s="1"/>
  <c r="K291" i="15"/>
  <c r="J291" i="15"/>
  <c r="H291" i="15"/>
  <c r="I291" i="15" s="1"/>
  <c r="G291" i="15"/>
  <c r="A291" i="15"/>
  <c r="N290" i="15"/>
  <c r="O290" i="15" s="1"/>
  <c r="L290" i="15"/>
  <c r="M290" i="15" s="1"/>
  <c r="K290" i="15"/>
  <c r="J290" i="15"/>
  <c r="H290" i="15"/>
  <c r="I290" i="15" s="1"/>
  <c r="G290" i="15"/>
  <c r="A290" i="15"/>
  <c r="N289" i="15"/>
  <c r="O289" i="15" s="1"/>
  <c r="L289" i="15"/>
  <c r="M289" i="15" s="1"/>
  <c r="K289" i="15"/>
  <c r="J289" i="15"/>
  <c r="H289" i="15"/>
  <c r="I289" i="15" s="1"/>
  <c r="G289" i="15"/>
  <c r="A289" i="15"/>
  <c r="N288" i="15"/>
  <c r="O288" i="15" s="1"/>
  <c r="L288" i="15"/>
  <c r="M288" i="15" s="1"/>
  <c r="K288" i="15"/>
  <c r="J288" i="15"/>
  <c r="H288" i="15"/>
  <c r="I288" i="15" s="1"/>
  <c r="G288" i="15"/>
  <c r="A288" i="15"/>
  <c r="N287" i="15"/>
  <c r="O287" i="15" s="1"/>
  <c r="L287" i="15"/>
  <c r="M287" i="15" s="1"/>
  <c r="K287" i="15"/>
  <c r="J287" i="15"/>
  <c r="H287" i="15"/>
  <c r="I287" i="15" s="1"/>
  <c r="G287" i="15"/>
  <c r="A287" i="15"/>
  <c r="N286" i="15"/>
  <c r="O286" i="15" s="1"/>
  <c r="L286" i="15"/>
  <c r="M286" i="15" s="1"/>
  <c r="K286" i="15"/>
  <c r="J286" i="15"/>
  <c r="H286" i="15"/>
  <c r="I286" i="15" s="1"/>
  <c r="G286" i="15"/>
  <c r="A286" i="15"/>
  <c r="N285" i="15"/>
  <c r="O285" i="15" s="1"/>
  <c r="L285" i="15"/>
  <c r="M285" i="15" s="1"/>
  <c r="K285" i="15"/>
  <c r="J285" i="15"/>
  <c r="H285" i="15"/>
  <c r="I285" i="15" s="1"/>
  <c r="G285" i="15"/>
  <c r="A285" i="15"/>
  <c r="N284" i="15"/>
  <c r="O284" i="15" s="1"/>
  <c r="L284" i="15"/>
  <c r="M284" i="15" s="1"/>
  <c r="K284" i="15"/>
  <c r="J284" i="15"/>
  <c r="H284" i="15"/>
  <c r="I284" i="15" s="1"/>
  <c r="G284" i="15"/>
  <c r="A284" i="15"/>
  <c r="N283" i="15"/>
  <c r="O283" i="15" s="1"/>
  <c r="L283" i="15"/>
  <c r="M283" i="15" s="1"/>
  <c r="K283" i="15"/>
  <c r="J283" i="15"/>
  <c r="H283" i="15"/>
  <c r="I283" i="15" s="1"/>
  <c r="G283" i="15"/>
  <c r="A283" i="15"/>
  <c r="N282" i="15"/>
  <c r="O282" i="15" s="1"/>
  <c r="L282" i="15"/>
  <c r="M282" i="15" s="1"/>
  <c r="K282" i="15"/>
  <c r="J282" i="15"/>
  <c r="H282" i="15"/>
  <c r="I282" i="15" s="1"/>
  <c r="G282" i="15"/>
  <c r="A282" i="15"/>
  <c r="N281" i="15"/>
  <c r="O281" i="15" s="1"/>
  <c r="L281" i="15"/>
  <c r="M281" i="15" s="1"/>
  <c r="K281" i="15"/>
  <c r="J281" i="15"/>
  <c r="H281" i="15"/>
  <c r="I281" i="15" s="1"/>
  <c r="G281" i="15"/>
  <c r="A281" i="15"/>
  <c r="N280" i="15"/>
  <c r="O280" i="15" s="1"/>
  <c r="L280" i="15"/>
  <c r="M280" i="15" s="1"/>
  <c r="K280" i="15"/>
  <c r="J280" i="15"/>
  <c r="H280" i="15"/>
  <c r="I280" i="15" s="1"/>
  <c r="G280" i="15"/>
  <c r="A280" i="15"/>
  <c r="N279" i="15"/>
  <c r="O279" i="15" s="1"/>
  <c r="L279" i="15"/>
  <c r="M279" i="15" s="1"/>
  <c r="K279" i="15"/>
  <c r="J279" i="15"/>
  <c r="H279" i="15"/>
  <c r="I279" i="15" s="1"/>
  <c r="G279" i="15"/>
  <c r="A279" i="15"/>
  <c r="N278" i="15"/>
  <c r="O278" i="15" s="1"/>
  <c r="L278" i="15"/>
  <c r="M278" i="15" s="1"/>
  <c r="K278" i="15"/>
  <c r="J278" i="15"/>
  <c r="H278" i="15"/>
  <c r="I278" i="15" s="1"/>
  <c r="G278" i="15"/>
  <c r="A278" i="15"/>
  <c r="N277" i="15"/>
  <c r="O277" i="15" s="1"/>
  <c r="L277" i="15"/>
  <c r="M277" i="15" s="1"/>
  <c r="K277" i="15"/>
  <c r="J277" i="15"/>
  <c r="H277" i="15"/>
  <c r="I277" i="15" s="1"/>
  <c r="G277" i="15"/>
  <c r="A277" i="15"/>
  <c r="N276" i="15"/>
  <c r="O276" i="15" s="1"/>
  <c r="L276" i="15"/>
  <c r="M276" i="15" s="1"/>
  <c r="K276" i="15"/>
  <c r="J276" i="15"/>
  <c r="H276" i="15"/>
  <c r="I276" i="15" s="1"/>
  <c r="G276" i="15"/>
  <c r="A276" i="15"/>
  <c r="N275" i="15"/>
  <c r="O275" i="15" s="1"/>
  <c r="L275" i="15"/>
  <c r="M275" i="15" s="1"/>
  <c r="K275" i="15"/>
  <c r="J275" i="15"/>
  <c r="H275" i="15"/>
  <c r="I275" i="15" s="1"/>
  <c r="G275" i="15"/>
  <c r="A275" i="15"/>
  <c r="N274" i="15"/>
  <c r="O274" i="15" s="1"/>
  <c r="L274" i="15"/>
  <c r="M274" i="15" s="1"/>
  <c r="K274" i="15"/>
  <c r="J274" i="15"/>
  <c r="H274" i="15"/>
  <c r="I274" i="15" s="1"/>
  <c r="G274" i="15"/>
  <c r="A274" i="15"/>
  <c r="N273" i="15"/>
  <c r="O273" i="15" s="1"/>
  <c r="L273" i="15"/>
  <c r="M273" i="15" s="1"/>
  <c r="K273" i="15"/>
  <c r="J273" i="15"/>
  <c r="H273" i="15"/>
  <c r="I273" i="15" s="1"/>
  <c r="G273" i="15"/>
  <c r="A273" i="15"/>
  <c r="N272" i="15"/>
  <c r="O272" i="15" s="1"/>
  <c r="L272" i="15"/>
  <c r="M272" i="15" s="1"/>
  <c r="K272" i="15"/>
  <c r="J272" i="15"/>
  <c r="H272" i="15"/>
  <c r="I272" i="15" s="1"/>
  <c r="G272" i="15"/>
  <c r="A272" i="15"/>
  <c r="N271" i="15"/>
  <c r="O271" i="15" s="1"/>
  <c r="L271" i="15"/>
  <c r="M271" i="15" s="1"/>
  <c r="K271" i="15"/>
  <c r="J271" i="15"/>
  <c r="H271" i="15"/>
  <c r="I271" i="15" s="1"/>
  <c r="G271" i="15"/>
  <c r="A271" i="15"/>
  <c r="N270" i="15"/>
  <c r="O270" i="15" s="1"/>
  <c r="L270" i="15"/>
  <c r="M270" i="15" s="1"/>
  <c r="K270" i="15"/>
  <c r="J270" i="15"/>
  <c r="H270" i="15"/>
  <c r="I270" i="15" s="1"/>
  <c r="G270" i="15"/>
  <c r="A270" i="15"/>
  <c r="N269" i="15"/>
  <c r="O269" i="15" s="1"/>
  <c r="L269" i="15"/>
  <c r="M269" i="15" s="1"/>
  <c r="K269" i="15"/>
  <c r="J269" i="15"/>
  <c r="H269" i="15"/>
  <c r="I269" i="15" s="1"/>
  <c r="G269" i="15"/>
  <c r="A269" i="15"/>
  <c r="N268" i="15"/>
  <c r="O268" i="15" s="1"/>
  <c r="L268" i="15"/>
  <c r="M268" i="15" s="1"/>
  <c r="K268" i="15"/>
  <c r="J268" i="15"/>
  <c r="H268" i="15"/>
  <c r="I268" i="15" s="1"/>
  <c r="G268" i="15"/>
  <c r="A268" i="15"/>
  <c r="N267" i="15"/>
  <c r="O267" i="15" s="1"/>
  <c r="L267" i="15"/>
  <c r="M267" i="15" s="1"/>
  <c r="K267" i="15"/>
  <c r="J267" i="15"/>
  <c r="H267" i="15"/>
  <c r="I267" i="15" s="1"/>
  <c r="G267" i="15"/>
  <c r="A267" i="15"/>
  <c r="N266" i="15"/>
  <c r="O266" i="15" s="1"/>
  <c r="L266" i="15"/>
  <c r="M266" i="15" s="1"/>
  <c r="K266" i="15"/>
  <c r="J266" i="15"/>
  <c r="H266" i="15"/>
  <c r="I266" i="15" s="1"/>
  <c r="G266" i="15"/>
  <c r="A266" i="15"/>
  <c r="N265" i="15"/>
  <c r="O265" i="15" s="1"/>
  <c r="L265" i="15"/>
  <c r="M265" i="15" s="1"/>
  <c r="K265" i="15"/>
  <c r="J265" i="15"/>
  <c r="H265" i="15"/>
  <c r="I265" i="15" s="1"/>
  <c r="G265" i="15"/>
  <c r="A265" i="15"/>
  <c r="N264" i="15"/>
  <c r="O264" i="15" s="1"/>
  <c r="L264" i="15"/>
  <c r="M264" i="15" s="1"/>
  <c r="K264" i="15"/>
  <c r="J264" i="15"/>
  <c r="H264" i="15"/>
  <c r="I264" i="15" s="1"/>
  <c r="G264" i="15"/>
  <c r="A264" i="15"/>
  <c r="N263" i="15"/>
  <c r="O263" i="15" s="1"/>
  <c r="L263" i="15"/>
  <c r="M263" i="15" s="1"/>
  <c r="K263" i="15"/>
  <c r="J263" i="15"/>
  <c r="H263" i="15"/>
  <c r="I263" i="15" s="1"/>
  <c r="G263" i="15"/>
  <c r="A263" i="15"/>
  <c r="N262" i="15"/>
  <c r="O262" i="15" s="1"/>
  <c r="L262" i="15"/>
  <c r="M262" i="15" s="1"/>
  <c r="K262" i="15"/>
  <c r="J262" i="15"/>
  <c r="H262" i="15"/>
  <c r="I262" i="15" s="1"/>
  <c r="G262" i="15"/>
  <c r="A262" i="15"/>
  <c r="N261" i="15"/>
  <c r="O261" i="15" s="1"/>
  <c r="L261" i="15"/>
  <c r="M261" i="15" s="1"/>
  <c r="K261" i="15"/>
  <c r="J261" i="15"/>
  <c r="H261" i="15"/>
  <c r="I261" i="15" s="1"/>
  <c r="G261" i="15"/>
  <c r="A261" i="15"/>
  <c r="N260" i="15"/>
  <c r="O260" i="15" s="1"/>
  <c r="L260" i="15"/>
  <c r="M260" i="15" s="1"/>
  <c r="K260" i="15"/>
  <c r="J260" i="15"/>
  <c r="H260" i="15"/>
  <c r="I260" i="15" s="1"/>
  <c r="G260" i="15"/>
  <c r="A260" i="15"/>
  <c r="N259" i="15"/>
  <c r="O259" i="15" s="1"/>
  <c r="L259" i="15"/>
  <c r="M259" i="15" s="1"/>
  <c r="K259" i="15"/>
  <c r="J259" i="15"/>
  <c r="H259" i="15"/>
  <c r="I259" i="15" s="1"/>
  <c r="G259" i="15"/>
  <c r="A259" i="15"/>
  <c r="N258" i="15"/>
  <c r="O258" i="15" s="1"/>
  <c r="L258" i="15"/>
  <c r="M258" i="15" s="1"/>
  <c r="K258" i="15"/>
  <c r="J258" i="15"/>
  <c r="H258" i="15"/>
  <c r="I258" i="15" s="1"/>
  <c r="G258" i="15"/>
  <c r="A258" i="15"/>
  <c r="N257" i="15"/>
  <c r="O257" i="15" s="1"/>
  <c r="L257" i="15"/>
  <c r="M257" i="15" s="1"/>
  <c r="K257" i="15"/>
  <c r="J257" i="15"/>
  <c r="H257" i="15"/>
  <c r="I257" i="15" s="1"/>
  <c r="G257" i="15"/>
  <c r="A257" i="15"/>
  <c r="N256" i="15"/>
  <c r="O256" i="15" s="1"/>
  <c r="L256" i="15"/>
  <c r="M256" i="15" s="1"/>
  <c r="K256" i="15"/>
  <c r="J256" i="15"/>
  <c r="H256" i="15"/>
  <c r="I256" i="15" s="1"/>
  <c r="G256" i="15"/>
  <c r="A256" i="15"/>
  <c r="N255" i="15"/>
  <c r="O255" i="15" s="1"/>
  <c r="L255" i="15"/>
  <c r="M255" i="15" s="1"/>
  <c r="K255" i="15"/>
  <c r="J255" i="15"/>
  <c r="H255" i="15"/>
  <c r="I255" i="15" s="1"/>
  <c r="G255" i="15"/>
  <c r="A255" i="15"/>
  <c r="N254" i="15"/>
  <c r="O254" i="15" s="1"/>
  <c r="L254" i="15"/>
  <c r="M254" i="15" s="1"/>
  <c r="K254" i="15"/>
  <c r="J254" i="15"/>
  <c r="H254" i="15"/>
  <c r="I254" i="15" s="1"/>
  <c r="G254" i="15"/>
  <c r="A254" i="15"/>
  <c r="N253" i="15"/>
  <c r="O253" i="15" s="1"/>
  <c r="L253" i="15"/>
  <c r="M253" i="15" s="1"/>
  <c r="K253" i="15"/>
  <c r="J253" i="15"/>
  <c r="H253" i="15"/>
  <c r="I253" i="15" s="1"/>
  <c r="G253" i="15"/>
  <c r="A253" i="15"/>
  <c r="N252" i="15"/>
  <c r="O252" i="15" s="1"/>
  <c r="L252" i="15"/>
  <c r="M252" i="15" s="1"/>
  <c r="K252" i="15"/>
  <c r="J252" i="15"/>
  <c r="H252" i="15"/>
  <c r="I252" i="15" s="1"/>
  <c r="G252" i="15"/>
  <c r="A252" i="15"/>
  <c r="N251" i="15"/>
  <c r="O251" i="15" s="1"/>
  <c r="L251" i="15"/>
  <c r="M251" i="15" s="1"/>
  <c r="K251" i="15"/>
  <c r="J251" i="15"/>
  <c r="H251" i="15"/>
  <c r="I251" i="15" s="1"/>
  <c r="G251" i="15"/>
  <c r="A251" i="15"/>
  <c r="N250" i="15"/>
  <c r="O250" i="15" s="1"/>
  <c r="L250" i="15"/>
  <c r="M250" i="15" s="1"/>
  <c r="K250" i="15"/>
  <c r="J250" i="15"/>
  <c r="H250" i="15"/>
  <c r="I250" i="15" s="1"/>
  <c r="G250" i="15"/>
  <c r="A250" i="15"/>
  <c r="N249" i="15"/>
  <c r="O249" i="15" s="1"/>
  <c r="L249" i="15"/>
  <c r="M249" i="15" s="1"/>
  <c r="K249" i="15"/>
  <c r="J249" i="15"/>
  <c r="H249" i="15"/>
  <c r="I249" i="15" s="1"/>
  <c r="G249" i="15"/>
  <c r="A249" i="15"/>
  <c r="N248" i="15"/>
  <c r="O248" i="15" s="1"/>
  <c r="L248" i="15"/>
  <c r="M248" i="15" s="1"/>
  <c r="K248" i="15"/>
  <c r="J248" i="15"/>
  <c r="H248" i="15"/>
  <c r="I248" i="15" s="1"/>
  <c r="G248" i="15"/>
  <c r="A248" i="15"/>
  <c r="N247" i="15"/>
  <c r="O247" i="15" s="1"/>
  <c r="L247" i="15"/>
  <c r="M247" i="15" s="1"/>
  <c r="K247" i="15"/>
  <c r="J247" i="15"/>
  <c r="H247" i="15"/>
  <c r="I247" i="15" s="1"/>
  <c r="G247" i="15"/>
  <c r="A247" i="15"/>
  <c r="N246" i="15"/>
  <c r="O246" i="15" s="1"/>
  <c r="L246" i="15"/>
  <c r="M246" i="15" s="1"/>
  <c r="K246" i="15"/>
  <c r="J246" i="15"/>
  <c r="H246" i="15"/>
  <c r="I246" i="15" s="1"/>
  <c r="G246" i="15"/>
  <c r="A246" i="15"/>
  <c r="N245" i="15"/>
  <c r="O245" i="15" s="1"/>
  <c r="L245" i="15"/>
  <c r="M245" i="15" s="1"/>
  <c r="K245" i="15"/>
  <c r="J245" i="15"/>
  <c r="H245" i="15"/>
  <c r="I245" i="15" s="1"/>
  <c r="G245" i="15"/>
  <c r="A245" i="15"/>
  <c r="N244" i="15"/>
  <c r="O244" i="15" s="1"/>
  <c r="L244" i="15"/>
  <c r="M244" i="15" s="1"/>
  <c r="K244" i="15"/>
  <c r="J244" i="15"/>
  <c r="H244" i="15"/>
  <c r="I244" i="15" s="1"/>
  <c r="G244" i="15"/>
  <c r="A244" i="15"/>
  <c r="N243" i="15"/>
  <c r="O243" i="15" s="1"/>
  <c r="L243" i="15"/>
  <c r="M243" i="15" s="1"/>
  <c r="K243" i="15"/>
  <c r="J243" i="15"/>
  <c r="H243" i="15"/>
  <c r="I243" i="15" s="1"/>
  <c r="G243" i="15"/>
  <c r="A243" i="15"/>
  <c r="N242" i="15"/>
  <c r="O242" i="15" s="1"/>
  <c r="L242" i="15"/>
  <c r="M242" i="15" s="1"/>
  <c r="K242" i="15"/>
  <c r="J242" i="15"/>
  <c r="H242" i="15"/>
  <c r="I242" i="15" s="1"/>
  <c r="G242" i="15"/>
  <c r="A242" i="15"/>
  <c r="N241" i="15"/>
  <c r="O241" i="15" s="1"/>
  <c r="L241" i="15"/>
  <c r="M241" i="15" s="1"/>
  <c r="K241" i="15"/>
  <c r="J241" i="15"/>
  <c r="H241" i="15"/>
  <c r="I241" i="15" s="1"/>
  <c r="G241" i="15"/>
  <c r="A241" i="15"/>
  <c r="N240" i="15"/>
  <c r="O240" i="15" s="1"/>
  <c r="L240" i="15"/>
  <c r="M240" i="15" s="1"/>
  <c r="K240" i="15"/>
  <c r="J240" i="15"/>
  <c r="H240" i="15"/>
  <c r="I240" i="15" s="1"/>
  <c r="G240" i="15"/>
  <c r="A240" i="15"/>
  <c r="N239" i="15"/>
  <c r="O239" i="15" s="1"/>
  <c r="L239" i="15"/>
  <c r="M239" i="15" s="1"/>
  <c r="K239" i="15"/>
  <c r="J239" i="15"/>
  <c r="H239" i="15"/>
  <c r="I239" i="15" s="1"/>
  <c r="G239" i="15"/>
  <c r="A239" i="15"/>
  <c r="N238" i="15"/>
  <c r="O238" i="15" s="1"/>
  <c r="L238" i="15"/>
  <c r="M238" i="15" s="1"/>
  <c r="K238" i="15"/>
  <c r="J238" i="15"/>
  <c r="H238" i="15"/>
  <c r="I238" i="15" s="1"/>
  <c r="G238" i="15"/>
  <c r="A238" i="15"/>
  <c r="N237" i="15"/>
  <c r="O237" i="15" s="1"/>
  <c r="L237" i="15"/>
  <c r="M237" i="15" s="1"/>
  <c r="K237" i="15"/>
  <c r="J237" i="15"/>
  <c r="H237" i="15"/>
  <c r="I237" i="15" s="1"/>
  <c r="G237" i="15"/>
  <c r="A237" i="15"/>
  <c r="N236" i="15"/>
  <c r="O236" i="15" s="1"/>
  <c r="L236" i="15"/>
  <c r="M236" i="15" s="1"/>
  <c r="K236" i="15"/>
  <c r="J236" i="15"/>
  <c r="H236" i="15"/>
  <c r="I236" i="15" s="1"/>
  <c r="G236" i="15"/>
  <c r="A236" i="15"/>
  <c r="N235" i="15"/>
  <c r="O235" i="15" s="1"/>
  <c r="L235" i="15"/>
  <c r="M235" i="15" s="1"/>
  <c r="K235" i="15"/>
  <c r="J235" i="15"/>
  <c r="H235" i="15"/>
  <c r="I235" i="15" s="1"/>
  <c r="G235" i="15"/>
  <c r="A235" i="15"/>
  <c r="N234" i="15"/>
  <c r="O234" i="15" s="1"/>
  <c r="L234" i="15"/>
  <c r="M234" i="15" s="1"/>
  <c r="K234" i="15"/>
  <c r="J234" i="15"/>
  <c r="H234" i="15"/>
  <c r="I234" i="15" s="1"/>
  <c r="G234" i="15"/>
  <c r="A234" i="15"/>
  <c r="N233" i="15"/>
  <c r="O233" i="15" s="1"/>
  <c r="L233" i="15"/>
  <c r="M233" i="15" s="1"/>
  <c r="K233" i="15"/>
  <c r="J233" i="15"/>
  <c r="H233" i="15"/>
  <c r="I233" i="15" s="1"/>
  <c r="G233" i="15"/>
  <c r="A233" i="15"/>
  <c r="N232" i="15"/>
  <c r="O232" i="15" s="1"/>
  <c r="L232" i="15"/>
  <c r="M232" i="15" s="1"/>
  <c r="K232" i="15"/>
  <c r="J232" i="15"/>
  <c r="H232" i="15"/>
  <c r="I232" i="15" s="1"/>
  <c r="G232" i="15"/>
  <c r="A232" i="15"/>
  <c r="N231" i="15"/>
  <c r="O231" i="15" s="1"/>
  <c r="L231" i="15"/>
  <c r="M231" i="15" s="1"/>
  <c r="K231" i="15"/>
  <c r="J231" i="15"/>
  <c r="H231" i="15"/>
  <c r="I231" i="15" s="1"/>
  <c r="G231" i="15"/>
  <c r="A231" i="15"/>
  <c r="N230" i="15"/>
  <c r="O230" i="15" s="1"/>
  <c r="L230" i="15"/>
  <c r="M230" i="15" s="1"/>
  <c r="K230" i="15"/>
  <c r="J230" i="15"/>
  <c r="H230" i="15"/>
  <c r="I230" i="15" s="1"/>
  <c r="G230" i="15"/>
  <c r="A230" i="15"/>
  <c r="N229" i="15"/>
  <c r="O229" i="15" s="1"/>
  <c r="L229" i="15"/>
  <c r="M229" i="15" s="1"/>
  <c r="K229" i="15"/>
  <c r="J229" i="15"/>
  <c r="H229" i="15"/>
  <c r="I229" i="15" s="1"/>
  <c r="G229" i="15"/>
  <c r="A229" i="15"/>
  <c r="N228" i="15"/>
  <c r="O228" i="15" s="1"/>
  <c r="L228" i="15"/>
  <c r="M228" i="15" s="1"/>
  <c r="K228" i="15"/>
  <c r="J228" i="15"/>
  <c r="H228" i="15"/>
  <c r="I228" i="15" s="1"/>
  <c r="G228" i="15"/>
  <c r="A228" i="15"/>
  <c r="N227" i="15"/>
  <c r="O227" i="15" s="1"/>
  <c r="L227" i="15"/>
  <c r="M227" i="15" s="1"/>
  <c r="K227" i="15"/>
  <c r="J227" i="15"/>
  <c r="H227" i="15"/>
  <c r="I227" i="15" s="1"/>
  <c r="G227" i="15"/>
  <c r="A227" i="15"/>
  <c r="N226" i="15"/>
  <c r="O226" i="15" s="1"/>
  <c r="L226" i="15"/>
  <c r="M226" i="15" s="1"/>
  <c r="K226" i="15"/>
  <c r="J226" i="15"/>
  <c r="H226" i="15"/>
  <c r="I226" i="15" s="1"/>
  <c r="G226" i="15"/>
  <c r="A226" i="15"/>
  <c r="N225" i="15"/>
  <c r="O225" i="15" s="1"/>
  <c r="L225" i="15"/>
  <c r="M225" i="15" s="1"/>
  <c r="K225" i="15"/>
  <c r="J225" i="15"/>
  <c r="H225" i="15"/>
  <c r="I225" i="15" s="1"/>
  <c r="G225" i="15"/>
  <c r="A225" i="15"/>
  <c r="N224" i="15"/>
  <c r="O224" i="15" s="1"/>
  <c r="L224" i="15"/>
  <c r="M224" i="15" s="1"/>
  <c r="K224" i="15"/>
  <c r="J224" i="15"/>
  <c r="H224" i="15"/>
  <c r="I224" i="15" s="1"/>
  <c r="G224" i="15"/>
  <c r="A224" i="15"/>
  <c r="O223" i="15"/>
  <c r="L223" i="15"/>
  <c r="M223" i="15" s="1"/>
  <c r="K223" i="15"/>
  <c r="J223" i="15"/>
  <c r="H223" i="15"/>
  <c r="I223" i="15" s="1"/>
  <c r="G223" i="15"/>
  <c r="A223" i="15"/>
  <c r="N222" i="15"/>
  <c r="O222" i="15" s="1"/>
  <c r="L222" i="15"/>
  <c r="M222" i="15" s="1"/>
  <c r="K222" i="15"/>
  <c r="J222" i="15"/>
  <c r="H222" i="15"/>
  <c r="I222" i="15" s="1"/>
  <c r="G222" i="15"/>
  <c r="A222" i="15"/>
  <c r="N221" i="15"/>
  <c r="O221" i="15" s="1"/>
  <c r="L221" i="15"/>
  <c r="M221" i="15" s="1"/>
  <c r="K221" i="15"/>
  <c r="J221" i="15"/>
  <c r="H221" i="15"/>
  <c r="I221" i="15" s="1"/>
  <c r="G221" i="15"/>
  <c r="A221" i="15"/>
  <c r="N220" i="15"/>
  <c r="O220" i="15" s="1"/>
  <c r="L220" i="15"/>
  <c r="M220" i="15" s="1"/>
  <c r="K220" i="15"/>
  <c r="J220" i="15"/>
  <c r="H220" i="15"/>
  <c r="I220" i="15" s="1"/>
  <c r="G220" i="15"/>
  <c r="A220" i="15"/>
  <c r="N219" i="15"/>
  <c r="O219" i="15" s="1"/>
  <c r="L219" i="15"/>
  <c r="M219" i="15" s="1"/>
  <c r="K219" i="15"/>
  <c r="J219" i="15"/>
  <c r="H219" i="15"/>
  <c r="I219" i="15" s="1"/>
  <c r="G219" i="15"/>
  <c r="A219" i="15"/>
  <c r="N218" i="15"/>
  <c r="O218" i="15" s="1"/>
  <c r="L218" i="15"/>
  <c r="M218" i="15" s="1"/>
  <c r="K218" i="15"/>
  <c r="J218" i="15"/>
  <c r="H218" i="15"/>
  <c r="I218" i="15" s="1"/>
  <c r="G218" i="15"/>
  <c r="A218" i="15"/>
  <c r="N217" i="15"/>
  <c r="O217" i="15" s="1"/>
  <c r="L217" i="15"/>
  <c r="M217" i="15" s="1"/>
  <c r="K217" i="15"/>
  <c r="J217" i="15"/>
  <c r="H217" i="15"/>
  <c r="I217" i="15" s="1"/>
  <c r="G217" i="15"/>
  <c r="A217" i="15"/>
  <c r="N216" i="15"/>
  <c r="O216" i="15" s="1"/>
  <c r="L216" i="15"/>
  <c r="M216" i="15" s="1"/>
  <c r="K216" i="15"/>
  <c r="J216" i="15"/>
  <c r="H216" i="15"/>
  <c r="I216" i="15" s="1"/>
  <c r="G216" i="15"/>
  <c r="A216" i="15"/>
  <c r="N215" i="15"/>
  <c r="O215" i="15" s="1"/>
  <c r="L215" i="15"/>
  <c r="M215" i="15" s="1"/>
  <c r="K215" i="15"/>
  <c r="J215" i="15"/>
  <c r="H215" i="15"/>
  <c r="I215" i="15" s="1"/>
  <c r="G215" i="15"/>
  <c r="A215" i="15"/>
  <c r="N214" i="15"/>
  <c r="O214" i="15" s="1"/>
  <c r="L214" i="15"/>
  <c r="M214" i="15" s="1"/>
  <c r="K214" i="15"/>
  <c r="J214" i="15"/>
  <c r="H214" i="15"/>
  <c r="I214" i="15" s="1"/>
  <c r="G214" i="15"/>
  <c r="A214" i="15"/>
  <c r="N213" i="15"/>
  <c r="O213" i="15" s="1"/>
  <c r="L213" i="15"/>
  <c r="M213" i="15" s="1"/>
  <c r="K213" i="15"/>
  <c r="J213" i="15"/>
  <c r="H213" i="15"/>
  <c r="I213" i="15" s="1"/>
  <c r="G213" i="15"/>
  <c r="A213" i="15"/>
  <c r="N212" i="15"/>
  <c r="O212" i="15" s="1"/>
  <c r="L212" i="15"/>
  <c r="M212" i="15" s="1"/>
  <c r="K212" i="15"/>
  <c r="J212" i="15"/>
  <c r="H212" i="15"/>
  <c r="I212" i="15" s="1"/>
  <c r="G212" i="15"/>
  <c r="A212" i="15"/>
  <c r="N211" i="15"/>
  <c r="O211" i="15" s="1"/>
  <c r="L211" i="15"/>
  <c r="M211" i="15" s="1"/>
  <c r="K211" i="15"/>
  <c r="J211" i="15"/>
  <c r="H211" i="15"/>
  <c r="I211" i="15" s="1"/>
  <c r="G211" i="15"/>
  <c r="A211" i="15"/>
  <c r="N210" i="15"/>
  <c r="O210" i="15" s="1"/>
  <c r="L210" i="15"/>
  <c r="M210" i="15" s="1"/>
  <c r="K210" i="15"/>
  <c r="J210" i="15"/>
  <c r="H210" i="15"/>
  <c r="I210" i="15" s="1"/>
  <c r="G210" i="15"/>
  <c r="A210" i="15"/>
  <c r="N209" i="15"/>
  <c r="O209" i="15" s="1"/>
  <c r="L209" i="15"/>
  <c r="M209" i="15" s="1"/>
  <c r="K209" i="15"/>
  <c r="J209" i="15"/>
  <c r="H209" i="15"/>
  <c r="I209" i="15" s="1"/>
  <c r="G209" i="15"/>
  <c r="A209" i="15"/>
  <c r="N208" i="15"/>
  <c r="O208" i="15" s="1"/>
  <c r="L208" i="15"/>
  <c r="M208" i="15" s="1"/>
  <c r="K208" i="15"/>
  <c r="J208" i="15"/>
  <c r="H208" i="15"/>
  <c r="I208" i="15" s="1"/>
  <c r="G208" i="15"/>
  <c r="A208" i="15"/>
  <c r="N207" i="15"/>
  <c r="O207" i="15" s="1"/>
  <c r="L207" i="15"/>
  <c r="M207" i="15" s="1"/>
  <c r="K207" i="15"/>
  <c r="J207" i="15"/>
  <c r="H207" i="15"/>
  <c r="I207" i="15" s="1"/>
  <c r="G207" i="15"/>
  <c r="A207" i="15"/>
  <c r="N206" i="15"/>
  <c r="O206" i="15" s="1"/>
  <c r="L206" i="15"/>
  <c r="M206" i="15" s="1"/>
  <c r="K206" i="15"/>
  <c r="J206" i="15"/>
  <c r="H206" i="15"/>
  <c r="I206" i="15" s="1"/>
  <c r="G206" i="15"/>
  <c r="A206" i="15"/>
  <c r="N205" i="15"/>
  <c r="O205" i="15" s="1"/>
  <c r="L205" i="15"/>
  <c r="M205" i="15" s="1"/>
  <c r="K205" i="15"/>
  <c r="J205" i="15"/>
  <c r="H205" i="15"/>
  <c r="I205" i="15" s="1"/>
  <c r="G205" i="15"/>
  <c r="A205" i="15"/>
  <c r="N204" i="15"/>
  <c r="O204" i="15" s="1"/>
  <c r="L204" i="15"/>
  <c r="M204" i="15" s="1"/>
  <c r="K204" i="15"/>
  <c r="J204" i="15"/>
  <c r="H204" i="15"/>
  <c r="I204" i="15" s="1"/>
  <c r="G204" i="15"/>
  <c r="A204" i="15"/>
  <c r="N203" i="15"/>
  <c r="O203" i="15" s="1"/>
  <c r="L203" i="15"/>
  <c r="M203" i="15" s="1"/>
  <c r="K203" i="15"/>
  <c r="J203" i="15"/>
  <c r="H203" i="15"/>
  <c r="I203" i="15" s="1"/>
  <c r="G203" i="15"/>
  <c r="A203" i="15"/>
  <c r="N202" i="15"/>
  <c r="O202" i="15" s="1"/>
  <c r="L202" i="15"/>
  <c r="M202" i="15" s="1"/>
  <c r="K202" i="15"/>
  <c r="J202" i="15"/>
  <c r="H202" i="15"/>
  <c r="I202" i="15" s="1"/>
  <c r="G202" i="15"/>
  <c r="A202" i="15"/>
  <c r="N201" i="15"/>
  <c r="O201" i="15" s="1"/>
  <c r="L201" i="15"/>
  <c r="M201" i="15" s="1"/>
  <c r="K201" i="15"/>
  <c r="J201" i="15"/>
  <c r="H201" i="15"/>
  <c r="I201" i="15" s="1"/>
  <c r="G201" i="15"/>
  <c r="A201" i="15"/>
  <c r="N200" i="15"/>
  <c r="O200" i="15" s="1"/>
  <c r="L200" i="15"/>
  <c r="M200" i="15" s="1"/>
  <c r="K200" i="15"/>
  <c r="J200" i="15"/>
  <c r="H200" i="15"/>
  <c r="I200" i="15" s="1"/>
  <c r="G200" i="15"/>
  <c r="A200" i="15"/>
  <c r="N199" i="15"/>
  <c r="O199" i="15" s="1"/>
  <c r="L199" i="15"/>
  <c r="M199" i="15" s="1"/>
  <c r="K199" i="15"/>
  <c r="J199" i="15"/>
  <c r="H199" i="15"/>
  <c r="I199" i="15" s="1"/>
  <c r="G199" i="15"/>
  <c r="A199" i="15"/>
  <c r="N198" i="15"/>
  <c r="O198" i="15" s="1"/>
  <c r="L198" i="15"/>
  <c r="M198" i="15" s="1"/>
  <c r="K198" i="15"/>
  <c r="J198" i="15"/>
  <c r="H198" i="15"/>
  <c r="I198" i="15" s="1"/>
  <c r="G198" i="15"/>
  <c r="A198" i="15"/>
  <c r="N197" i="15"/>
  <c r="O197" i="15" s="1"/>
  <c r="L197" i="15"/>
  <c r="M197" i="15" s="1"/>
  <c r="K197" i="15"/>
  <c r="J197" i="15"/>
  <c r="H197" i="15"/>
  <c r="I197" i="15" s="1"/>
  <c r="G197" i="15"/>
  <c r="A197" i="15"/>
  <c r="N196" i="15"/>
  <c r="O196" i="15" s="1"/>
  <c r="L196" i="15"/>
  <c r="M196" i="15" s="1"/>
  <c r="K196" i="15"/>
  <c r="J196" i="15"/>
  <c r="H196" i="15"/>
  <c r="I196" i="15" s="1"/>
  <c r="G196" i="15"/>
  <c r="A196" i="15"/>
  <c r="N195" i="15"/>
  <c r="O195" i="15" s="1"/>
  <c r="L195" i="15"/>
  <c r="M195" i="15" s="1"/>
  <c r="K195" i="15"/>
  <c r="J195" i="15"/>
  <c r="H195" i="15"/>
  <c r="I195" i="15" s="1"/>
  <c r="G195" i="15"/>
  <c r="A195" i="15"/>
  <c r="N194" i="15"/>
  <c r="O194" i="15" s="1"/>
  <c r="L194" i="15"/>
  <c r="M194" i="15" s="1"/>
  <c r="K194" i="15"/>
  <c r="J194" i="15"/>
  <c r="H194" i="15"/>
  <c r="I194" i="15" s="1"/>
  <c r="G194" i="15"/>
  <c r="A194" i="15"/>
  <c r="N193" i="15"/>
  <c r="O193" i="15" s="1"/>
  <c r="L193" i="15"/>
  <c r="M193" i="15" s="1"/>
  <c r="K193" i="15"/>
  <c r="J193" i="15"/>
  <c r="H193" i="15"/>
  <c r="I193" i="15" s="1"/>
  <c r="G193" i="15"/>
  <c r="A193" i="15"/>
  <c r="N192" i="15"/>
  <c r="O192" i="15" s="1"/>
  <c r="L192" i="15"/>
  <c r="M192" i="15" s="1"/>
  <c r="K192" i="15"/>
  <c r="J192" i="15"/>
  <c r="H192" i="15"/>
  <c r="I192" i="15" s="1"/>
  <c r="G192" i="15"/>
  <c r="A192" i="15"/>
  <c r="N191" i="15"/>
  <c r="O191" i="15" s="1"/>
  <c r="L191" i="15"/>
  <c r="M191" i="15" s="1"/>
  <c r="K191" i="15"/>
  <c r="J191" i="15"/>
  <c r="H191" i="15"/>
  <c r="I191" i="15" s="1"/>
  <c r="G191" i="15"/>
  <c r="A191" i="15"/>
  <c r="N190" i="15"/>
  <c r="O190" i="15" s="1"/>
  <c r="L190" i="15"/>
  <c r="M190" i="15" s="1"/>
  <c r="K190" i="15"/>
  <c r="J190" i="15"/>
  <c r="H190" i="15"/>
  <c r="I190" i="15" s="1"/>
  <c r="G190" i="15"/>
  <c r="A190" i="15"/>
  <c r="N189" i="15"/>
  <c r="O189" i="15" s="1"/>
  <c r="L189" i="15"/>
  <c r="M189" i="15" s="1"/>
  <c r="K189" i="15"/>
  <c r="J189" i="15"/>
  <c r="H189" i="15"/>
  <c r="I189" i="15" s="1"/>
  <c r="G189" i="15"/>
  <c r="A189" i="15"/>
  <c r="N188" i="15"/>
  <c r="O188" i="15" s="1"/>
  <c r="L188" i="15"/>
  <c r="M188" i="15" s="1"/>
  <c r="K188" i="15"/>
  <c r="J188" i="15"/>
  <c r="H188" i="15"/>
  <c r="I188" i="15" s="1"/>
  <c r="G188" i="15"/>
  <c r="A188" i="15"/>
  <c r="N187" i="15"/>
  <c r="O187" i="15" s="1"/>
  <c r="L187" i="15"/>
  <c r="M187" i="15" s="1"/>
  <c r="K187" i="15"/>
  <c r="J187" i="15"/>
  <c r="H187" i="15"/>
  <c r="I187" i="15" s="1"/>
  <c r="G187" i="15"/>
  <c r="A187" i="15"/>
  <c r="N186" i="15"/>
  <c r="O186" i="15" s="1"/>
  <c r="L186" i="15"/>
  <c r="M186" i="15" s="1"/>
  <c r="K186" i="15"/>
  <c r="J186" i="15"/>
  <c r="H186" i="15"/>
  <c r="I186" i="15" s="1"/>
  <c r="G186" i="15"/>
  <c r="A186" i="15"/>
  <c r="N185" i="15"/>
  <c r="O185" i="15" s="1"/>
  <c r="L185" i="15"/>
  <c r="M185" i="15" s="1"/>
  <c r="K185" i="15"/>
  <c r="J185" i="15"/>
  <c r="H185" i="15"/>
  <c r="I185" i="15" s="1"/>
  <c r="G185" i="15"/>
  <c r="A185" i="15"/>
  <c r="N184" i="15"/>
  <c r="O184" i="15" s="1"/>
  <c r="L184" i="15"/>
  <c r="M184" i="15" s="1"/>
  <c r="K184" i="15"/>
  <c r="J184" i="15"/>
  <c r="H184" i="15"/>
  <c r="I184" i="15" s="1"/>
  <c r="G184" i="15"/>
  <c r="A184" i="15"/>
  <c r="N183" i="15"/>
  <c r="O183" i="15" s="1"/>
  <c r="L183" i="15"/>
  <c r="M183" i="15" s="1"/>
  <c r="K183" i="15"/>
  <c r="J183" i="15"/>
  <c r="H183" i="15"/>
  <c r="I183" i="15" s="1"/>
  <c r="G183" i="15"/>
  <c r="A183" i="15"/>
  <c r="N182" i="15"/>
  <c r="O182" i="15" s="1"/>
  <c r="L182" i="15"/>
  <c r="M182" i="15" s="1"/>
  <c r="K182" i="15"/>
  <c r="J182" i="15"/>
  <c r="H182" i="15"/>
  <c r="I182" i="15" s="1"/>
  <c r="G182" i="15"/>
  <c r="A182" i="15"/>
  <c r="N181" i="15"/>
  <c r="O181" i="15" s="1"/>
  <c r="L181" i="15"/>
  <c r="M181" i="15" s="1"/>
  <c r="K181" i="15"/>
  <c r="J181" i="15"/>
  <c r="H181" i="15"/>
  <c r="I181" i="15" s="1"/>
  <c r="G181" i="15"/>
  <c r="A181" i="15"/>
  <c r="N180" i="15"/>
  <c r="O180" i="15" s="1"/>
  <c r="L180" i="15"/>
  <c r="M180" i="15" s="1"/>
  <c r="K180" i="15"/>
  <c r="J180" i="15"/>
  <c r="H180" i="15"/>
  <c r="I180" i="15" s="1"/>
  <c r="G180" i="15"/>
  <c r="A180" i="15"/>
  <c r="N179" i="15"/>
  <c r="O179" i="15" s="1"/>
  <c r="L179" i="15"/>
  <c r="M179" i="15" s="1"/>
  <c r="K179" i="15"/>
  <c r="J179" i="15"/>
  <c r="H179" i="15"/>
  <c r="I179" i="15" s="1"/>
  <c r="G179" i="15"/>
  <c r="A179" i="15"/>
  <c r="N178" i="15"/>
  <c r="O178" i="15" s="1"/>
  <c r="L178" i="15"/>
  <c r="M178" i="15" s="1"/>
  <c r="K178" i="15"/>
  <c r="J178" i="15"/>
  <c r="H178" i="15"/>
  <c r="I178" i="15" s="1"/>
  <c r="G178" i="15"/>
  <c r="A178" i="15"/>
  <c r="N177" i="15"/>
  <c r="O177" i="15" s="1"/>
  <c r="L177" i="15"/>
  <c r="M177" i="15" s="1"/>
  <c r="K177" i="15"/>
  <c r="J177" i="15"/>
  <c r="H177" i="15"/>
  <c r="I177" i="15" s="1"/>
  <c r="G177" i="15"/>
  <c r="A177" i="15"/>
  <c r="N176" i="15"/>
  <c r="O176" i="15" s="1"/>
  <c r="L176" i="15"/>
  <c r="M176" i="15" s="1"/>
  <c r="K176" i="15"/>
  <c r="J176" i="15"/>
  <c r="H176" i="15"/>
  <c r="I176" i="15" s="1"/>
  <c r="G176" i="15"/>
  <c r="A176" i="15"/>
  <c r="N175" i="15"/>
  <c r="O175" i="15" s="1"/>
  <c r="L175" i="15"/>
  <c r="M175" i="15" s="1"/>
  <c r="K175" i="15"/>
  <c r="J175" i="15"/>
  <c r="H175" i="15"/>
  <c r="I175" i="15" s="1"/>
  <c r="G175" i="15"/>
  <c r="A175" i="15"/>
  <c r="N174" i="15"/>
  <c r="O174" i="15" s="1"/>
  <c r="L174" i="15"/>
  <c r="M174" i="15" s="1"/>
  <c r="K174" i="15"/>
  <c r="J174" i="15"/>
  <c r="H174" i="15"/>
  <c r="I174" i="15" s="1"/>
  <c r="G174" i="15"/>
  <c r="A174" i="15"/>
  <c r="N173" i="15"/>
  <c r="O173" i="15" s="1"/>
  <c r="L173" i="15"/>
  <c r="M173" i="15" s="1"/>
  <c r="K173" i="15"/>
  <c r="J173" i="15"/>
  <c r="H173" i="15"/>
  <c r="I173" i="15" s="1"/>
  <c r="G173" i="15"/>
  <c r="A173" i="15"/>
  <c r="N172" i="15"/>
  <c r="O172" i="15" s="1"/>
  <c r="L172" i="15"/>
  <c r="M172" i="15" s="1"/>
  <c r="K172" i="15"/>
  <c r="J172" i="15"/>
  <c r="H172" i="15"/>
  <c r="I172" i="15" s="1"/>
  <c r="G172" i="15"/>
  <c r="A172" i="15"/>
  <c r="N171" i="15"/>
  <c r="O171" i="15" s="1"/>
  <c r="L171" i="15"/>
  <c r="M171" i="15" s="1"/>
  <c r="K171" i="15"/>
  <c r="J171" i="15"/>
  <c r="H171" i="15"/>
  <c r="I171" i="15" s="1"/>
  <c r="G171" i="15"/>
  <c r="A171" i="15"/>
  <c r="N170" i="15"/>
  <c r="O170" i="15" s="1"/>
  <c r="L170" i="15"/>
  <c r="M170" i="15" s="1"/>
  <c r="K170" i="15"/>
  <c r="J170" i="15"/>
  <c r="H170" i="15"/>
  <c r="I170" i="15" s="1"/>
  <c r="G170" i="15"/>
  <c r="A170" i="15"/>
  <c r="N169" i="15"/>
  <c r="O169" i="15" s="1"/>
  <c r="L169" i="15"/>
  <c r="M169" i="15" s="1"/>
  <c r="K169" i="15"/>
  <c r="J169" i="15"/>
  <c r="H169" i="15"/>
  <c r="I169" i="15" s="1"/>
  <c r="G169" i="15"/>
  <c r="A169" i="15"/>
  <c r="N168" i="15"/>
  <c r="O168" i="15" s="1"/>
  <c r="L168" i="15"/>
  <c r="M168" i="15" s="1"/>
  <c r="K168" i="15"/>
  <c r="J168" i="15"/>
  <c r="H168" i="15"/>
  <c r="I168" i="15" s="1"/>
  <c r="G168" i="15"/>
  <c r="A168" i="15"/>
  <c r="N167" i="15"/>
  <c r="O167" i="15" s="1"/>
  <c r="L167" i="15"/>
  <c r="M167" i="15" s="1"/>
  <c r="K167" i="15"/>
  <c r="J167" i="15"/>
  <c r="H167" i="15"/>
  <c r="I167" i="15" s="1"/>
  <c r="G167" i="15"/>
  <c r="A167" i="15"/>
  <c r="N166" i="15"/>
  <c r="O166" i="15" s="1"/>
  <c r="L166" i="15"/>
  <c r="M166" i="15" s="1"/>
  <c r="K166" i="15"/>
  <c r="J166" i="15"/>
  <c r="H166" i="15"/>
  <c r="I166" i="15" s="1"/>
  <c r="G166" i="15"/>
  <c r="A166" i="15"/>
  <c r="N165" i="15"/>
  <c r="O165" i="15" s="1"/>
  <c r="L165" i="15"/>
  <c r="M165" i="15" s="1"/>
  <c r="K165" i="15"/>
  <c r="J165" i="15"/>
  <c r="H165" i="15"/>
  <c r="I165" i="15" s="1"/>
  <c r="G165" i="15"/>
  <c r="A165" i="15"/>
  <c r="N164" i="15"/>
  <c r="O164" i="15" s="1"/>
  <c r="L164" i="15"/>
  <c r="M164" i="15" s="1"/>
  <c r="K164" i="15"/>
  <c r="J164" i="15"/>
  <c r="H164" i="15"/>
  <c r="I164" i="15" s="1"/>
  <c r="G164" i="15"/>
  <c r="A164" i="15"/>
  <c r="N163" i="15"/>
  <c r="O163" i="15" s="1"/>
  <c r="L163" i="15"/>
  <c r="M163" i="15" s="1"/>
  <c r="K163" i="15"/>
  <c r="J163" i="15"/>
  <c r="H163" i="15"/>
  <c r="I163" i="15" s="1"/>
  <c r="G163" i="15"/>
  <c r="A163" i="15"/>
  <c r="N162" i="15"/>
  <c r="O162" i="15" s="1"/>
  <c r="L162" i="15"/>
  <c r="M162" i="15" s="1"/>
  <c r="K162" i="15"/>
  <c r="J162" i="15"/>
  <c r="H162" i="15"/>
  <c r="I162" i="15" s="1"/>
  <c r="G162" i="15"/>
  <c r="A162" i="15"/>
  <c r="N161" i="15"/>
  <c r="O161" i="15" s="1"/>
  <c r="L161" i="15"/>
  <c r="M161" i="15" s="1"/>
  <c r="K161" i="15"/>
  <c r="J161" i="15"/>
  <c r="H161" i="15"/>
  <c r="I161" i="15" s="1"/>
  <c r="G161" i="15"/>
  <c r="A161" i="15"/>
  <c r="N160" i="15"/>
  <c r="O160" i="15" s="1"/>
  <c r="L160" i="15"/>
  <c r="M160" i="15" s="1"/>
  <c r="K160" i="15"/>
  <c r="J160" i="15"/>
  <c r="H160" i="15"/>
  <c r="I160" i="15" s="1"/>
  <c r="G160" i="15"/>
  <c r="A160" i="15"/>
  <c r="N159" i="15"/>
  <c r="O159" i="15" s="1"/>
  <c r="L159" i="15"/>
  <c r="M159" i="15" s="1"/>
  <c r="K159" i="15"/>
  <c r="J159" i="15"/>
  <c r="H159" i="15"/>
  <c r="I159" i="15" s="1"/>
  <c r="G159" i="15"/>
  <c r="A159" i="15"/>
  <c r="N158" i="15"/>
  <c r="O158" i="15" s="1"/>
  <c r="L158" i="15"/>
  <c r="M158" i="15" s="1"/>
  <c r="K158" i="15"/>
  <c r="J158" i="15"/>
  <c r="H158" i="15"/>
  <c r="I158" i="15" s="1"/>
  <c r="G158" i="15"/>
  <c r="A158" i="15"/>
  <c r="N157" i="15"/>
  <c r="O157" i="15" s="1"/>
  <c r="L157" i="15"/>
  <c r="M157" i="15" s="1"/>
  <c r="K157" i="15"/>
  <c r="J157" i="15"/>
  <c r="H157" i="15"/>
  <c r="I157" i="15" s="1"/>
  <c r="G157" i="15"/>
  <c r="A157" i="15"/>
  <c r="N156" i="15"/>
  <c r="O156" i="15" s="1"/>
  <c r="L156" i="15"/>
  <c r="M156" i="15" s="1"/>
  <c r="K156" i="15"/>
  <c r="J156" i="15"/>
  <c r="H156" i="15"/>
  <c r="I156" i="15" s="1"/>
  <c r="G156" i="15"/>
  <c r="A156" i="15"/>
  <c r="N155" i="15"/>
  <c r="O155" i="15" s="1"/>
  <c r="L155" i="15"/>
  <c r="M155" i="15" s="1"/>
  <c r="K155" i="15"/>
  <c r="J155" i="15"/>
  <c r="H155" i="15"/>
  <c r="I155" i="15" s="1"/>
  <c r="G155" i="15"/>
  <c r="A155" i="15"/>
  <c r="N154" i="15"/>
  <c r="O154" i="15" s="1"/>
  <c r="L154" i="15"/>
  <c r="M154" i="15" s="1"/>
  <c r="K154" i="15"/>
  <c r="J154" i="15"/>
  <c r="H154" i="15"/>
  <c r="I154" i="15" s="1"/>
  <c r="G154" i="15"/>
  <c r="A154" i="15"/>
  <c r="N153" i="15"/>
  <c r="O153" i="15" s="1"/>
  <c r="L153" i="15"/>
  <c r="M153" i="15" s="1"/>
  <c r="K153" i="15"/>
  <c r="J153" i="15"/>
  <c r="H153" i="15"/>
  <c r="I153" i="15" s="1"/>
  <c r="G153" i="15"/>
  <c r="A153" i="15"/>
  <c r="A157" i="4" s="1"/>
  <c r="N152" i="15"/>
  <c r="O152" i="15" s="1"/>
  <c r="L152" i="15"/>
  <c r="M152" i="15" s="1"/>
  <c r="K152" i="15"/>
  <c r="J152" i="15"/>
  <c r="H152" i="15"/>
  <c r="I152" i="15" s="1"/>
  <c r="G152" i="15"/>
  <c r="A152" i="15"/>
  <c r="A156" i="4" s="1"/>
  <c r="N151" i="15"/>
  <c r="O151" i="15" s="1"/>
  <c r="L151" i="15"/>
  <c r="M151" i="15" s="1"/>
  <c r="K151" i="15"/>
  <c r="J151" i="15"/>
  <c r="H151" i="15"/>
  <c r="I151" i="15" s="1"/>
  <c r="G151" i="15"/>
  <c r="A151" i="15"/>
  <c r="A155" i="4" s="1"/>
  <c r="N150" i="15"/>
  <c r="O150" i="15" s="1"/>
  <c r="L150" i="15"/>
  <c r="M150" i="15" s="1"/>
  <c r="K150" i="15"/>
  <c r="J150" i="15"/>
  <c r="H150" i="15"/>
  <c r="I150" i="15" s="1"/>
  <c r="G150" i="15"/>
  <c r="A150" i="15"/>
  <c r="A154" i="4" s="1"/>
  <c r="N149" i="15"/>
  <c r="O149" i="15" s="1"/>
  <c r="L149" i="15"/>
  <c r="M149" i="15" s="1"/>
  <c r="K149" i="15"/>
  <c r="J149" i="15"/>
  <c r="C149" i="15" s="1"/>
  <c r="H149" i="15"/>
  <c r="G149" i="15"/>
  <c r="N148" i="15"/>
  <c r="O148" i="15" s="1"/>
  <c r="L148" i="15"/>
  <c r="M148" i="15" s="1"/>
  <c r="K148" i="15"/>
  <c r="J148" i="15"/>
  <c r="C148" i="15" s="1"/>
  <c r="H148" i="15"/>
  <c r="G148" i="15"/>
  <c r="N147" i="15"/>
  <c r="O147" i="15" s="1"/>
  <c r="L147" i="15"/>
  <c r="M147" i="15" s="1"/>
  <c r="K147" i="15"/>
  <c r="J147" i="15"/>
  <c r="C147" i="15" s="1"/>
  <c r="H147" i="15"/>
  <c r="G147" i="15"/>
  <c r="N146" i="15"/>
  <c r="O146" i="15" s="1"/>
  <c r="L146" i="15"/>
  <c r="M146" i="15" s="1"/>
  <c r="K146" i="15"/>
  <c r="J146" i="15"/>
  <c r="C146" i="15" s="1"/>
  <c r="H146" i="15"/>
  <c r="G146" i="15"/>
  <c r="N145" i="15"/>
  <c r="O145" i="15" s="1"/>
  <c r="L145" i="15"/>
  <c r="M145" i="15" s="1"/>
  <c r="K145" i="15"/>
  <c r="J145" i="15"/>
  <c r="C145" i="15" s="1"/>
  <c r="H145" i="15"/>
  <c r="G145" i="15"/>
  <c r="N144" i="15"/>
  <c r="O144" i="15" s="1"/>
  <c r="L144" i="15"/>
  <c r="M144" i="15" s="1"/>
  <c r="K144" i="15"/>
  <c r="J144" i="15"/>
  <c r="C144" i="15" s="1"/>
  <c r="H144" i="15"/>
  <c r="G144" i="15"/>
  <c r="N143" i="15"/>
  <c r="O143" i="15" s="1"/>
  <c r="L143" i="15"/>
  <c r="M143" i="15" s="1"/>
  <c r="K143" i="15"/>
  <c r="J143" i="15"/>
  <c r="C143" i="15" s="1"/>
  <c r="H143" i="15"/>
  <c r="G143" i="15"/>
  <c r="N142" i="15"/>
  <c r="O142" i="15" s="1"/>
  <c r="L142" i="15"/>
  <c r="M142" i="15" s="1"/>
  <c r="K142" i="15"/>
  <c r="J142" i="15"/>
  <c r="C142" i="15" s="1"/>
  <c r="H142" i="15"/>
  <c r="G142" i="15"/>
  <c r="N141" i="15"/>
  <c r="O141" i="15" s="1"/>
  <c r="L141" i="15"/>
  <c r="M141" i="15" s="1"/>
  <c r="K141" i="15"/>
  <c r="J141" i="15"/>
  <c r="C141" i="15" s="1"/>
  <c r="H141" i="15"/>
  <c r="G141" i="15"/>
  <c r="N140" i="15"/>
  <c r="O140" i="15" s="1"/>
  <c r="L140" i="15"/>
  <c r="M140" i="15" s="1"/>
  <c r="K140" i="15"/>
  <c r="J140" i="15"/>
  <c r="H140" i="15"/>
  <c r="I140" i="15" s="1"/>
  <c r="G140" i="15"/>
  <c r="A140" i="15"/>
  <c r="A144" i="4" s="1"/>
  <c r="N139" i="15"/>
  <c r="O139" i="15" s="1"/>
  <c r="L139" i="15"/>
  <c r="M139" i="15" s="1"/>
  <c r="K139" i="15"/>
  <c r="J139" i="15"/>
  <c r="C139" i="15" s="1"/>
  <c r="H139" i="15"/>
  <c r="G139" i="15"/>
  <c r="N138" i="15"/>
  <c r="O138" i="15" s="1"/>
  <c r="L138" i="15"/>
  <c r="M138" i="15" s="1"/>
  <c r="K138" i="15"/>
  <c r="J138" i="15"/>
  <c r="H138" i="15"/>
  <c r="G138" i="15"/>
  <c r="N137" i="15"/>
  <c r="O137" i="15" s="1"/>
  <c r="L137" i="15"/>
  <c r="M137" i="15" s="1"/>
  <c r="K137" i="15"/>
  <c r="J137" i="15"/>
  <c r="C137" i="15" s="1"/>
  <c r="H137" i="15"/>
  <c r="G137" i="15"/>
  <c r="N136" i="15"/>
  <c r="O136" i="15" s="1"/>
  <c r="L136" i="15"/>
  <c r="M136" i="15" s="1"/>
  <c r="K136" i="15"/>
  <c r="J136" i="15"/>
  <c r="H136" i="15"/>
  <c r="G136" i="15"/>
  <c r="N135" i="15"/>
  <c r="O135" i="15" s="1"/>
  <c r="L135" i="15"/>
  <c r="M135" i="15" s="1"/>
  <c r="K135" i="15"/>
  <c r="J135" i="15"/>
  <c r="C135" i="15" s="1"/>
  <c r="H135" i="15"/>
  <c r="G135" i="15"/>
  <c r="N134" i="15"/>
  <c r="O134" i="15" s="1"/>
  <c r="L134" i="15"/>
  <c r="M134" i="15" s="1"/>
  <c r="K134" i="15"/>
  <c r="J134" i="15"/>
  <c r="C134" i="15" s="1"/>
  <c r="H134" i="15"/>
  <c r="G134" i="15"/>
  <c r="N133" i="15"/>
  <c r="O133" i="15" s="1"/>
  <c r="L133" i="15"/>
  <c r="M133" i="15" s="1"/>
  <c r="K133" i="15"/>
  <c r="J133" i="15"/>
  <c r="C133" i="15" s="1"/>
  <c r="H133" i="15"/>
  <c r="G133" i="15"/>
  <c r="N132" i="15"/>
  <c r="O132" i="15" s="1"/>
  <c r="L132" i="15"/>
  <c r="M132" i="15" s="1"/>
  <c r="K132" i="15"/>
  <c r="J132" i="15"/>
  <c r="H132" i="15"/>
  <c r="G132" i="15"/>
  <c r="N131" i="15"/>
  <c r="O131" i="15" s="1"/>
  <c r="L131" i="15"/>
  <c r="M131" i="15" s="1"/>
  <c r="K131" i="15"/>
  <c r="J131" i="15"/>
  <c r="H131" i="15"/>
  <c r="G131" i="15"/>
  <c r="N130" i="15"/>
  <c r="O130" i="15" s="1"/>
  <c r="L130" i="15"/>
  <c r="M130" i="15" s="1"/>
  <c r="K130" i="15"/>
  <c r="J130" i="15"/>
  <c r="H130" i="15"/>
  <c r="G130" i="15"/>
  <c r="N129" i="15"/>
  <c r="O129" i="15" s="1"/>
  <c r="L129" i="15"/>
  <c r="M129" i="15" s="1"/>
  <c r="K129" i="15"/>
  <c r="J129" i="15"/>
  <c r="H129" i="15"/>
  <c r="G129" i="15"/>
  <c r="N128" i="15"/>
  <c r="O128" i="15" s="1"/>
  <c r="L128" i="15"/>
  <c r="M128" i="15" s="1"/>
  <c r="K128" i="15"/>
  <c r="J128" i="15"/>
  <c r="C128" i="15" s="1"/>
  <c r="H128" i="15"/>
  <c r="G128" i="15"/>
  <c r="N127" i="15"/>
  <c r="O127" i="15" s="1"/>
  <c r="L127" i="15"/>
  <c r="M127" i="15" s="1"/>
  <c r="K127" i="15"/>
  <c r="J127" i="15"/>
  <c r="H127" i="15"/>
  <c r="G127" i="15"/>
  <c r="N126" i="15"/>
  <c r="O126" i="15" s="1"/>
  <c r="L126" i="15"/>
  <c r="M126" i="15" s="1"/>
  <c r="K126" i="15"/>
  <c r="J126" i="15"/>
  <c r="C126" i="15" s="1"/>
  <c r="H126" i="15"/>
  <c r="G126" i="15"/>
  <c r="N125" i="15"/>
  <c r="O125" i="15" s="1"/>
  <c r="L125" i="15"/>
  <c r="M125" i="15" s="1"/>
  <c r="K125" i="15"/>
  <c r="J125" i="15"/>
  <c r="H125" i="15"/>
  <c r="G125" i="15"/>
  <c r="N124" i="15"/>
  <c r="O124" i="15" s="1"/>
  <c r="L124" i="15"/>
  <c r="M124" i="15" s="1"/>
  <c r="K124" i="15"/>
  <c r="J124" i="15"/>
  <c r="H124" i="15"/>
  <c r="G124" i="15"/>
  <c r="N123" i="15"/>
  <c r="O123" i="15" s="1"/>
  <c r="L123" i="15"/>
  <c r="M123" i="15" s="1"/>
  <c r="K123" i="15"/>
  <c r="J123" i="15"/>
  <c r="H123" i="15"/>
  <c r="G123" i="15"/>
  <c r="N122" i="15"/>
  <c r="O122" i="15" s="1"/>
  <c r="L122" i="15"/>
  <c r="M122" i="15" s="1"/>
  <c r="K122" i="15"/>
  <c r="J122" i="15"/>
  <c r="H122" i="15"/>
  <c r="G122" i="15"/>
  <c r="N121" i="15"/>
  <c r="O121" i="15" s="1"/>
  <c r="L121" i="15"/>
  <c r="M121" i="15" s="1"/>
  <c r="K121" i="15"/>
  <c r="J121" i="15"/>
  <c r="H121" i="15"/>
  <c r="G121" i="15"/>
  <c r="N120" i="15"/>
  <c r="O120" i="15" s="1"/>
  <c r="L120" i="15"/>
  <c r="M120" i="15" s="1"/>
  <c r="K120" i="15"/>
  <c r="J120" i="15"/>
  <c r="C120" i="15" s="1"/>
  <c r="H120" i="15"/>
  <c r="G120" i="15"/>
  <c r="N119" i="15"/>
  <c r="O119" i="15" s="1"/>
  <c r="L119" i="15"/>
  <c r="M119" i="15" s="1"/>
  <c r="K119" i="15"/>
  <c r="J119" i="15"/>
  <c r="H119" i="15"/>
  <c r="G119" i="15"/>
  <c r="N118" i="15"/>
  <c r="O118" i="15" s="1"/>
  <c r="L118" i="15"/>
  <c r="M118" i="15" s="1"/>
  <c r="K118" i="15"/>
  <c r="J118" i="15"/>
  <c r="C118" i="15" s="1"/>
  <c r="H118" i="15"/>
  <c r="G118" i="15"/>
  <c r="N117" i="15"/>
  <c r="O117" i="15" s="1"/>
  <c r="L117" i="15"/>
  <c r="M117" i="15" s="1"/>
  <c r="K117" i="15"/>
  <c r="J117" i="15"/>
  <c r="C117" i="15" s="1"/>
  <c r="H117" i="15"/>
  <c r="G117" i="15"/>
  <c r="N116" i="15"/>
  <c r="O116" i="15" s="1"/>
  <c r="L116" i="15"/>
  <c r="M116" i="15" s="1"/>
  <c r="K116" i="15"/>
  <c r="J116" i="15"/>
  <c r="H116" i="15"/>
  <c r="G116" i="15"/>
  <c r="N115" i="15"/>
  <c r="O115" i="15" s="1"/>
  <c r="L115" i="15"/>
  <c r="M115" i="15" s="1"/>
  <c r="K115" i="15"/>
  <c r="J115" i="15"/>
  <c r="C115" i="15" s="1"/>
  <c r="H115" i="15"/>
  <c r="G115" i="15"/>
  <c r="N114" i="15"/>
  <c r="O114" i="15" s="1"/>
  <c r="L114" i="15"/>
  <c r="M114" i="15" s="1"/>
  <c r="K114" i="15"/>
  <c r="J114" i="15"/>
  <c r="C114" i="15" s="1"/>
  <c r="H114" i="15"/>
  <c r="G114" i="15"/>
  <c r="N113" i="15"/>
  <c r="O113" i="15" s="1"/>
  <c r="L113" i="15"/>
  <c r="M113" i="15" s="1"/>
  <c r="K113" i="15"/>
  <c r="C113" i="15" s="1"/>
  <c r="J113" i="15"/>
  <c r="H113" i="15"/>
  <c r="G113" i="15"/>
  <c r="N112" i="15"/>
  <c r="O112" i="15" s="1"/>
  <c r="L112" i="15"/>
  <c r="M112" i="15" s="1"/>
  <c r="K112" i="15"/>
  <c r="J112" i="15"/>
  <c r="H112" i="15"/>
  <c r="G112" i="15"/>
  <c r="N111" i="15"/>
  <c r="O111" i="15" s="1"/>
  <c r="L111" i="15"/>
  <c r="M111" i="15" s="1"/>
  <c r="K111" i="15"/>
  <c r="J111" i="15"/>
  <c r="H111" i="15"/>
  <c r="I111" i="15" s="1"/>
  <c r="G111" i="15"/>
  <c r="A111" i="15"/>
  <c r="N110" i="15"/>
  <c r="O110" i="15" s="1"/>
  <c r="L110" i="15"/>
  <c r="M110" i="15" s="1"/>
  <c r="K110" i="15"/>
  <c r="J110" i="15"/>
  <c r="H110" i="15"/>
  <c r="I110" i="15" s="1"/>
  <c r="G110" i="15"/>
  <c r="A110" i="15"/>
  <c r="N109" i="15"/>
  <c r="O109" i="15" s="1"/>
  <c r="L109" i="15"/>
  <c r="M109" i="15" s="1"/>
  <c r="K109" i="15"/>
  <c r="J109" i="15"/>
  <c r="H109" i="15"/>
  <c r="I109" i="15" s="1"/>
  <c r="G109" i="15"/>
  <c r="A109" i="15"/>
  <c r="N108" i="15"/>
  <c r="O108" i="15" s="1"/>
  <c r="L108" i="15"/>
  <c r="M108" i="15" s="1"/>
  <c r="K108" i="15"/>
  <c r="J108" i="15"/>
  <c r="C108" i="15" s="1"/>
  <c r="H108" i="15"/>
  <c r="G108" i="15"/>
  <c r="N107" i="15"/>
  <c r="O107" i="15" s="1"/>
  <c r="L107" i="15"/>
  <c r="M107" i="15" s="1"/>
  <c r="K107" i="15"/>
  <c r="J107" i="15"/>
  <c r="C107" i="15" s="1"/>
  <c r="H107" i="15"/>
  <c r="G107" i="15"/>
  <c r="N106" i="15"/>
  <c r="O106" i="15" s="1"/>
  <c r="L106" i="15"/>
  <c r="M106" i="15" s="1"/>
  <c r="K106" i="15"/>
  <c r="J106" i="15"/>
  <c r="C106" i="15" s="1"/>
  <c r="H106" i="15"/>
  <c r="G106" i="15"/>
  <c r="N105" i="15"/>
  <c r="O105" i="15" s="1"/>
  <c r="L105" i="15"/>
  <c r="M105" i="15" s="1"/>
  <c r="K105" i="15"/>
  <c r="J105" i="15"/>
  <c r="C105" i="15" s="1"/>
  <c r="H105" i="15"/>
  <c r="G105" i="15"/>
  <c r="N104" i="15"/>
  <c r="O104" i="15" s="1"/>
  <c r="L104" i="15"/>
  <c r="M104" i="15" s="1"/>
  <c r="K104" i="15"/>
  <c r="J104" i="15"/>
  <c r="H104" i="15"/>
  <c r="I104" i="15" s="1"/>
  <c r="G104" i="15"/>
  <c r="N103" i="15"/>
  <c r="O103" i="15" s="1"/>
  <c r="L103" i="15"/>
  <c r="M103" i="15" s="1"/>
  <c r="K103" i="15"/>
  <c r="J103" i="15"/>
  <c r="C103" i="15" s="1"/>
  <c r="H103" i="15"/>
  <c r="G103" i="15"/>
  <c r="N102" i="15"/>
  <c r="O102" i="15" s="1"/>
  <c r="L102" i="15"/>
  <c r="M102" i="15" s="1"/>
  <c r="K102" i="15"/>
  <c r="J102" i="15"/>
  <c r="C102" i="15" s="1"/>
  <c r="H102" i="15"/>
  <c r="G102" i="15"/>
  <c r="N101" i="15"/>
  <c r="O101" i="15" s="1"/>
  <c r="L101" i="15"/>
  <c r="M101" i="15" s="1"/>
  <c r="K101" i="15"/>
  <c r="J101" i="15"/>
  <c r="C101" i="15" s="1"/>
  <c r="H101" i="15"/>
  <c r="G101" i="15"/>
  <c r="N100" i="15"/>
  <c r="O100" i="15" s="1"/>
  <c r="L100" i="15"/>
  <c r="M100" i="15" s="1"/>
  <c r="K100" i="15"/>
  <c r="J100" i="15"/>
  <c r="C100" i="15" s="1"/>
  <c r="H100" i="15"/>
  <c r="G100" i="15"/>
  <c r="N99" i="15"/>
  <c r="O99" i="15" s="1"/>
  <c r="L99" i="15"/>
  <c r="M99" i="15" s="1"/>
  <c r="K99" i="15"/>
  <c r="J99" i="15"/>
  <c r="C99" i="15" s="1"/>
  <c r="H99" i="15"/>
  <c r="G99" i="15"/>
  <c r="N98" i="15"/>
  <c r="O98" i="15" s="1"/>
  <c r="L98" i="15"/>
  <c r="M98" i="15" s="1"/>
  <c r="K98" i="15"/>
  <c r="J98" i="15"/>
  <c r="C98" i="15" s="1"/>
  <c r="H98" i="15"/>
  <c r="G98" i="15"/>
  <c r="N97" i="15"/>
  <c r="O97" i="15" s="1"/>
  <c r="L97" i="15"/>
  <c r="M97" i="15" s="1"/>
  <c r="K97" i="15"/>
  <c r="J97" i="15"/>
  <c r="H97" i="15"/>
  <c r="G97" i="15"/>
  <c r="N96" i="15"/>
  <c r="O96" i="15" s="1"/>
  <c r="L96" i="15"/>
  <c r="M96" i="15" s="1"/>
  <c r="K96" i="15"/>
  <c r="J96" i="15"/>
  <c r="C96" i="15" s="1"/>
  <c r="H96" i="15"/>
  <c r="G96" i="15"/>
  <c r="N95" i="15"/>
  <c r="O95" i="15" s="1"/>
  <c r="L95" i="15"/>
  <c r="M95" i="15" s="1"/>
  <c r="K95" i="15"/>
  <c r="J95" i="15"/>
  <c r="C95" i="15" s="1"/>
  <c r="H95" i="15"/>
  <c r="G95" i="15"/>
  <c r="N94" i="15"/>
  <c r="O94" i="15" s="1"/>
  <c r="L94" i="15"/>
  <c r="M94" i="15" s="1"/>
  <c r="K94" i="15"/>
  <c r="J94" i="15"/>
  <c r="C94" i="15" s="1"/>
  <c r="H94" i="15"/>
  <c r="G94" i="15"/>
  <c r="N93" i="15"/>
  <c r="O93" i="15" s="1"/>
  <c r="L93" i="15"/>
  <c r="M93" i="15" s="1"/>
  <c r="K93" i="15"/>
  <c r="J93" i="15"/>
  <c r="C93" i="15" s="1"/>
  <c r="H93" i="15"/>
  <c r="G93" i="15"/>
  <c r="N92" i="15"/>
  <c r="O92" i="15" s="1"/>
  <c r="L92" i="15"/>
  <c r="M92" i="15" s="1"/>
  <c r="K92" i="15"/>
  <c r="J92" i="15"/>
  <c r="H92" i="15"/>
  <c r="I92" i="15" s="1"/>
  <c r="G92" i="15"/>
  <c r="N91" i="15"/>
  <c r="O91" i="15" s="1"/>
  <c r="L91" i="15"/>
  <c r="M91" i="15" s="1"/>
  <c r="K91" i="15"/>
  <c r="J91" i="15"/>
  <c r="C91" i="15" s="1"/>
  <c r="H91" i="15"/>
  <c r="G91" i="15"/>
  <c r="N90" i="15"/>
  <c r="O90" i="15" s="1"/>
  <c r="L90" i="15"/>
  <c r="M90" i="15" s="1"/>
  <c r="K90" i="15"/>
  <c r="J90" i="15"/>
  <c r="C90" i="15" s="1"/>
  <c r="H90" i="15"/>
  <c r="G90" i="15"/>
  <c r="N89" i="15"/>
  <c r="O89" i="15" s="1"/>
  <c r="L89" i="15"/>
  <c r="M89" i="15" s="1"/>
  <c r="K89" i="15"/>
  <c r="J89" i="15"/>
  <c r="C89" i="15" s="1"/>
  <c r="H89" i="15"/>
  <c r="G89" i="15"/>
  <c r="N88" i="15"/>
  <c r="O88" i="15" s="1"/>
  <c r="L88" i="15"/>
  <c r="M88" i="15" s="1"/>
  <c r="K88" i="15"/>
  <c r="J88" i="15"/>
  <c r="C88" i="15" s="1"/>
  <c r="H88" i="15"/>
  <c r="G88" i="15"/>
  <c r="N87" i="15"/>
  <c r="O87" i="15" s="1"/>
  <c r="L87" i="15"/>
  <c r="M87" i="15" s="1"/>
  <c r="K87" i="15"/>
  <c r="J87" i="15"/>
  <c r="C87" i="15" s="1"/>
  <c r="H87" i="15"/>
  <c r="G87" i="15"/>
  <c r="N86" i="15"/>
  <c r="O86" i="15" s="1"/>
  <c r="L86" i="15"/>
  <c r="M86" i="15" s="1"/>
  <c r="K86" i="15"/>
  <c r="J86" i="15"/>
  <c r="C86" i="15" s="1"/>
  <c r="H86" i="15"/>
  <c r="G86" i="15"/>
  <c r="N85" i="15"/>
  <c r="O85" i="15" s="1"/>
  <c r="L85" i="15"/>
  <c r="M85" i="15" s="1"/>
  <c r="K85" i="15"/>
  <c r="J85" i="15"/>
  <c r="C85" i="15" s="1"/>
  <c r="H85" i="15"/>
  <c r="G85" i="15"/>
  <c r="N84" i="15"/>
  <c r="O84" i="15" s="1"/>
  <c r="L84" i="15"/>
  <c r="M84" i="15" s="1"/>
  <c r="K84" i="15"/>
  <c r="J84" i="15"/>
  <c r="C84" i="15" s="1"/>
  <c r="H84" i="15"/>
  <c r="G84" i="15"/>
  <c r="N83" i="15"/>
  <c r="O83" i="15" s="1"/>
  <c r="L83" i="15"/>
  <c r="M83" i="15" s="1"/>
  <c r="K83" i="15"/>
  <c r="J83" i="15"/>
  <c r="C83" i="15" s="1"/>
  <c r="H83" i="15"/>
  <c r="G83" i="15"/>
  <c r="N82" i="15"/>
  <c r="O82" i="15" s="1"/>
  <c r="L82" i="15"/>
  <c r="M82" i="15" s="1"/>
  <c r="K82" i="15"/>
  <c r="J82" i="15"/>
  <c r="C82" i="15" s="1"/>
  <c r="H82" i="15"/>
  <c r="G82" i="15"/>
  <c r="N81" i="15"/>
  <c r="O81" i="15" s="1"/>
  <c r="L81" i="15"/>
  <c r="M81" i="15" s="1"/>
  <c r="K81" i="15"/>
  <c r="J81" i="15"/>
  <c r="H81" i="15"/>
  <c r="I81" i="15" s="1"/>
  <c r="G81" i="15"/>
  <c r="A81" i="15"/>
  <c r="A85" i="4" s="1"/>
  <c r="N80" i="15"/>
  <c r="O80" i="15" s="1"/>
  <c r="L80" i="15"/>
  <c r="M80" i="15" s="1"/>
  <c r="K80" i="15"/>
  <c r="J80" i="15"/>
  <c r="H80" i="15"/>
  <c r="I80" i="15" s="1"/>
  <c r="G80" i="15"/>
  <c r="A80" i="15"/>
  <c r="A84" i="4" s="1"/>
  <c r="N79" i="15"/>
  <c r="O79" i="15" s="1"/>
  <c r="L79" i="15"/>
  <c r="M79" i="15" s="1"/>
  <c r="K79" i="15"/>
  <c r="J79" i="15"/>
  <c r="H79" i="15"/>
  <c r="I79" i="15" s="1"/>
  <c r="G79" i="15"/>
  <c r="A79" i="15"/>
  <c r="A83" i="4" s="1"/>
  <c r="N78" i="15"/>
  <c r="O78" i="15" s="1"/>
  <c r="L78" i="15"/>
  <c r="M78" i="15" s="1"/>
  <c r="K78" i="15"/>
  <c r="J78" i="15"/>
  <c r="C78" i="15" s="1"/>
  <c r="H78" i="15"/>
  <c r="G78" i="15"/>
  <c r="N77" i="15"/>
  <c r="O77" i="15" s="1"/>
  <c r="L77" i="15"/>
  <c r="M77" i="15" s="1"/>
  <c r="K77" i="15"/>
  <c r="J77" i="15"/>
  <c r="C77" i="15" s="1"/>
  <c r="H77" i="15"/>
  <c r="G77" i="15"/>
  <c r="N76" i="15"/>
  <c r="O76" i="15" s="1"/>
  <c r="L76" i="15"/>
  <c r="M76" i="15" s="1"/>
  <c r="K76" i="15"/>
  <c r="J76" i="15"/>
  <c r="C76" i="15" s="1"/>
  <c r="H76" i="15"/>
  <c r="G76" i="15"/>
  <c r="N75" i="15"/>
  <c r="O75" i="15" s="1"/>
  <c r="L75" i="15"/>
  <c r="M75" i="15" s="1"/>
  <c r="K75" i="15"/>
  <c r="J75" i="15"/>
  <c r="C75" i="15" s="1"/>
  <c r="H75" i="15"/>
  <c r="G75" i="15"/>
  <c r="N74" i="15"/>
  <c r="O74" i="15" s="1"/>
  <c r="L74" i="15"/>
  <c r="M74" i="15" s="1"/>
  <c r="K74" i="15"/>
  <c r="J74" i="15"/>
  <c r="H74" i="15"/>
  <c r="G74" i="15"/>
  <c r="N73" i="15"/>
  <c r="O73" i="15" s="1"/>
  <c r="L73" i="15"/>
  <c r="M73" i="15" s="1"/>
  <c r="K73" i="15"/>
  <c r="J73" i="15"/>
  <c r="H73" i="15"/>
  <c r="G73" i="15"/>
  <c r="N72" i="15"/>
  <c r="O72" i="15" s="1"/>
  <c r="L72" i="15"/>
  <c r="M72" i="15" s="1"/>
  <c r="K72" i="15"/>
  <c r="J72" i="15"/>
  <c r="C72" i="15" s="1"/>
  <c r="H72" i="15"/>
  <c r="G72" i="15"/>
  <c r="N71" i="15"/>
  <c r="O71" i="15" s="1"/>
  <c r="L71" i="15"/>
  <c r="M71" i="15" s="1"/>
  <c r="K71" i="15"/>
  <c r="J71" i="15"/>
  <c r="C71" i="15" s="1"/>
  <c r="H71" i="15"/>
  <c r="G71" i="15"/>
  <c r="N70" i="15"/>
  <c r="O70" i="15" s="1"/>
  <c r="L70" i="15"/>
  <c r="M70" i="15" s="1"/>
  <c r="K70" i="15"/>
  <c r="J70" i="15"/>
  <c r="H70" i="15"/>
  <c r="G70" i="15"/>
  <c r="N69" i="15"/>
  <c r="O69" i="15" s="1"/>
  <c r="L69" i="15"/>
  <c r="M69" i="15" s="1"/>
  <c r="K69" i="15"/>
  <c r="J69" i="15"/>
  <c r="H69" i="15"/>
  <c r="G69" i="15"/>
  <c r="N68" i="15"/>
  <c r="O68" i="15" s="1"/>
  <c r="L68" i="15"/>
  <c r="M68" i="15" s="1"/>
  <c r="K68" i="15"/>
  <c r="J68" i="15"/>
  <c r="C68" i="15" s="1"/>
  <c r="H68" i="15"/>
  <c r="G68" i="15"/>
  <c r="N67" i="15"/>
  <c r="O67" i="15" s="1"/>
  <c r="L67" i="15"/>
  <c r="M67" i="15" s="1"/>
  <c r="K67" i="15"/>
  <c r="J67" i="15"/>
  <c r="C67" i="15" s="1"/>
  <c r="H67" i="15"/>
  <c r="G67" i="15"/>
  <c r="N66" i="15"/>
  <c r="O66" i="15" s="1"/>
  <c r="L66" i="15"/>
  <c r="M66" i="15" s="1"/>
  <c r="K66" i="15"/>
  <c r="J66" i="15"/>
  <c r="H66" i="15"/>
  <c r="I66" i="15" s="1"/>
  <c r="G66" i="15"/>
  <c r="A66" i="15"/>
  <c r="N65" i="15"/>
  <c r="O65" i="15" s="1"/>
  <c r="L65" i="15"/>
  <c r="M65" i="15" s="1"/>
  <c r="K65" i="15"/>
  <c r="J65" i="15"/>
  <c r="H65" i="15"/>
  <c r="I65" i="15" s="1"/>
  <c r="G65" i="15"/>
  <c r="A65" i="15"/>
  <c r="N64" i="15"/>
  <c r="O64" i="15" s="1"/>
  <c r="L64" i="15"/>
  <c r="M64" i="15" s="1"/>
  <c r="K64" i="15"/>
  <c r="J64" i="15"/>
  <c r="C64" i="15" s="1"/>
  <c r="H64" i="15"/>
  <c r="G64" i="15"/>
  <c r="N63" i="15"/>
  <c r="O63" i="15" s="1"/>
  <c r="L63" i="15"/>
  <c r="M63" i="15" s="1"/>
  <c r="K63" i="15"/>
  <c r="J63" i="15"/>
  <c r="C63" i="15" s="1"/>
  <c r="H63" i="15"/>
  <c r="G63" i="15"/>
  <c r="N62" i="15"/>
  <c r="O62" i="15" s="1"/>
  <c r="L62" i="15"/>
  <c r="M62" i="15" s="1"/>
  <c r="K62" i="15"/>
  <c r="J62" i="15"/>
  <c r="H62" i="15"/>
  <c r="G62" i="15"/>
  <c r="N61" i="15"/>
  <c r="O61" i="15" s="1"/>
  <c r="L61" i="15"/>
  <c r="M61" i="15" s="1"/>
  <c r="K61" i="15"/>
  <c r="J61" i="15"/>
  <c r="H61" i="15"/>
  <c r="G61" i="15"/>
  <c r="N60" i="15"/>
  <c r="O60" i="15" s="1"/>
  <c r="L60" i="15"/>
  <c r="M60" i="15" s="1"/>
  <c r="K60" i="15"/>
  <c r="J60" i="15"/>
  <c r="C60" i="15" s="1"/>
  <c r="H60" i="15"/>
  <c r="G60" i="15"/>
  <c r="N59" i="15"/>
  <c r="O59" i="15" s="1"/>
  <c r="L59" i="15"/>
  <c r="M59" i="15" s="1"/>
  <c r="K59" i="15"/>
  <c r="J59" i="15"/>
  <c r="C59" i="15" s="1"/>
  <c r="H59" i="15"/>
  <c r="G59" i="15"/>
  <c r="N58" i="15"/>
  <c r="O58" i="15" s="1"/>
  <c r="L58" i="15"/>
  <c r="M58" i="15" s="1"/>
  <c r="K58" i="15"/>
  <c r="J58" i="15"/>
  <c r="C58" i="15" s="1"/>
  <c r="H58" i="15"/>
  <c r="G58" i="15"/>
  <c r="N57" i="15"/>
  <c r="O57" i="15" s="1"/>
  <c r="L57" i="15"/>
  <c r="M57" i="15" s="1"/>
  <c r="K57" i="15"/>
  <c r="J57" i="15"/>
  <c r="C57" i="15" s="1"/>
  <c r="H57" i="15"/>
  <c r="G57" i="15"/>
  <c r="N56" i="15"/>
  <c r="O56" i="15" s="1"/>
  <c r="L56" i="15"/>
  <c r="M56" i="15" s="1"/>
  <c r="K56" i="15"/>
  <c r="J56" i="15"/>
  <c r="C56" i="15" s="1"/>
  <c r="H56" i="15"/>
  <c r="G56" i="15"/>
  <c r="N55" i="15"/>
  <c r="O55" i="15" s="1"/>
  <c r="L55" i="15"/>
  <c r="M55" i="15" s="1"/>
  <c r="K55" i="15"/>
  <c r="J55" i="15"/>
  <c r="H55" i="15"/>
  <c r="I55" i="15" s="1"/>
  <c r="G55" i="15"/>
  <c r="A55" i="15"/>
  <c r="N54" i="15"/>
  <c r="O54" i="15" s="1"/>
  <c r="L54" i="15"/>
  <c r="M54" i="15" s="1"/>
  <c r="K54" i="15"/>
  <c r="J54" i="15"/>
  <c r="C54" i="15" s="1"/>
  <c r="H54" i="15"/>
  <c r="G54" i="15"/>
  <c r="N53" i="15"/>
  <c r="O53" i="15" s="1"/>
  <c r="L53" i="15"/>
  <c r="M53" i="15" s="1"/>
  <c r="K53" i="15"/>
  <c r="J53" i="15"/>
  <c r="C53" i="15" s="1"/>
  <c r="H53" i="15"/>
  <c r="G53" i="15"/>
  <c r="N52" i="15"/>
  <c r="O52" i="15" s="1"/>
  <c r="L52" i="15"/>
  <c r="M52" i="15" s="1"/>
  <c r="K52" i="15"/>
  <c r="J52" i="15"/>
  <c r="C52" i="15" s="1"/>
  <c r="H52" i="15"/>
  <c r="G52" i="15"/>
  <c r="N51" i="15"/>
  <c r="O51" i="15" s="1"/>
  <c r="L51" i="15"/>
  <c r="M51" i="15" s="1"/>
  <c r="K51" i="15"/>
  <c r="J51" i="15"/>
  <c r="C51" i="15" s="1"/>
  <c r="H51" i="15"/>
  <c r="G51" i="15"/>
  <c r="N50" i="15"/>
  <c r="O50" i="15" s="1"/>
  <c r="L50" i="15"/>
  <c r="M50" i="15" s="1"/>
  <c r="K50" i="15"/>
  <c r="J50" i="15"/>
  <c r="C50" i="15" s="1"/>
  <c r="H50" i="15"/>
  <c r="G50" i="15"/>
  <c r="N49" i="15"/>
  <c r="O49" i="15" s="1"/>
  <c r="L49" i="15"/>
  <c r="M49" i="15" s="1"/>
  <c r="K49" i="15"/>
  <c r="J49" i="15"/>
  <c r="C49" i="15" s="1"/>
  <c r="H49" i="15"/>
  <c r="G49" i="15"/>
  <c r="N48" i="15"/>
  <c r="O48" i="15" s="1"/>
  <c r="L48" i="15"/>
  <c r="M48" i="15" s="1"/>
  <c r="K48" i="15"/>
  <c r="J48" i="15"/>
  <c r="C48" i="15" s="1"/>
  <c r="H48" i="15"/>
  <c r="G48" i="15"/>
  <c r="N47" i="15"/>
  <c r="O47" i="15" s="1"/>
  <c r="L47" i="15"/>
  <c r="M47" i="15" s="1"/>
  <c r="K47" i="15"/>
  <c r="J47" i="15"/>
  <c r="C47" i="15" s="1"/>
  <c r="H47" i="15"/>
  <c r="G47" i="15"/>
  <c r="N46" i="15"/>
  <c r="O46" i="15" s="1"/>
  <c r="L46" i="15"/>
  <c r="M46" i="15" s="1"/>
  <c r="K46" i="15"/>
  <c r="J46" i="15"/>
  <c r="C46" i="15" s="1"/>
  <c r="H46" i="15"/>
  <c r="G46" i="15"/>
  <c r="N45" i="15"/>
  <c r="O45" i="15" s="1"/>
  <c r="L45" i="15"/>
  <c r="M45" i="15" s="1"/>
  <c r="K45" i="15"/>
  <c r="J45" i="15"/>
  <c r="C45" i="15" s="1"/>
  <c r="H45" i="15"/>
  <c r="G45" i="15"/>
  <c r="N44" i="15"/>
  <c r="O44" i="15" s="1"/>
  <c r="L44" i="15"/>
  <c r="M44" i="15" s="1"/>
  <c r="K44" i="15"/>
  <c r="J44" i="15"/>
  <c r="C44" i="15" s="1"/>
  <c r="H44" i="15"/>
  <c r="G44" i="15"/>
  <c r="N43" i="15"/>
  <c r="O43" i="15" s="1"/>
  <c r="L43" i="15"/>
  <c r="M43" i="15" s="1"/>
  <c r="K43" i="15"/>
  <c r="J43" i="15"/>
  <c r="C43" i="15" s="1"/>
  <c r="H43" i="15"/>
  <c r="G43" i="15"/>
  <c r="N42" i="15"/>
  <c r="O42" i="15" s="1"/>
  <c r="L42" i="15"/>
  <c r="M42" i="15" s="1"/>
  <c r="K42" i="15"/>
  <c r="J42" i="15"/>
  <c r="C42" i="15" s="1"/>
  <c r="H42" i="15"/>
  <c r="G42" i="15"/>
  <c r="N41" i="15"/>
  <c r="O41" i="15" s="1"/>
  <c r="L41" i="15"/>
  <c r="M41" i="15" s="1"/>
  <c r="K41" i="15"/>
  <c r="J41" i="15"/>
  <c r="C41" i="15" s="1"/>
  <c r="H41" i="15"/>
  <c r="G41" i="15"/>
  <c r="N40" i="15"/>
  <c r="O40" i="15" s="1"/>
  <c r="L40" i="15"/>
  <c r="M40" i="15" s="1"/>
  <c r="K40" i="15"/>
  <c r="J40" i="15"/>
  <c r="C40" i="15" s="1"/>
  <c r="H40" i="15"/>
  <c r="G40" i="15"/>
  <c r="N39" i="15"/>
  <c r="O39" i="15" s="1"/>
  <c r="L39" i="15"/>
  <c r="M39" i="15" s="1"/>
  <c r="K39" i="15"/>
  <c r="J39" i="15"/>
  <c r="H39" i="15"/>
  <c r="G39" i="15"/>
  <c r="N38" i="15"/>
  <c r="O38" i="15" s="1"/>
  <c r="L38" i="15"/>
  <c r="M38" i="15" s="1"/>
  <c r="K38" i="15"/>
  <c r="J38" i="15"/>
  <c r="H38" i="15"/>
  <c r="G38" i="15"/>
  <c r="N37" i="15"/>
  <c r="O37" i="15" s="1"/>
  <c r="L37" i="15"/>
  <c r="M37" i="15" s="1"/>
  <c r="K37" i="15"/>
  <c r="J37" i="15"/>
  <c r="C37" i="15" s="1"/>
  <c r="H37" i="15"/>
  <c r="G37" i="15"/>
  <c r="N36" i="15"/>
  <c r="O36" i="15" s="1"/>
  <c r="L36" i="15"/>
  <c r="M36" i="15" s="1"/>
  <c r="K36" i="15"/>
  <c r="J36" i="15"/>
  <c r="C36" i="15" s="1"/>
  <c r="H36" i="15"/>
  <c r="G36" i="15"/>
  <c r="N35" i="15"/>
  <c r="O35" i="15" s="1"/>
  <c r="L35" i="15"/>
  <c r="M35" i="15" s="1"/>
  <c r="K35" i="15"/>
  <c r="J35" i="15"/>
  <c r="H35" i="15"/>
  <c r="G35" i="15"/>
  <c r="N34" i="15"/>
  <c r="O34" i="15" s="1"/>
  <c r="L34" i="15"/>
  <c r="M34" i="15" s="1"/>
  <c r="K34" i="15"/>
  <c r="J34" i="15"/>
  <c r="C34" i="15" s="1"/>
  <c r="H34" i="15"/>
  <c r="G34" i="15"/>
  <c r="N33" i="15"/>
  <c r="O33" i="15" s="1"/>
  <c r="L33" i="15"/>
  <c r="M33" i="15" s="1"/>
  <c r="K33" i="15"/>
  <c r="J33" i="15"/>
  <c r="C33" i="15" s="1"/>
  <c r="H33" i="15"/>
  <c r="G33" i="15"/>
  <c r="N32" i="15"/>
  <c r="O32" i="15" s="1"/>
  <c r="L32" i="15"/>
  <c r="M32" i="15" s="1"/>
  <c r="K32" i="15"/>
  <c r="J32" i="15"/>
  <c r="H32" i="15"/>
  <c r="G32" i="15"/>
  <c r="N31" i="15"/>
  <c r="O31" i="15" s="1"/>
  <c r="L31" i="15"/>
  <c r="M31" i="15" s="1"/>
  <c r="K31" i="15"/>
  <c r="J31" i="15"/>
  <c r="C31" i="15" s="1"/>
  <c r="H31" i="15"/>
  <c r="G31" i="15"/>
  <c r="N30" i="15"/>
  <c r="O30" i="15" s="1"/>
  <c r="L30" i="15"/>
  <c r="M30" i="15" s="1"/>
  <c r="K30" i="15"/>
  <c r="J30" i="15"/>
  <c r="H30" i="15"/>
  <c r="G30" i="15"/>
  <c r="N29" i="15"/>
  <c r="O29" i="15" s="1"/>
  <c r="L29" i="15"/>
  <c r="M29" i="15" s="1"/>
  <c r="K29" i="15"/>
  <c r="J29" i="15"/>
  <c r="H29" i="15"/>
  <c r="G29" i="15"/>
  <c r="N28" i="15"/>
  <c r="O28" i="15" s="1"/>
  <c r="L28" i="15"/>
  <c r="M28" i="15" s="1"/>
  <c r="K28" i="15"/>
  <c r="J28" i="15"/>
  <c r="H28" i="15"/>
  <c r="G28" i="15"/>
  <c r="N27" i="15"/>
  <c r="O27" i="15" s="1"/>
  <c r="L27" i="15"/>
  <c r="M27" i="15" s="1"/>
  <c r="K27" i="15"/>
  <c r="J27" i="15"/>
  <c r="H27" i="15"/>
  <c r="G27" i="15"/>
  <c r="N26" i="15"/>
  <c r="O26" i="15" s="1"/>
  <c r="L26" i="15"/>
  <c r="M26" i="15" s="1"/>
  <c r="K26" i="15"/>
  <c r="J26" i="15"/>
  <c r="C26" i="15" s="1"/>
  <c r="H26" i="15"/>
  <c r="G26" i="15"/>
  <c r="N25" i="15"/>
  <c r="O25" i="15" s="1"/>
  <c r="L25" i="15"/>
  <c r="M25" i="15" s="1"/>
  <c r="K25" i="15"/>
  <c r="J25" i="15"/>
  <c r="C25" i="15" s="1"/>
  <c r="H25" i="15"/>
  <c r="G25" i="15"/>
  <c r="N24" i="15"/>
  <c r="O24" i="15" s="1"/>
  <c r="L24" i="15"/>
  <c r="M24" i="15" s="1"/>
  <c r="K24" i="15"/>
  <c r="J24" i="15"/>
  <c r="C24" i="15" s="1"/>
  <c r="H24" i="15"/>
  <c r="G24" i="15"/>
  <c r="N23" i="15"/>
  <c r="O23" i="15" s="1"/>
  <c r="L23" i="15"/>
  <c r="M23" i="15" s="1"/>
  <c r="K23" i="15"/>
  <c r="J23" i="15"/>
  <c r="C23" i="15" s="1"/>
  <c r="H23" i="15"/>
  <c r="G23" i="15"/>
  <c r="N22" i="15"/>
  <c r="O22" i="15" s="1"/>
  <c r="L22" i="15"/>
  <c r="M22" i="15" s="1"/>
  <c r="K22" i="15"/>
  <c r="J22" i="15"/>
  <c r="C22" i="15" s="1"/>
  <c r="H22" i="15"/>
  <c r="G22" i="15"/>
  <c r="N21" i="15"/>
  <c r="O21" i="15" s="1"/>
  <c r="L21" i="15"/>
  <c r="M21" i="15" s="1"/>
  <c r="K21" i="15"/>
  <c r="J21" i="15"/>
  <c r="H21" i="15"/>
  <c r="G21" i="15"/>
  <c r="N20" i="15"/>
  <c r="O20" i="15" s="1"/>
  <c r="L20" i="15"/>
  <c r="M20" i="15" s="1"/>
  <c r="J20" i="15"/>
  <c r="C20" i="15" s="1"/>
  <c r="H20" i="15"/>
  <c r="G20" i="15"/>
  <c r="N19" i="15"/>
  <c r="O19" i="15" s="1"/>
  <c r="L19" i="15"/>
  <c r="M19" i="15" s="1"/>
  <c r="J19" i="15"/>
  <c r="H19" i="15"/>
  <c r="G19" i="15"/>
  <c r="N18" i="15"/>
  <c r="O18" i="15" s="1"/>
  <c r="L18" i="15"/>
  <c r="M18" i="15" s="1"/>
  <c r="J18" i="15"/>
  <c r="C18" i="15" s="1"/>
  <c r="H18" i="15"/>
  <c r="G18" i="15"/>
  <c r="N17" i="15"/>
  <c r="O17" i="15" s="1"/>
  <c r="L17" i="15"/>
  <c r="M17" i="15" s="1"/>
  <c r="J17" i="15"/>
  <c r="H17" i="15"/>
  <c r="G17" i="15"/>
  <c r="N16" i="15"/>
  <c r="O16" i="15" s="1"/>
  <c r="L16" i="15"/>
  <c r="M16" i="15" s="1"/>
  <c r="J16" i="15"/>
  <c r="H16" i="15"/>
  <c r="G16" i="15"/>
  <c r="N15" i="15"/>
  <c r="O15" i="15" s="1"/>
  <c r="L15" i="15"/>
  <c r="M15" i="15" s="1"/>
  <c r="K15" i="15"/>
  <c r="J15" i="15"/>
  <c r="H15" i="15"/>
  <c r="G15" i="15"/>
  <c r="N14" i="15"/>
  <c r="O14" i="15" s="1"/>
  <c r="L14" i="15"/>
  <c r="M14" i="15" s="1"/>
  <c r="K14" i="15"/>
  <c r="J14" i="15"/>
  <c r="H14" i="15"/>
  <c r="G14" i="15"/>
  <c r="N13" i="15"/>
  <c r="O13" i="15" s="1"/>
  <c r="L13" i="15"/>
  <c r="M13" i="15" s="1"/>
  <c r="K13" i="15"/>
  <c r="J13" i="15"/>
  <c r="H13" i="15"/>
  <c r="G13" i="15"/>
  <c r="N12" i="15"/>
  <c r="O12" i="15" s="1"/>
  <c r="L12" i="15"/>
  <c r="M12" i="15" s="1"/>
  <c r="K12" i="15"/>
  <c r="J12" i="15"/>
  <c r="H12" i="15"/>
  <c r="G12" i="15"/>
  <c r="N11" i="15"/>
  <c r="O11" i="15" s="1"/>
  <c r="L11" i="15"/>
  <c r="M11" i="15" s="1"/>
  <c r="K11" i="15"/>
  <c r="J11" i="15"/>
  <c r="H11" i="15"/>
  <c r="G11" i="15"/>
  <c r="N10" i="15"/>
  <c r="O10" i="15" s="1"/>
  <c r="L10" i="15"/>
  <c r="M10" i="15" s="1"/>
  <c r="K10" i="15"/>
  <c r="J10" i="15"/>
  <c r="H10" i="15"/>
  <c r="G10" i="15"/>
  <c r="N9" i="15"/>
  <c r="O9" i="15" s="1"/>
  <c r="L9" i="15"/>
  <c r="M9" i="15" s="1"/>
  <c r="K9" i="15"/>
  <c r="J9" i="15"/>
  <c r="H9" i="15"/>
  <c r="G9" i="15"/>
  <c r="N8" i="15"/>
  <c r="O8" i="15" s="1"/>
  <c r="L8" i="15"/>
  <c r="M8" i="15" s="1"/>
  <c r="K8" i="15"/>
  <c r="J8" i="15"/>
  <c r="H8" i="15"/>
  <c r="G8" i="15"/>
  <c r="N7" i="15"/>
  <c r="O7" i="15" s="1"/>
  <c r="L7" i="15"/>
  <c r="M7" i="15" s="1"/>
  <c r="K7" i="15"/>
  <c r="J7" i="15"/>
  <c r="H7" i="15"/>
  <c r="G7" i="15"/>
  <c r="N6" i="15"/>
  <c r="O6" i="15" s="1"/>
  <c r="L6" i="15"/>
  <c r="M6" i="15" s="1"/>
  <c r="K6" i="15"/>
  <c r="J6" i="15"/>
  <c r="H6" i="15"/>
  <c r="G6" i="15"/>
  <c r="N5" i="15"/>
  <c r="O5" i="15" s="1"/>
  <c r="L5" i="15"/>
  <c r="M5" i="15" s="1"/>
  <c r="K5" i="15"/>
  <c r="J5" i="15"/>
  <c r="H5" i="15"/>
  <c r="G5" i="15"/>
  <c r="N4" i="15"/>
  <c r="O4" i="15" s="1"/>
  <c r="L4" i="15"/>
  <c r="M4" i="15" s="1"/>
  <c r="K4" i="15"/>
  <c r="J4" i="15"/>
  <c r="H4" i="15"/>
  <c r="G4" i="15"/>
  <c r="N3" i="15"/>
  <c r="O3" i="15" s="1"/>
  <c r="L3" i="15"/>
  <c r="M3" i="15" s="1"/>
  <c r="K3" i="15"/>
  <c r="J3" i="15"/>
  <c r="H3" i="15"/>
  <c r="G3" i="15"/>
  <c r="N2" i="15"/>
  <c r="O2" i="15" s="1"/>
  <c r="L2" i="15"/>
  <c r="M2" i="15" s="1"/>
  <c r="K2" i="15"/>
  <c r="J2" i="15"/>
  <c r="H2" i="15"/>
  <c r="G2" i="15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H58" i="4" s="1"/>
  <c r="D6" i="4"/>
  <c r="I149" i="15" l="1"/>
  <c r="A149" i="15" s="1"/>
  <c r="A153" i="4" s="1"/>
  <c r="B149" i="15"/>
  <c r="I148" i="15"/>
  <c r="A148" i="15" s="1"/>
  <c r="A152" i="4" s="1"/>
  <c r="B148" i="15"/>
  <c r="I147" i="15"/>
  <c r="A147" i="15" s="1"/>
  <c r="A151" i="4" s="1"/>
  <c r="B147" i="15"/>
  <c r="I146" i="15"/>
  <c r="A146" i="15" s="1"/>
  <c r="A150" i="4" s="1"/>
  <c r="B146" i="15"/>
  <c r="I145" i="15"/>
  <c r="A145" i="15" s="1"/>
  <c r="A149" i="4" s="1"/>
  <c r="B145" i="15"/>
  <c r="I144" i="15"/>
  <c r="A144" i="15" s="1"/>
  <c r="A148" i="4" s="1"/>
  <c r="B144" i="15"/>
  <c r="I143" i="15"/>
  <c r="A143" i="15" s="1"/>
  <c r="A147" i="4" s="1"/>
  <c r="B143" i="15"/>
  <c r="I142" i="15"/>
  <c r="A142" i="15" s="1"/>
  <c r="A146" i="4" s="1"/>
  <c r="B142" i="15"/>
  <c r="I141" i="15"/>
  <c r="A141" i="15" s="1"/>
  <c r="A145" i="4" s="1"/>
  <c r="B141" i="15"/>
  <c r="I139" i="15"/>
  <c r="A139" i="15" s="1"/>
  <c r="A143" i="4" s="1"/>
  <c r="B139" i="15"/>
  <c r="C138" i="15"/>
  <c r="I138" i="15"/>
  <c r="A138" i="15" s="1"/>
  <c r="A142" i="4" s="1"/>
  <c r="B138" i="15"/>
  <c r="I137" i="15"/>
  <c r="A137" i="15" s="1"/>
  <c r="A141" i="4" s="1"/>
  <c r="B137" i="15"/>
  <c r="C136" i="15"/>
  <c r="I136" i="15"/>
  <c r="A136" i="15" s="1"/>
  <c r="A140" i="4" s="1"/>
  <c r="B136" i="15"/>
  <c r="I135" i="15"/>
  <c r="A135" i="15" s="1"/>
  <c r="A139" i="4" s="1"/>
  <c r="B135" i="15"/>
  <c r="I134" i="15"/>
  <c r="A134" i="15" s="1"/>
  <c r="A138" i="4" s="1"/>
  <c r="B134" i="15"/>
  <c r="I133" i="15"/>
  <c r="A133" i="15" s="1"/>
  <c r="A137" i="4" s="1"/>
  <c r="B133" i="15"/>
  <c r="I132" i="15"/>
  <c r="A132" i="15" s="1"/>
  <c r="A136" i="4" s="1"/>
  <c r="B132" i="15"/>
  <c r="C132" i="15"/>
  <c r="C129" i="15"/>
  <c r="C130" i="15"/>
  <c r="C131" i="15"/>
  <c r="I128" i="15"/>
  <c r="A128" i="15" s="1"/>
  <c r="A132" i="4" s="1"/>
  <c r="B128" i="15"/>
  <c r="I129" i="15"/>
  <c r="A129" i="15" s="1"/>
  <c r="A133" i="4" s="1"/>
  <c r="B129" i="15"/>
  <c r="I130" i="15"/>
  <c r="A130" i="15" s="1"/>
  <c r="A134" i="4" s="1"/>
  <c r="B130" i="15"/>
  <c r="I131" i="15"/>
  <c r="A131" i="15" s="1"/>
  <c r="A135" i="4" s="1"/>
  <c r="B131" i="15"/>
  <c r="C127" i="15"/>
  <c r="I126" i="15"/>
  <c r="A126" i="15" s="1"/>
  <c r="A130" i="4" s="1"/>
  <c r="B126" i="15"/>
  <c r="I127" i="15"/>
  <c r="A127" i="15" s="1"/>
  <c r="A131" i="4" s="1"/>
  <c r="B127" i="15"/>
  <c r="C124" i="15"/>
  <c r="C125" i="15"/>
  <c r="I124" i="15"/>
  <c r="A124" i="15" s="1"/>
  <c r="A128" i="4" s="1"/>
  <c r="B124" i="15"/>
  <c r="I125" i="15"/>
  <c r="A125" i="15" s="1"/>
  <c r="A129" i="4" s="1"/>
  <c r="B125" i="15"/>
  <c r="C121" i="15"/>
  <c r="C123" i="15"/>
  <c r="C122" i="15"/>
  <c r="I121" i="15"/>
  <c r="A121" i="15" s="1"/>
  <c r="A125" i="4" s="1"/>
  <c r="B121" i="15"/>
  <c r="I122" i="15"/>
  <c r="A122" i="15" s="1"/>
  <c r="A126" i="4" s="1"/>
  <c r="B122" i="15"/>
  <c r="I123" i="15"/>
  <c r="A123" i="15" s="1"/>
  <c r="A127" i="4" s="1"/>
  <c r="B123" i="15"/>
  <c r="I120" i="15"/>
  <c r="A120" i="15" s="1"/>
  <c r="A124" i="4" s="1"/>
  <c r="B120" i="15"/>
  <c r="C119" i="15"/>
  <c r="I119" i="15"/>
  <c r="A119" i="15" s="1"/>
  <c r="A123" i="4" s="1"/>
  <c r="B119" i="15"/>
  <c r="I118" i="15"/>
  <c r="A118" i="15" s="1"/>
  <c r="A122" i="4" s="1"/>
  <c r="B118" i="15"/>
  <c r="I117" i="15"/>
  <c r="A117" i="15" s="1"/>
  <c r="A121" i="4" s="1"/>
  <c r="B117" i="15"/>
  <c r="C116" i="15"/>
  <c r="I115" i="15"/>
  <c r="A115" i="15" s="1"/>
  <c r="A119" i="4" s="1"/>
  <c r="B115" i="15"/>
  <c r="I116" i="15"/>
  <c r="A116" i="15" s="1"/>
  <c r="A120" i="4" s="1"/>
  <c r="B116" i="15"/>
  <c r="I114" i="15"/>
  <c r="A114" i="15" s="1"/>
  <c r="B114" i="15"/>
  <c r="I113" i="15"/>
  <c r="A113" i="15" s="1"/>
  <c r="B113" i="15"/>
  <c r="I112" i="15"/>
  <c r="A112" i="15" s="1"/>
  <c r="B112" i="15"/>
  <c r="B111" i="15"/>
  <c r="B110" i="15"/>
  <c r="C111" i="15"/>
  <c r="C110" i="15"/>
  <c r="C109" i="15"/>
  <c r="B109" i="15"/>
  <c r="I108" i="15"/>
  <c r="A108" i="15" s="1"/>
  <c r="B108" i="15"/>
  <c r="I107" i="15"/>
  <c r="B107" i="15"/>
  <c r="A107" i="15"/>
  <c r="A106" i="15"/>
  <c r="I106" i="15"/>
  <c r="B106" i="15"/>
  <c r="I105" i="15"/>
  <c r="A105" i="15" s="1"/>
  <c r="B105" i="15"/>
  <c r="A104" i="15"/>
  <c r="C104" i="15"/>
  <c r="B104" i="15"/>
  <c r="I103" i="15"/>
  <c r="A103" i="15" s="1"/>
  <c r="B103" i="15"/>
  <c r="I102" i="15"/>
  <c r="A102" i="15" s="1"/>
  <c r="B102" i="15"/>
  <c r="A101" i="15"/>
  <c r="I101" i="15"/>
  <c r="B101" i="15"/>
  <c r="I100" i="15"/>
  <c r="A100" i="15" s="1"/>
  <c r="B100" i="15"/>
  <c r="I99" i="15"/>
  <c r="B99" i="15"/>
  <c r="A99" i="15"/>
  <c r="I98" i="15"/>
  <c r="B98" i="15"/>
  <c r="A98" i="15"/>
  <c r="C97" i="15"/>
  <c r="I97" i="15"/>
  <c r="A97" i="15" s="1"/>
  <c r="B97" i="15"/>
  <c r="I96" i="15"/>
  <c r="A96" i="15" s="1"/>
  <c r="A100" i="4" s="1"/>
  <c r="B96" i="15"/>
  <c r="A95" i="15"/>
  <c r="A99" i="4" s="1"/>
  <c r="I95" i="15"/>
  <c r="B95" i="15"/>
  <c r="I94" i="15"/>
  <c r="A94" i="15" s="1"/>
  <c r="B94" i="15"/>
  <c r="I93" i="15"/>
  <c r="A93" i="15" s="1"/>
  <c r="B93" i="15"/>
  <c r="C92" i="15"/>
  <c r="B92" i="15"/>
  <c r="A92" i="15"/>
  <c r="I91" i="15"/>
  <c r="A91" i="15" s="1"/>
  <c r="B91" i="15"/>
  <c r="I90" i="15"/>
  <c r="A90" i="15" s="1"/>
  <c r="B90" i="15"/>
  <c r="I89" i="15"/>
  <c r="A89" i="15" s="1"/>
  <c r="B89" i="15"/>
  <c r="I88" i="15"/>
  <c r="A88" i="15" s="1"/>
  <c r="A92" i="4" s="1"/>
  <c r="B88" i="15"/>
  <c r="I87" i="15"/>
  <c r="A87" i="15" s="1"/>
  <c r="A91" i="4" s="1"/>
  <c r="B87" i="15"/>
  <c r="I86" i="15"/>
  <c r="A86" i="15" s="1"/>
  <c r="A90" i="4" s="1"/>
  <c r="B86" i="15"/>
  <c r="A85" i="15"/>
  <c r="A89" i="4" s="1"/>
  <c r="I85" i="15"/>
  <c r="B85" i="15"/>
  <c r="I84" i="15"/>
  <c r="A84" i="15" s="1"/>
  <c r="A88" i="4" s="1"/>
  <c r="B84" i="15"/>
  <c r="I83" i="15"/>
  <c r="A83" i="15" s="1"/>
  <c r="A87" i="4" s="1"/>
  <c r="B83" i="15"/>
  <c r="I82" i="15"/>
  <c r="A82" i="15" s="1"/>
  <c r="A86" i="4" s="1"/>
  <c r="B82" i="15"/>
  <c r="C79" i="15"/>
  <c r="B79" i="15"/>
  <c r="C80" i="15"/>
  <c r="B80" i="15"/>
  <c r="C81" i="15"/>
  <c r="B81" i="15"/>
  <c r="I78" i="15"/>
  <c r="A78" i="15" s="1"/>
  <c r="A82" i="4" s="1"/>
  <c r="B78" i="15"/>
  <c r="I77" i="15"/>
  <c r="A77" i="15" s="1"/>
  <c r="A81" i="4" s="1"/>
  <c r="B77" i="15"/>
  <c r="I76" i="15"/>
  <c r="A76" i="15" s="1"/>
  <c r="A80" i="4" s="1"/>
  <c r="B76" i="15"/>
  <c r="I75" i="15"/>
  <c r="A75" i="15" s="1"/>
  <c r="A79" i="4" s="1"/>
  <c r="B75" i="15"/>
  <c r="I58" i="4"/>
  <c r="J58" i="4" s="1"/>
  <c r="K58" i="4"/>
  <c r="L58" i="4" s="1"/>
  <c r="R58" i="4"/>
  <c r="C73" i="15"/>
  <c r="C74" i="15"/>
  <c r="I74" i="15"/>
  <c r="A74" i="15" s="1"/>
  <c r="B74" i="15"/>
  <c r="I73" i="15"/>
  <c r="A73" i="15" s="1"/>
  <c r="B73" i="15"/>
  <c r="I72" i="15"/>
  <c r="A72" i="15" s="1"/>
  <c r="B72" i="15"/>
  <c r="I71" i="15"/>
  <c r="A71" i="15" s="1"/>
  <c r="B71" i="15"/>
  <c r="C69" i="15"/>
  <c r="C70" i="15"/>
  <c r="I69" i="15"/>
  <c r="A69" i="15" s="1"/>
  <c r="B69" i="15"/>
  <c r="I70" i="15"/>
  <c r="A70" i="15" s="1"/>
  <c r="B70" i="15"/>
  <c r="I68" i="15"/>
  <c r="A68" i="15" s="1"/>
  <c r="B68" i="15"/>
  <c r="I67" i="15"/>
  <c r="A67" i="15" s="1"/>
  <c r="B67" i="15"/>
  <c r="C65" i="15"/>
  <c r="B65" i="15"/>
  <c r="I64" i="15"/>
  <c r="A64" i="15" s="1"/>
  <c r="B64" i="15"/>
  <c r="I63" i="15"/>
  <c r="A63" i="15" s="1"/>
  <c r="B63" i="15"/>
  <c r="C61" i="15"/>
  <c r="C62" i="15"/>
  <c r="I60" i="15"/>
  <c r="A60" i="15" s="1"/>
  <c r="B60" i="15"/>
  <c r="I61" i="15"/>
  <c r="A61" i="15" s="1"/>
  <c r="B61" i="15"/>
  <c r="I62" i="15"/>
  <c r="A62" i="15" s="1"/>
  <c r="B62" i="15"/>
  <c r="I59" i="15"/>
  <c r="A59" i="15" s="1"/>
  <c r="B59" i="15"/>
  <c r="I58" i="15"/>
  <c r="A58" i="15" s="1"/>
  <c r="B58" i="15"/>
  <c r="I57" i="15"/>
  <c r="A57" i="15" s="1"/>
  <c r="B57" i="15"/>
  <c r="I56" i="15"/>
  <c r="A56" i="15" s="1"/>
  <c r="B56" i="15"/>
  <c r="C55" i="15"/>
  <c r="B55" i="15"/>
  <c r="I54" i="15"/>
  <c r="A54" i="15" s="1"/>
  <c r="B54" i="15"/>
  <c r="I53" i="15"/>
  <c r="A53" i="15" s="1"/>
  <c r="A57" i="4" s="1"/>
  <c r="B53" i="15"/>
  <c r="I52" i="15"/>
  <c r="A52" i="15" s="1"/>
  <c r="A56" i="4" s="1"/>
  <c r="B52" i="15"/>
  <c r="I51" i="15"/>
  <c r="A51" i="15" s="1"/>
  <c r="A55" i="4" s="1"/>
  <c r="B51" i="15"/>
  <c r="I50" i="15"/>
  <c r="A50" i="15" s="1"/>
  <c r="A54" i="4" s="1"/>
  <c r="B50" i="15"/>
  <c r="I49" i="15"/>
  <c r="A49" i="15" s="1"/>
  <c r="A53" i="4" s="1"/>
  <c r="B49" i="15"/>
  <c r="I48" i="15"/>
  <c r="A48" i="15" s="1"/>
  <c r="A52" i="4" s="1"/>
  <c r="B48" i="15"/>
  <c r="I47" i="15"/>
  <c r="A47" i="15" s="1"/>
  <c r="A51" i="4" s="1"/>
  <c r="B47" i="15"/>
  <c r="I46" i="15"/>
  <c r="A46" i="15" s="1"/>
  <c r="A50" i="4" s="1"/>
  <c r="B46" i="15"/>
  <c r="I45" i="15"/>
  <c r="A45" i="15" s="1"/>
  <c r="A49" i="4" s="1"/>
  <c r="B45" i="15"/>
  <c r="I44" i="15"/>
  <c r="A44" i="15" s="1"/>
  <c r="A48" i="4" s="1"/>
  <c r="B44" i="15"/>
  <c r="I43" i="15"/>
  <c r="A43" i="15" s="1"/>
  <c r="A47" i="4" s="1"/>
  <c r="B43" i="15"/>
  <c r="I42" i="15"/>
  <c r="A42" i="15" s="1"/>
  <c r="A46" i="4" s="1"/>
  <c r="B42" i="15"/>
  <c r="I41" i="15"/>
  <c r="A41" i="15" s="1"/>
  <c r="A45" i="4" s="1"/>
  <c r="B41" i="15"/>
  <c r="I40" i="15"/>
  <c r="A40" i="15" s="1"/>
  <c r="A44" i="4" s="1"/>
  <c r="B40" i="15"/>
  <c r="C39" i="15"/>
  <c r="C38" i="15"/>
  <c r="I39" i="15"/>
  <c r="A39" i="15" s="1"/>
  <c r="A43" i="4" s="1"/>
  <c r="B39" i="15"/>
  <c r="I38" i="15"/>
  <c r="A38" i="15" s="1"/>
  <c r="A42" i="4" s="1"/>
  <c r="B38" i="15"/>
  <c r="I37" i="15"/>
  <c r="A37" i="15" s="1"/>
  <c r="A41" i="4" s="1"/>
  <c r="B37" i="15"/>
  <c r="C32" i="15"/>
  <c r="C35" i="15"/>
  <c r="I36" i="15"/>
  <c r="A36" i="15" s="1"/>
  <c r="A40" i="4" s="1"/>
  <c r="B36" i="15"/>
  <c r="C17" i="15"/>
  <c r="C19" i="15"/>
  <c r="C21" i="15"/>
  <c r="C27" i="15"/>
  <c r="C28" i="15"/>
  <c r="C29" i="15"/>
  <c r="C30" i="15"/>
  <c r="I34" i="15"/>
  <c r="A34" i="15" s="1"/>
  <c r="A38" i="4" s="1"/>
  <c r="B34" i="15"/>
  <c r="I35" i="15"/>
  <c r="A35" i="15" s="1"/>
  <c r="A39" i="4" s="1"/>
  <c r="B35" i="15"/>
  <c r="I33" i="15"/>
  <c r="A33" i="15" s="1"/>
  <c r="A37" i="4" s="1"/>
  <c r="B33" i="15"/>
  <c r="I31" i="15"/>
  <c r="A31" i="15" s="1"/>
  <c r="A35" i="4" s="1"/>
  <c r="B31" i="15"/>
  <c r="I32" i="15"/>
  <c r="A32" i="15" s="1"/>
  <c r="A36" i="4" s="1"/>
  <c r="B32" i="15"/>
  <c r="I30" i="15"/>
  <c r="A30" i="15" s="1"/>
  <c r="A34" i="4" s="1"/>
  <c r="B30" i="15"/>
  <c r="I29" i="15"/>
  <c r="A29" i="15" s="1"/>
  <c r="A33" i="4" s="1"/>
  <c r="B29" i="15"/>
  <c r="I26" i="15"/>
  <c r="A26" i="15" s="1"/>
  <c r="A30" i="4" s="1"/>
  <c r="B26" i="15"/>
  <c r="I27" i="15"/>
  <c r="A27" i="15" s="1"/>
  <c r="A31" i="4" s="1"/>
  <c r="B27" i="15"/>
  <c r="I28" i="15"/>
  <c r="A28" i="15" s="1"/>
  <c r="A32" i="4" s="1"/>
  <c r="B28" i="15"/>
  <c r="I25" i="15"/>
  <c r="A25" i="15" s="1"/>
  <c r="A29" i="4" s="1"/>
  <c r="B25" i="15"/>
  <c r="I24" i="15"/>
  <c r="A24" i="15" s="1"/>
  <c r="A28" i="4" s="1"/>
  <c r="B24" i="15"/>
  <c r="I23" i="15"/>
  <c r="A27" i="4" s="1"/>
  <c r="B23" i="15"/>
  <c r="I22" i="15"/>
  <c r="A26" i="4" s="1"/>
  <c r="B22" i="15"/>
  <c r="I21" i="15"/>
  <c r="A25" i="4" s="1"/>
  <c r="B21" i="15"/>
  <c r="I20" i="15"/>
  <c r="A24" i="4" s="1"/>
  <c r="B20" i="15"/>
  <c r="I19" i="15"/>
  <c r="A23" i="4" s="1"/>
  <c r="B19" i="15"/>
  <c r="I18" i="15"/>
  <c r="A22" i="4" s="1"/>
  <c r="B18" i="15"/>
  <c r="I17" i="15"/>
  <c r="A21" i="4" s="1"/>
  <c r="B17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I13" i="15"/>
  <c r="B13" i="15"/>
  <c r="I14" i="15"/>
  <c r="B14" i="15"/>
  <c r="I15" i="15"/>
  <c r="B15" i="15"/>
  <c r="I16" i="15"/>
  <c r="A20" i="4" s="1"/>
  <c r="B16" i="15"/>
  <c r="I12" i="15"/>
  <c r="B12" i="15"/>
  <c r="I11" i="15"/>
  <c r="B11" i="15"/>
  <c r="I10" i="15"/>
  <c r="B10" i="15"/>
  <c r="I9" i="15"/>
  <c r="B9" i="15"/>
  <c r="I8" i="15"/>
  <c r="B8" i="15"/>
  <c r="I7" i="15"/>
  <c r="B7" i="15"/>
  <c r="I6" i="15"/>
  <c r="B6" i="15"/>
  <c r="I5" i="15"/>
  <c r="B5" i="15"/>
  <c r="I4" i="15"/>
  <c r="B4" i="15"/>
  <c r="I3" i="15"/>
  <c r="B3" i="15"/>
  <c r="I2" i="15"/>
  <c r="B2" i="15"/>
  <c r="Z2" i="4"/>
  <c r="A11" i="15"/>
  <c r="A15" i="4" s="1"/>
  <c r="A13" i="15"/>
  <c r="A17" i="4" s="1"/>
  <c r="A12" i="15"/>
  <c r="A16" i="4" s="1"/>
  <c r="A15" i="15"/>
  <c r="A19" i="4" s="1"/>
  <c r="A14" i="15"/>
  <c r="A18" i="4" s="1"/>
  <c r="A10" i="15"/>
  <c r="A14" i="4" s="1"/>
  <c r="A9" i="15"/>
  <c r="A13" i="4" s="1"/>
  <c r="A7" i="15"/>
  <c r="A11" i="4" s="1"/>
  <c r="A6" i="15"/>
  <c r="A10" i="4" s="1"/>
  <c r="A5" i="15"/>
  <c r="A9" i="4" s="1"/>
  <c r="A4" i="15"/>
  <c r="A8" i="4" s="1"/>
  <c r="A8" i="15"/>
  <c r="A12" i="4" s="1"/>
  <c r="A3" i="15"/>
  <c r="A7" i="4" s="1"/>
  <c r="A2" i="15"/>
  <c r="P38" i="4" l="1"/>
  <c r="R38" i="4"/>
  <c r="S38" i="4"/>
  <c r="T38" i="4"/>
  <c r="P39" i="4"/>
  <c r="R39" i="4"/>
  <c r="S39" i="4"/>
  <c r="T39" i="4"/>
  <c r="N43" i="4"/>
  <c r="N44" i="4"/>
  <c r="N45" i="4"/>
  <c r="N46" i="4"/>
  <c r="N49" i="4"/>
  <c r="N51" i="4"/>
  <c r="N52" i="4"/>
  <c r="N53" i="4"/>
  <c r="N54" i="4"/>
  <c r="N7" i="4"/>
  <c r="T8" i="4"/>
  <c r="T9" i="4"/>
  <c r="T10" i="4"/>
  <c r="T11" i="4"/>
  <c r="S12" i="4"/>
  <c r="S15" i="4"/>
  <c r="T16" i="4"/>
  <c r="T17" i="4"/>
  <c r="T18" i="4"/>
  <c r="N19" i="4"/>
  <c r="N20" i="4"/>
  <c r="N23" i="4"/>
  <c r="N25" i="4"/>
  <c r="R26" i="4"/>
  <c r="N27" i="4"/>
  <c r="T32" i="4"/>
  <c r="N33" i="4"/>
  <c r="Q34" i="4"/>
  <c r="N35" i="4"/>
  <c r="T6" i="4"/>
  <c r="N56" i="4"/>
  <c r="N48" i="4"/>
  <c r="N40" i="4"/>
  <c r="N39" i="4"/>
  <c r="N38" i="4"/>
  <c r="N9" i="4"/>
  <c r="A6" i="4" l="1"/>
  <c r="H56" i="4"/>
  <c r="I56" i="4" s="1"/>
  <c r="J56" i="4" s="1"/>
  <c r="H24" i="4"/>
  <c r="H31" i="4"/>
  <c r="I31" i="4" s="1"/>
  <c r="J31" i="4" s="1"/>
  <c r="N11" i="4"/>
  <c r="H29" i="4"/>
  <c r="I29" i="4" s="1"/>
  <c r="J29" i="4" s="1"/>
  <c r="H13" i="4"/>
  <c r="K13" i="4" s="1"/>
  <c r="L13" i="4" s="1"/>
  <c r="N17" i="4"/>
  <c r="Q17" i="4"/>
  <c r="R17" i="4"/>
  <c r="N12" i="4"/>
  <c r="K56" i="4"/>
  <c r="L56" i="4" s="1"/>
  <c r="K24" i="4"/>
  <c r="L24" i="4" s="1"/>
  <c r="H20" i="4"/>
  <c r="I20" i="4" s="1"/>
  <c r="J20" i="4" s="1"/>
  <c r="N16" i="4"/>
  <c r="N32" i="4"/>
  <c r="H52" i="4"/>
  <c r="I52" i="4" s="1"/>
  <c r="J52" i="4" s="1"/>
  <c r="N8" i="4"/>
  <c r="Q16" i="4"/>
  <c r="H44" i="4"/>
  <c r="P44" i="4" s="1"/>
  <c r="R16" i="4"/>
  <c r="H28" i="4"/>
  <c r="I28" i="4" s="1"/>
  <c r="J28" i="4" s="1"/>
  <c r="H12" i="4"/>
  <c r="I12" i="4" s="1"/>
  <c r="J12" i="4" s="1"/>
  <c r="H36" i="4"/>
  <c r="K36" i="4" s="1"/>
  <c r="L36" i="4" s="1"/>
  <c r="N24" i="4"/>
  <c r="H53" i="4"/>
  <c r="I53" i="4" s="1"/>
  <c r="J53" i="4" s="1"/>
  <c r="H45" i="4"/>
  <c r="I45" i="4" s="1"/>
  <c r="J45" i="4" s="1"/>
  <c r="H37" i="4"/>
  <c r="I37" i="4" s="1"/>
  <c r="J37" i="4" s="1"/>
  <c r="H21" i="4"/>
  <c r="P21" i="4" s="1"/>
  <c r="N18" i="4"/>
  <c r="Q18" i="4"/>
  <c r="H57" i="4"/>
  <c r="P57" i="4" s="1"/>
  <c r="H49" i="4"/>
  <c r="I49" i="4" s="1"/>
  <c r="J49" i="4" s="1"/>
  <c r="H41" i="4"/>
  <c r="K41" i="4" s="1"/>
  <c r="L41" i="4" s="1"/>
  <c r="H33" i="4"/>
  <c r="I33" i="4" s="1"/>
  <c r="J33" i="4" s="1"/>
  <c r="H25" i="4"/>
  <c r="P25" i="4" s="1"/>
  <c r="H17" i="4"/>
  <c r="P17" i="4" s="1"/>
  <c r="H9" i="4"/>
  <c r="H48" i="4"/>
  <c r="I48" i="4" s="1"/>
  <c r="J48" i="4" s="1"/>
  <c r="H40" i="4"/>
  <c r="I40" i="4" s="1"/>
  <c r="J40" i="4" s="1"/>
  <c r="H32" i="4"/>
  <c r="K32" i="4" s="1"/>
  <c r="L32" i="4" s="1"/>
  <c r="H23" i="4"/>
  <c r="I23" i="4" s="1"/>
  <c r="J23" i="4" s="1"/>
  <c r="H16" i="4"/>
  <c r="H8" i="4"/>
  <c r="I8" i="4" s="1"/>
  <c r="J8" i="4" s="1"/>
  <c r="N10" i="4"/>
  <c r="R8" i="4"/>
  <c r="R18" i="4"/>
  <c r="S54" i="4"/>
  <c r="N34" i="4"/>
  <c r="N26" i="4"/>
  <c r="H7" i="4"/>
  <c r="I7" i="4" s="1"/>
  <c r="J7" i="4" s="1"/>
  <c r="H50" i="4"/>
  <c r="H42" i="4"/>
  <c r="I42" i="4" s="1"/>
  <c r="J42" i="4" s="1"/>
  <c r="H34" i="4"/>
  <c r="K34" i="4" s="1"/>
  <c r="L34" i="4" s="1"/>
  <c r="H26" i="4"/>
  <c r="I26" i="4" s="1"/>
  <c r="J26" i="4" s="1"/>
  <c r="H18" i="4"/>
  <c r="P18" i="4" s="1"/>
  <c r="H10" i="4"/>
  <c r="P10" i="4" s="1"/>
  <c r="K50" i="4"/>
  <c r="L50" i="4" s="1"/>
  <c r="K26" i="4"/>
  <c r="L26" i="4" s="1"/>
  <c r="S9" i="4"/>
  <c r="N15" i="4"/>
  <c r="K25" i="4"/>
  <c r="L25" i="4" s="1"/>
  <c r="K9" i="4"/>
  <c r="L9" i="4" s="1"/>
  <c r="K29" i="4"/>
  <c r="L29" i="4" s="1"/>
  <c r="S8" i="4"/>
  <c r="T12" i="4"/>
  <c r="Q10" i="4"/>
  <c r="R34" i="4"/>
  <c r="H30" i="4"/>
  <c r="I30" i="4" s="1"/>
  <c r="J30" i="4" s="1"/>
  <c r="H22" i="4"/>
  <c r="P22" i="4" s="1"/>
  <c r="H14" i="4"/>
  <c r="P14" i="4" s="1"/>
  <c r="R10" i="4"/>
  <c r="R9" i="4"/>
  <c r="K6" i="4"/>
  <c r="L6" i="4" s="1"/>
  <c r="I6" i="4"/>
  <c r="N30" i="4"/>
  <c r="Q30" i="4"/>
  <c r="R30" i="4"/>
  <c r="T30" i="4"/>
  <c r="S30" i="4"/>
  <c r="S14" i="4"/>
  <c r="T14" i="4"/>
  <c r="Q41" i="4"/>
  <c r="R41" i="4"/>
  <c r="S41" i="4"/>
  <c r="T41" i="4"/>
  <c r="Q37" i="4"/>
  <c r="T37" i="4"/>
  <c r="R37" i="4"/>
  <c r="S37" i="4"/>
  <c r="Q29" i="4"/>
  <c r="P29" i="4"/>
  <c r="R29" i="4"/>
  <c r="T29" i="4"/>
  <c r="S29" i="4"/>
  <c r="N21" i="4"/>
  <c r="Q21" i="4"/>
  <c r="T21" i="4"/>
  <c r="R21" i="4"/>
  <c r="S21" i="4"/>
  <c r="N13" i="4"/>
  <c r="R13" i="4"/>
  <c r="Q13" i="4"/>
  <c r="P6" i="4"/>
  <c r="H51" i="4"/>
  <c r="I51" i="4" s="1"/>
  <c r="J51" i="4" s="1"/>
  <c r="N29" i="4"/>
  <c r="N37" i="4"/>
  <c r="N41" i="4"/>
  <c r="Q6" i="4"/>
  <c r="R6" i="4"/>
  <c r="S6" i="4"/>
  <c r="N22" i="4"/>
  <c r="Q22" i="4"/>
  <c r="R22" i="4"/>
  <c r="T22" i="4"/>
  <c r="S22" i="4"/>
  <c r="Q57" i="4"/>
  <c r="R57" i="4"/>
  <c r="S57" i="4"/>
  <c r="T57" i="4"/>
  <c r="N57" i="4"/>
  <c r="Q49" i="4"/>
  <c r="R49" i="4"/>
  <c r="S49" i="4"/>
  <c r="T49" i="4"/>
  <c r="H43" i="4"/>
  <c r="H35" i="4"/>
  <c r="P35" i="4" s="1"/>
  <c r="H27" i="4"/>
  <c r="I27" i="4" s="1"/>
  <c r="J27" i="4" s="1"/>
  <c r="H19" i="4"/>
  <c r="I19" i="4" s="1"/>
  <c r="J19" i="4" s="1"/>
  <c r="H11" i="4"/>
  <c r="P11" i="4" s="1"/>
  <c r="S31" i="4"/>
  <c r="T31" i="4"/>
  <c r="R31" i="4"/>
  <c r="P31" i="4"/>
  <c r="Q31" i="4"/>
  <c r="N31" i="4"/>
  <c r="S23" i="4"/>
  <c r="T23" i="4"/>
  <c r="P23" i="4"/>
  <c r="R23" i="4"/>
  <c r="Q23" i="4"/>
  <c r="T15" i="4"/>
  <c r="R15" i="4"/>
  <c r="T7" i="4"/>
  <c r="Q7" i="4"/>
  <c r="S7" i="4"/>
  <c r="T50" i="4"/>
  <c r="Q50" i="4"/>
  <c r="S50" i="4"/>
  <c r="N50" i="4"/>
  <c r="T42" i="4"/>
  <c r="Q42" i="4"/>
  <c r="R42" i="4"/>
  <c r="S42" i="4"/>
  <c r="N42" i="4"/>
  <c r="P56" i="4"/>
  <c r="R56" i="4"/>
  <c r="S56" i="4"/>
  <c r="P48" i="4"/>
  <c r="R48" i="4"/>
  <c r="S48" i="4"/>
  <c r="T48" i="4"/>
  <c r="R40" i="4"/>
  <c r="S40" i="4"/>
  <c r="T40" i="4"/>
  <c r="N36" i="4"/>
  <c r="R36" i="4"/>
  <c r="S36" i="4"/>
  <c r="T36" i="4"/>
  <c r="Q36" i="4"/>
  <c r="N28" i="4"/>
  <c r="R28" i="4"/>
  <c r="S28" i="4"/>
  <c r="T28" i="4"/>
  <c r="Q28" i="4"/>
  <c r="P28" i="4"/>
  <c r="R20" i="4"/>
  <c r="S20" i="4"/>
  <c r="T20" i="4"/>
  <c r="Q20" i="4"/>
  <c r="P20" i="4"/>
  <c r="N55" i="4"/>
  <c r="T55" i="4"/>
  <c r="Q55" i="4"/>
  <c r="R55" i="4"/>
  <c r="N47" i="4"/>
  <c r="T47" i="4"/>
  <c r="P47" i="4"/>
  <c r="R47" i="4"/>
  <c r="Q35" i="4"/>
  <c r="S35" i="4"/>
  <c r="R35" i="4"/>
  <c r="T35" i="4"/>
  <c r="Q27" i="4"/>
  <c r="S27" i="4"/>
  <c r="R27" i="4"/>
  <c r="T27" i="4"/>
  <c r="Q19" i="4"/>
  <c r="R19" i="4"/>
  <c r="T19" i="4"/>
  <c r="R54" i="4"/>
  <c r="T54" i="4"/>
  <c r="Q46" i="4"/>
  <c r="T46" i="4"/>
  <c r="S46" i="4"/>
  <c r="K31" i="4"/>
  <c r="L31" i="4" s="1"/>
  <c r="H55" i="4"/>
  <c r="H47" i="4"/>
  <c r="H39" i="4"/>
  <c r="T34" i="4"/>
  <c r="S34" i="4"/>
  <c r="T26" i="4"/>
  <c r="Q26" i="4"/>
  <c r="S26" i="4"/>
  <c r="Q53" i="4"/>
  <c r="R53" i="4"/>
  <c r="S53" i="4"/>
  <c r="T53" i="4"/>
  <c r="Q45" i="4"/>
  <c r="R45" i="4"/>
  <c r="S45" i="4"/>
  <c r="T45" i="4"/>
  <c r="T24" i="4"/>
  <c r="K45" i="4"/>
  <c r="L45" i="4" s="1"/>
  <c r="Q33" i="4"/>
  <c r="R33" i="4"/>
  <c r="S33" i="4"/>
  <c r="T33" i="4"/>
  <c r="Q25" i="4"/>
  <c r="R25" i="4"/>
  <c r="S25" i="4"/>
  <c r="T25" i="4"/>
  <c r="R52" i="4"/>
  <c r="S52" i="4"/>
  <c r="T52" i="4"/>
  <c r="Q52" i="4"/>
  <c r="R44" i="4"/>
  <c r="S44" i="4"/>
  <c r="T44" i="4"/>
  <c r="Q44" i="4"/>
  <c r="S11" i="4"/>
  <c r="T56" i="4"/>
  <c r="Q40" i="4"/>
  <c r="R32" i="4"/>
  <c r="Q32" i="4"/>
  <c r="S32" i="4"/>
  <c r="R24" i="4"/>
  <c r="Q24" i="4"/>
  <c r="Q51" i="4"/>
  <c r="S51" i="4"/>
  <c r="T51" i="4"/>
  <c r="R51" i="4"/>
  <c r="P43" i="4"/>
  <c r="S43" i="4"/>
  <c r="T43" i="4"/>
  <c r="R43" i="4"/>
  <c r="R11" i="4"/>
  <c r="S10" i="4"/>
  <c r="Q56" i="4"/>
  <c r="S13" i="4"/>
  <c r="R12" i="4"/>
  <c r="T13" i="4"/>
  <c r="N14" i="4"/>
  <c r="Q14" i="4"/>
  <c r="R14" i="4"/>
  <c r="K52" i="4"/>
  <c r="L52" i="4" s="1"/>
  <c r="K28" i="4"/>
  <c r="L28" i="4" s="1"/>
  <c r="K20" i="4"/>
  <c r="L20" i="4" s="1"/>
  <c r="K37" i="4"/>
  <c r="L37" i="4" s="1"/>
  <c r="H15" i="4"/>
  <c r="Q15" i="4" s="1"/>
  <c r="H46" i="4"/>
  <c r="H54" i="4"/>
  <c r="H38" i="4"/>
  <c r="P12" i="4"/>
  <c r="P13" i="4"/>
  <c r="I54" i="4" l="1"/>
  <c r="J54" i="4" s="1"/>
  <c r="Q54" i="4"/>
  <c r="I46" i="4"/>
  <c r="J46" i="4" s="1"/>
  <c r="K46" i="4"/>
  <c r="L46" i="4" s="1"/>
  <c r="R46" i="4"/>
  <c r="K47" i="4"/>
  <c r="L47" i="4" s="1"/>
  <c r="S47" i="4"/>
  <c r="I55" i="4"/>
  <c r="J55" i="4" s="1"/>
  <c r="S55" i="4"/>
  <c r="I43" i="4"/>
  <c r="J43" i="4" s="1"/>
  <c r="K43" i="4"/>
  <c r="L43" i="4" s="1"/>
  <c r="I50" i="4"/>
  <c r="J50" i="4" s="1"/>
  <c r="R50" i="4"/>
  <c r="K38" i="4"/>
  <c r="L38" i="4" s="1"/>
  <c r="Q38" i="4"/>
  <c r="I39" i="4"/>
  <c r="J39" i="4" s="1"/>
  <c r="Q39" i="4"/>
  <c r="K39" i="4"/>
  <c r="L39" i="4" s="1"/>
  <c r="P24" i="4"/>
  <c r="S24" i="4"/>
  <c r="P16" i="4"/>
  <c r="S16" i="4"/>
  <c r="Q9" i="4"/>
  <c r="P9" i="4"/>
  <c r="Q8" i="4"/>
  <c r="K15" i="4"/>
  <c r="L15" i="4" s="1"/>
  <c r="K12" i="4"/>
  <c r="L12" i="4" s="1"/>
  <c r="K17" i="4"/>
  <c r="L17" i="4" s="1"/>
  <c r="Q12" i="4"/>
  <c r="R7" i="4"/>
  <c r="S18" i="4"/>
  <c r="K14" i="4"/>
  <c r="L14" i="4" s="1"/>
  <c r="Q11" i="4"/>
  <c r="S19" i="4"/>
  <c r="K16" i="4"/>
  <c r="L16" i="4" s="1"/>
  <c r="S17" i="4"/>
  <c r="I57" i="4"/>
  <c r="J57" i="4" s="1"/>
  <c r="K7" i="4"/>
  <c r="L7" i="4" s="1"/>
  <c r="I13" i="4"/>
  <c r="J13" i="4" s="1"/>
  <c r="K54" i="4"/>
  <c r="L54" i="4" s="1"/>
  <c r="K23" i="4"/>
  <c r="L23" i="4" s="1"/>
  <c r="K40" i="4"/>
  <c r="L40" i="4" s="1"/>
  <c r="K55" i="4"/>
  <c r="L55" i="4" s="1"/>
  <c r="K53" i="4"/>
  <c r="L53" i="4" s="1"/>
  <c r="K22" i="4"/>
  <c r="L22" i="4" s="1"/>
  <c r="K11" i="4"/>
  <c r="L11" i="4" s="1"/>
  <c r="J6" i="4"/>
  <c r="K21" i="4"/>
  <c r="L21" i="4" s="1"/>
  <c r="K19" i="4"/>
  <c r="L19" i="4" s="1"/>
  <c r="K51" i="4"/>
  <c r="L51" i="4" s="1"/>
  <c r="P41" i="4"/>
  <c r="K27" i="4"/>
  <c r="L27" i="4" s="1"/>
  <c r="K18" i="4"/>
  <c r="L18" i="4" s="1"/>
  <c r="K10" i="4"/>
  <c r="L10" i="4" s="1"/>
  <c r="K44" i="4"/>
  <c r="L44" i="4" s="1"/>
  <c r="P53" i="4"/>
  <c r="P42" i="4"/>
  <c r="I41" i="4"/>
  <c r="J41" i="4" s="1"/>
  <c r="K42" i="4"/>
  <c r="L42" i="4" s="1"/>
  <c r="K8" i="4"/>
  <c r="L8" i="4" s="1"/>
  <c r="P7" i="4"/>
  <c r="P40" i="4"/>
  <c r="P37" i="4"/>
  <c r="I24" i="4"/>
  <c r="J24" i="4" s="1"/>
  <c r="I18" i="4"/>
  <c r="J18" i="4" s="1"/>
  <c r="P45" i="4"/>
  <c r="P33" i="4"/>
  <c r="P36" i="4"/>
  <c r="I36" i="4"/>
  <c r="J36" i="4" s="1"/>
  <c r="Q48" i="4"/>
  <c r="I11" i="4"/>
  <c r="J11" i="4" s="1"/>
  <c r="I9" i="4"/>
  <c r="J9" i="4" s="1"/>
  <c r="I47" i="4"/>
  <c r="J47" i="4" s="1"/>
  <c r="I44" i="4"/>
  <c r="J44" i="4" s="1"/>
  <c r="K57" i="4"/>
  <c r="L57" i="4" s="1"/>
  <c r="P26" i="4"/>
  <c r="I21" i="4"/>
  <c r="J21" i="4" s="1"/>
  <c r="K33" i="4"/>
  <c r="L33" i="4" s="1"/>
  <c r="P34" i="4"/>
  <c r="K48" i="4"/>
  <c r="L48" i="4" s="1"/>
  <c r="P52" i="4"/>
  <c r="I22" i="4"/>
  <c r="J22" i="4" s="1"/>
  <c r="I32" i="4"/>
  <c r="J32" i="4" s="1"/>
  <c r="K35" i="4"/>
  <c r="L35" i="4" s="1"/>
  <c r="K49" i="4"/>
  <c r="L49" i="4" s="1"/>
  <c r="I10" i="4"/>
  <c r="J10" i="4" s="1"/>
  <c r="P32" i="4"/>
  <c r="P49" i="4"/>
  <c r="I16" i="4"/>
  <c r="J16" i="4" s="1"/>
  <c r="P8" i="4"/>
  <c r="I17" i="4"/>
  <c r="J17" i="4" s="1"/>
  <c r="I25" i="4"/>
  <c r="J25" i="4" s="1"/>
  <c r="P50" i="4"/>
  <c r="K30" i="4"/>
  <c r="L30" i="4" s="1"/>
  <c r="P27" i="4"/>
  <c r="P30" i="4"/>
  <c r="I34" i="4"/>
  <c r="J34" i="4" s="1"/>
  <c r="Q47" i="4"/>
  <c r="I14" i="4"/>
  <c r="J14" i="4" s="1"/>
  <c r="P51" i="4"/>
  <c r="P46" i="4"/>
  <c r="P55" i="4"/>
  <c r="Q43" i="4"/>
  <c r="P54" i="4"/>
  <c r="I35" i="4"/>
  <c r="J35" i="4" s="1"/>
  <c r="P19" i="4"/>
  <c r="I38" i="4"/>
  <c r="J38" i="4" s="1"/>
  <c r="P15" i="4"/>
  <c r="I15" i="4"/>
  <c r="J15" i="4" s="1"/>
  <c r="P3" i="4" l="1"/>
  <c r="AB2" i="4"/>
  <c r="AD2" i="4"/>
  <c r="R3" i="4"/>
  <c r="T3" i="4"/>
  <c r="Q3" i="4"/>
  <c r="S3" i="4"/>
  <c r="U3" i="4" l="1"/>
  <c r="P2" i="4" s="1"/>
  <c r="S2" i="4" l="1"/>
  <c r="Q2" i="4"/>
  <c r="T2" i="4"/>
  <c r="R2" i="4"/>
  <c r="R1357" i="14" l="1"/>
  <c r="L1357" i="14" s="1"/>
  <c r="S1357" i="14"/>
  <c r="M1357" i="14" s="1"/>
  <c r="B6" i="4"/>
  <c r="C6" i="4"/>
  <c r="B7" i="4"/>
  <c r="C7" i="4"/>
  <c r="C8" i="4"/>
  <c r="B9" i="4"/>
  <c r="C9" i="4"/>
  <c r="C10" i="4"/>
  <c r="B11" i="4"/>
  <c r="C11" i="4"/>
  <c r="C12" i="4"/>
  <c r="B13" i="4"/>
  <c r="C13" i="4"/>
  <c r="C14" i="4"/>
  <c r="B15" i="4"/>
  <c r="C15" i="4"/>
  <c r="C16" i="4"/>
  <c r="B17" i="4"/>
  <c r="C17" i="4"/>
  <c r="C18" i="4"/>
  <c r="B19" i="4"/>
  <c r="C19" i="4"/>
  <c r="B8" i="4"/>
  <c r="B10" i="4"/>
  <c r="B12" i="4"/>
  <c r="B14" i="4"/>
  <c r="B16" i="4"/>
  <c r="B18" i="4"/>
  <c r="B21" i="4"/>
  <c r="C21" i="4"/>
  <c r="C22" i="4"/>
  <c r="B22" i="4"/>
  <c r="C23" i="4"/>
  <c r="C24" i="4"/>
  <c r="C25" i="4"/>
  <c r="C27" i="4"/>
  <c r="B30" i="4"/>
  <c r="C30" i="4"/>
  <c r="C31" i="4"/>
  <c r="C32" i="4"/>
  <c r="C33" i="4"/>
  <c r="C34" i="4"/>
  <c r="B34" i="4"/>
  <c r="C44" i="4"/>
  <c r="C47" i="4"/>
  <c r="C52" i="4"/>
  <c r="C80" i="4"/>
  <c r="C91" i="4"/>
  <c r="C127" i="4"/>
  <c r="C130" i="4"/>
  <c r="C131" i="4"/>
  <c r="B131" i="4"/>
  <c r="C135" i="4"/>
  <c r="C138" i="4"/>
  <c r="C145" i="4"/>
  <c r="C152" i="4"/>
  <c r="S100" i="14" l="1"/>
  <c r="S24" i="14"/>
  <c r="R62" i="14"/>
  <c r="S58" i="14"/>
  <c r="S71" i="14"/>
  <c r="S79" i="14"/>
  <c r="S128" i="14"/>
  <c r="R57" i="14"/>
  <c r="S90" i="14"/>
  <c r="S68" i="14"/>
  <c r="R39" i="14"/>
  <c r="S82" i="14"/>
  <c r="R26" i="14"/>
  <c r="R53" i="14"/>
  <c r="R93" i="14"/>
  <c r="R116" i="14"/>
  <c r="R108" i="14"/>
  <c r="S67" i="14"/>
  <c r="R140" i="14"/>
  <c r="R146" i="14"/>
  <c r="S63" i="14"/>
  <c r="R141" i="14"/>
  <c r="S50" i="14"/>
  <c r="R75" i="14"/>
  <c r="S26" i="14"/>
  <c r="R52" i="14"/>
  <c r="S85" i="14"/>
  <c r="S38" i="14"/>
  <c r="R86" i="14"/>
  <c r="R9" i="14"/>
  <c r="R77" i="14"/>
  <c r="S96" i="14"/>
  <c r="R96" i="14"/>
  <c r="S23" i="14"/>
  <c r="S110" i="14"/>
  <c r="S32" i="14"/>
  <c r="R47" i="14"/>
  <c r="S75" i="14"/>
  <c r="S121" i="14"/>
  <c r="R131" i="14"/>
  <c r="S129" i="14"/>
  <c r="S56" i="14"/>
  <c r="R23" i="14"/>
  <c r="R126" i="14"/>
  <c r="S81" i="14"/>
  <c r="S44" i="14"/>
  <c r="S125" i="14"/>
  <c r="S91" i="14"/>
  <c r="S86" i="14"/>
  <c r="R25" i="14"/>
  <c r="S70" i="14"/>
  <c r="R124" i="14"/>
  <c r="S16" i="14"/>
  <c r="R100" i="14"/>
  <c r="R104" i="14"/>
  <c r="R61" i="14"/>
  <c r="R119" i="14"/>
  <c r="S131" i="14"/>
  <c r="S124" i="14"/>
  <c r="R81" i="14"/>
  <c r="S127" i="14"/>
  <c r="R18" i="14"/>
  <c r="S31" i="14"/>
  <c r="R27" i="14"/>
  <c r="R120" i="14"/>
  <c r="S102" i="14"/>
  <c r="S94" i="14"/>
  <c r="R8" i="14"/>
  <c r="R121" i="14"/>
  <c r="S107" i="14"/>
  <c r="R11" i="14"/>
  <c r="R84" i="14"/>
  <c r="R109" i="14"/>
  <c r="S69" i="14"/>
  <c r="R46" i="14"/>
  <c r="S113" i="14"/>
  <c r="S19" i="14"/>
  <c r="R54" i="14"/>
  <c r="R113" i="14"/>
  <c r="R56" i="14"/>
  <c r="R7" i="14"/>
  <c r="R65" i="14"/>
  <c r="R134" i="14"/>
  <c r="S134" i="14"/>
  <c r="S12" i="14"/>
  <c r="R29" i="14"/>
  <c r="R58" i="14"/>
  <c r="S138" i="14"/>
  <c r="R73" i="14"/>
  <c r="R40" i="14"/>
  <c r="S83" i="14"/>
  <c r="S88" i="14"/>
  <c r="S18" i="14"/>
  <c r="R95" i="14"/>
  <c r="R69" i="14"/>
  <c r="S106" i="14"/>
  <c r="S46" i="14"/>
  <c r="R111" i="14"/>
  <c r="S52" i="14"/>
  <c r="S140" i="14"/>
  <c r="R22" i="14"/>
  <c r="R60" i="14"/>
  <c r="R78" i="14"/>
  <c r="S72" i="14"/>
  <c r="R32" i="14"/>
  <c r="R19" i="14"/>
  <c r="R125" i="14"/>
  <c r="S132" i="14"/>
  <c r="R99" i="14"/>
  <c r="S20" i="14"/>
  <c r="S143" i="14"/>
  <c r="S144" i="14"/>
  <c r="R123" i="14"/>
  <c r="S51" i="14"/>
  <c r="R14" i="14"/>
  <c r="S48" i="14"/>
  <c r="R43" i="14"/>
  <c r="S80" i="14"/>
  <c r="R118" i="14"/>
  <c r="S15" i="14"/>
  <c r="R67" i="14"/>
  <c r="S42" i="14"/>
  <c r="S147" i="14"/>
  <c r="S45" i="14"/>
  <c r="S10" i="14"/>
  <c r="S120" i="14"/>
  <c r="S114" i="14"/>
  <c r="R48" i="14"/>
  <c r="S103" i="14"/>
  <c r="S95" i="14"/>
  <c r="R90" i="14"/>
  <c r="R33" i="14"/>
  <c r="S66" i="14"/>
  <c r="S41" i="14"/>
  <c r="R94" i="14"/>
  <c r="S141" i="14"/>
  <c r="S111" i="14"/>
  <c r="R114" i="14"/>
  <c r="R16" i="14"/>
  <c r="S97" i="14"/>
  <c r="S59" i="14"/>
  <c r="R149" i="14"/>
  <c r="S130" i="14"/>
  <c r="R142" i="14"/>
  <c r="R138" i="14"/>
  <c r="S146" i="14"/>
  <c r="R132" i="14"/>
  <c r="S57" i="14"/>
  <c r="R49" i="14"/>
  <c r="R97" i="14"/>
  <c r="S78" i="14"/>
  <c r="S28" i="14"/>
  <c r="R71" i="14"/>
  <c r="R5" i="14"/>
  <c r="S112" i="14"/>
  <c r="S49" i="14"/>
  <c r="R24" i="14"/>
  <c r="R144" i="14"/>
  <c r="S109" i="14"/>
  <c r="R10" i="14"/>
  <c r="R68" i="14"/>
  <c r="S34" i="14"/>
  <c r="R101" i="14"/>
  <c r="S89" i="14"/>
  <c r="R76" i="14"/>
  <c r="R20" i="14"/>
  <c r="S11" i="14"/>
  <c r="S40" i="14"/>
  <c r="R80" i="14"/>
  <c r="R147" i="14"/>
  <c r="S117" i="14"/>
  <c r="R133" i="14"/>
  <c r="S151" i="14"/>
  <c r="S27" i="14"/>
  <c r="R31" i="14"/>
  <c r="S136" i="14"/>
  <c r="S64" i="14"/>
  <c r="R45" i="14"/>
  <c r="R103" i="14"/>
  <c r="R129" i="14"/>
  <c r="S150" i="14"/>
  <c r="S87" i="14"/>
  <c r="R151" i="14"/>
  <c r="R59" i="14"/>
  <c r="S142" i="14"/>
  <c r="R21" i="14"/>
  <c r="R44" i="14"/>
  <c r="S133" i="14"/>
  <c r="R70" i="14"/>
  <c r="S148" i="14"/>
  <c r="S14" i="14"/>
  <c r="S13" i="14"/>
  <c r="R38" i="14"/>
  <c r="R50" i="14"/>
  <c r="S43" i="14"/>
  <c r="R79" i="14"/>
  <c r="S108" i="14"/>
  <c r="S139" i="14"/>
  <c r="S60" i="14"/>
  <c r="R30" i="14"/>
  <c r="S126" i="14"/>
  <c r="R136" i="14"/>
  <c r="R55" i="14"/>
  <c r="R63" i="14"/>
  <c r="R35" i="14"/>
  <c r="S119" i="14"/>
  <c r="S118" i="14"/>
  <c r="R6" i="14"/>
  <c r="S74" i="14"/>
  <c r="R83" i="14"/>
  <c r="R139" i="14"/>
  <c r="S30" i="14"/>
  <c r="R148" i="14"/>
  <c r="R12" i="14"/>
  <c r="R51" i="14"/>
  <c r="R127" i="14"/>
  <c r="R106" i="14"/>
  <c r="S104" i="14"/>
  <c r="S92" i="14"/>
  <c r="R72" i="14"/>
  <c r="S54" i="14"/>
  <c r="S53" i="14"/>
  <c r="S55" i="14"/>
  <c r="R17" i="14"/>
  <c r="S115" i="14"/>
  <c r="S145" i="14"/>
  <c r="R85" i="14"/>
  <c r="S62" i="14"/>
  <c r="R115" i="14"/>
  <c r="R105" i="14"/>
  <c r="S47" i="14"/>
  <c r="S65" i="14"/>
  <c r="R122" i="14"/>
  <c r="R28" i="14"/>
  <c r="S105" i="14"/>
  <c r="R91" i="14"/>
  <c r="R150" i="14"/>
  <c r="S149" i="14"/>
  <c r="R130" i="14"/>
  <c r="R42" i="14"/>
  <c r="S135" i="14"/>
  <c r="S73" i="14"/>
  <c r="R36" i="14"/>
  <c r="S33" i="14"/>
  <c r="S84" i="14"/>
  <c r="S116" i="14"/>
  <c r="R92" i="14"/>
  <c r="R128" i="14"/>
  <c r="S35" i="14"/>
  <c r="S39" i="14"/>
  <c r="S101" i="14"/>
  <c r="R13" i="14"/>
  <c r="R37" i="14"/>
  <c r="R110" i="14"/>
  <c r="S25" i="14"/>
  <c r="R102" i="14"/>
  <c r="R34" i="14"/>
  <c r="R98" i="14"/>
  <c r="R89" i="14"/>
  <c r="R4" i="14"/>
  <c r="S21" i="14"/>
  <c r="S99" i="14"/>
  <c r="R74" i="14"/>
  <c r="R66" i="14"/>
  <c r="S17" i="14"/>
  <c r="R143" i="14"/>
  <c r="S76" i="14"/>
  <c r="R82" i="14"/>
  <c r="S123" i="14"/>
  <c r="S36" i="14"/>
  <c r="R41" i="14"/>
  <c r="S77" i="14"/>
  <c r="S37" i="14"/>
  <c r="R15" i="14"/>
  <c r="S122" i="14"/>
  <c r="R107" i="14"/>
  <c r="R137" i="14"/>
  <c r="R88" i="14"/>
  <c r="R117" i="14"/>
  <c r="R112" i="14"/>
  <c r="S137" i="14"/>
  <c r="R87" i="14"/>
  <c r="R64" i="14"/>
  <c r="S29" i="14"/>
  <c r="R135" i="14"/>
  <c r="S61" i="14"/>
  <c r="S93" i="14"/>
  <c r="S22" i="14"/>
  <c r="R145" i="14"/>
  <c r="S98" i="14"/>
</calcChain>
</file>

<file path=xl/sharedStrings.xml><?xml version="1.0" encoding="utf-8"?>
<sst xmlns="http://schemas.openxmlformats.org/spreadsheetml/2006/main" count="2075" uniqueCount="100">
  <si>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</si>
  <si>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</si>
  <si>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</si>
  <si>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</si>
  <si>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</si>
  <si>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</si>
  <si>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</si>
  <si>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</si>
  <si>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</si>
  <si>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</si>
  <si>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</si>
  <si>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</si>
  <si>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</si>
  <si>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</si>
  <si>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</si>
  <si>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</si>
  <si>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</si>
  <si>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</si>
  <si>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</si>
  <si>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</si>
  <si>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</si>
  <si>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</si>
  <si>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</si>
  <si>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</si>
  <si>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</si>
  <si>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</si>
  <si>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</si>
  <si>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</si>
  <si>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</si>
  <si>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</si>
  <si>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</si>
  <si>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</si>
  <si>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</si>
  <si>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</si>
  <si>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</si>
  <si>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</si>
  <si>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</si>
  <si>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</si>
  <si>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</si>
  <si>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</si>
  <si>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</si>
  <si>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</si>
  <si>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</si>
  <si>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</si>
  <si>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</si>
  <si>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</si>
  <si>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</si>
  <si>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</si>
  <si>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</si>
  <si>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</si>
  <si>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</si>
  <si>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</si>
  <si>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</si>
  <si>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</si>
  <si>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</si>
  <si>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>dom</t>
  </si>
  <si>
    <t>dominantly</t>
  </si>
  <si>
    <t>pl</t>
  </si>
  <si>
    <t>pale</t>
  </si>
  <si>
    <t>Brightness Code</t>
  </si>
  <si>
    <t> </t>
  </si>
  <si>
    <t>Stimpee 7 _OP</t>
  </si>
  <si>
    <t>vf</t>
  </si>
  <si>
    <t>VF</t>
  </si>
  <si>
    <t>mod bri - bri</t>
  </si>
  <si>
    <t>dll - bri</t>
  </si>
  <si>
    <t>dll - mod bri</t>
  </si>
  <si>
    <t>f-med</t>
  </si>
  <si>
    <t xml:space="preserve">f </t>
  </si>
  <si>
    <t>f-crs</t>
  </si>
  <si>
    <t>vf-med</t>
  </si>
  <si>
    <t>vf-crs</t>
  </si>
  <si>
    <t>Y</t>
  </si>
  <si>
    <t>y</t>
  </si>
  <si>
    <t>N</t>
  </si>
  <si>
    <t>vf - f</t>
  </si>
  <si>
    <t>Description</t>
  </si>
  <si>
    <t>Reservoir Description</t>
  </si>
  <si>
    <t>Show Description</t>
  </si>
  <si>
    <t>cutoff</t>
  </si>
  <si>
    <t>Upper</t>
  </si>
  <si>
    <t>Lower</t>
  </si>
  <si>
    <t>VC</t>
  </si>
  <si>
    <t xml:space="preserve">SAMPLES </t>
  </si>
  <si>
    <t>Top DC20-20</t>
  </si>
  <si>
    <t>DC20-20 intersected</t>
  </si>
  <si>
    <t>Upper pay/in reservoir</t>
  </si>
  <si>
    <t>Lower pay/in reservoir</t>
  </si>
  <si>
    <t>Upper Class Cut Off</t>
  </si>
  <si>
    <t>sum</t>
  </si>
  <si>
    <t>pay</t>
  </si>
  <si>
    <t>Lower Class Cut Off</t>
  </si>
  <si>
    <t>Sample Description</t>
  </si>
  <si>
    <t>Depth</t>
  </si>
  <si>
    <t>TG</t>
  </si>
  <si>
    <t>%SS</t>
  </si>
  <si>
    <t>%fluoro</t>
  </si>
  <si>
    <t>interval</t>
  </si>
  <si>
    <t>pay?</t>
  </si>
  <si>
    <t>max gr 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</si>
</sst>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theme="1"/>
      <name val="Segoe UI"/>
    </font>
    <font>
      <sz val="11"/>
      <color theme="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7" fillId="0" borderId="0"/>
  </cellStyleXfs>
  <cellXfs count="78">
    <xf numFmtId="0" fontId="0" fillId="0" borderId="0" xfId="0"/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3" xfId="0" applyNumberFormat="1" applyBorder="1"/>
    <xf numFmtId="166" fontId="0" fillId="0" borderId="0" xfId="1" applyNumberFormat="1" applyFont="1"/>
    <xf numFmtId="165" fontId="0" fillId="0" borderId="2" xfId="0" applyNumberFormat="1" applyBorder="1"/>
    <xf numFmtId="1" fontId="0" fillId="0" borderId="2" xfId="0" applyNumberFormat="1" applyBorder="1"/>
    <xf numFmtId="2" fontId="0" fillId="0" borderId="3" xfId="0" applyNumberFormat="1" applyBorder="1"/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3" borderId="2" xfId="0" applyFill="1" applyBorder="1" applyAlignment="1">
      <alignment horizontal="right"/>
    </xf>
    <xf numFmtId="0" fontId="0" fillId="3" borderId="2" xfId="0" applyFill="1" applyBorder="1"/>
    <xf numFmtId="0" fontId="0" fillId="3" borderId="0" xfId="0" applyFill="1"/>
    <xf numFmtId="0" fontId="0" fillId="3" borderId="4" xfId="0" applyFill="1" applyBorder="1" applyAlignment="1">
      <alignment wrapText="1"/>
    </xf>
    <xf numFmtId="0" fontId="6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0" fontId="3" fillId="0" borderId="2" xfId="0" applyFont="1" applyBorder="1"/>
    <xf numFmtId="1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3" fillId="0" borderId="0" xfId="0" applyFont="1"/>
    <xf numFmtId="0" fontId="0" fillId="3" borderId="0" xfId="0" applyFill="1" applyAlignment="1">
      <alignment wrapText="1"/>
    </xf>
    <xf numFmtId="0" fontId="3" fillId="0" borderId="0" xfId="0" applyFont="1" applyAlignment="1">
      <alignment wrapText="1"/>
    </xf>
    <xf numFmtId="0" fontId="2" fillId="2" borderId="1" xfId="2"/>
    <xf numFmtId="22" fontId="0" fillId="0" borderId="0" xfId="0" applyNumberFormat="1"/>
    <xf numFmtId="0" fontId="8" fillId="0" borderId="0" xfId="3" applyFont="1"/>
    <xf numFmtId="0" fontId="9" fillId="0" borderId="0" xfId="3" applyFont="1"/>
    <xf numFmtId="0" fontId="10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1" fillId="0" borderId="0" xfId="3" applyFont="1"/>
    <xf numFmtId="0" fontId="9" fillId="0" borderId="8" xfId="3" applyFont="1" applyBorder="1"/>
    <xf numFmtId="0" fontId="9" fillId="0" borderId="9" xfId="3" applyFont="1" applyBorder="1"/>
    <xf numFmtId="0" fontId="9" fillId="0" borderId="4" xfId="3" applyFont="1" applyBorder="1"/>
    <xf numFmtId="0" fontId="9" fillId="0" borderId="10" xfId="3" applyFont="1" applyBorder="1"/>
    <xf numFmtId="0" fontId="9" fillId="0" borderId="11" xfId="3" applyFont="1" applyBorder="1"/>
    <xf numFmtId="0" fontId="9" fillId="0" borderId="12" xfId="3" applyFont="1" applyBorder="1"/>
    <xf numFmtId="0" fontId="9" fillId="0" borderId="0" xfId="3" applyFont="1" applyAlignment="1">
      <alignment horizontal="center" vertical="center"/>
    </xf>
    <xf numFmtId="14" fontId="9" fillId="0" borderId="0" xfId="3" applyNumberFormat="1" applyFont="1"/>
    <xf numFmtId="14" fontId="10" fillId="0" borderId="0" xfId="3" applyNumberFormat="1" applyFont="1" applyAlignment="1">
      <alignment horizontal="center"/>
    </xf>
    <xf numFmtId="14" fontId="9" fillId="0" borderId="0" xfId="3" applyNumberFormat="1" applyFont="1" applyAlignment="1">
      <alignment horizontal="center"/>
    </xf>
    <xf numFmtId="0" fontId="12" fillId="0" borderId="0" xfId="3" applyFont="1"/>
    <xf numFmtId="0" fontId="13" fillId="0" borderId="0" xfId="3" applyFont="1" applyAlignment="1">
      <alignment horizontal="left"/>
    </xf>
    <xf numFmtId="0" fontId="0" fillId="0" borderId="9" xfId="0" applyBorder="1"/>
    <xf numFmtId="0" fontId="3" fillId="0" borderId="8" xfId="0" applyFont="1" applyBorder="1"/>
    <xf numFmtId="0" fontId="9" fillId="0" borderId="0" xfId="0" applyFont="1" applyAlignment="1">
      <alignment horizontal="center"/>
    </xf>
    <xf numFmtId="20" fontId="9" fillId="0" borderId="0" xfId="3" applyNumberFormat="1" applyFont="1" applyAlignment="1">
      <alignment horizontal="center"/>
    </xf>
    <xf numFmtId="0" fontId="14" fillId="0" borderId="0" xfId="0" applyFont="1"/>
    <xf numFmtId="0" fontId="15" fillId="0" borderId="8" xfId="0" applyFont="1" applyBorder="1"/>
    <xf numFmtId="0" fontId="16" fillId="0" borderId="9" xfId="0" applyFont="1" applyBorder="1"/>
    <xf numFmtId="0" fontId="17" fillId="0" borderId="4" xfId="0" applyFont="1" applyBorder="1"/>
    <xf numFmtId="0" fontId="17" fillId="0" borderId="10" xfId="0" applyFont="1" applyBorder="1"/>
    <xf numFmtId="0" fontId="17" fillId="0" borderId="11" xfId="0" applyFont="1" applyBorder="1"/>
    <xf numFmtId="0" fontId="17" fillId="0" borderId="12" xfId="0" applyFont="1" applyBorder="1"/>
    <xf numFmtId="0" fontId="18" fillId="0" borderId="0" xfId="0" applyFont="1"/>
    <xf numFmtId="0" fontId="17" fillId="0" borderId="0" xfId="0" applyFont="1"/>
    <xf numFmtId="0" fontId="19" fillId="0" borderId="2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9" fontId="0" fillId="0" borderId="2" xfId="1" applyFont="1" applyBorder="1"/>
    <xf numFmtId="9" fontId="2" fillId="2" borderId="1" xfId="1" applyFont="1" applyFill="1" applyBorder="1"/>
    <xf numFmtId="9" fontId="0" fillId="3" borderId="2" xfId="1" applyFont="1" applyFill="1" applyBorder="1"/>
    <xf numFmtId="9" fontId="3" fillId="0" borderId="2" xfId="1" applyFont="1" applyBorder="1"/>
    <xf numFmtId="9" fontId="0" fillId="0" borderId="0" xfId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164" fontId="0" fillId="4" borderId="2" xfId="0" applyNumberFormat="1" applyFill="1" applyBorder="1"/>
    <xf numFmtId="165" fontId="0" fillId="4" borderId="2" xfId="0" applyNumberFormat="1" applyFill="1" applyBorder="1"/>
    <xf numFmtId="0" fontId="5" fillId="4" borderId="2" xfId="0" applyFont="1" applyFill="1" applyBorder="1" applyAlignment="1">
      <alignment vertical="center" wrapText="1"/>
    </xf>
    <xf numFmtId="1" fontId="0" fillId="4" borderId="2" xfId="0" applyNumberFormat="1" applyFill="1" applyBorder="1"/>
    <xf numFmtId="9" fontId="0" fillId="4" borderId="2" xfId="1" applyFont="1" applyFill="1" applyBorder="1"/>
    <xf numFmtId="0" fontId="0" fillId="4" borderId="2" xfId="0" applyFill="1" applyBorder="1"/>
    <xf numFmtId="0" fontId="0" fillId="4" borderId="0" xfId="0" applyFill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4">
    <cellStyle name="Input" xfId="2" builtinId="20"/>
    <cellStyle name="Normal" xfId="0" builtinId="0"/>
    <cellStyle name="Normal 2" xfId="3" xr:uid="{241B157F-6805-4161-A96E-A1982C769226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Sheet'!$Z$2</c:f>
              <c:numCache>
                <c:formatCode>0.00</c:formatCode>
                <c:ptCount val="1"/>
                <c:pt idx="0">
                  <c:v>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AF-4924-95DF-ABA0636A69B5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AF-4924-95DF-ABA0636A6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276225</xdr:colOff>
      <xdr:row>8</xdr:row>
      <xdr:rowOff>104775</xdr:rowOff>
    </xdr:from>
    <xdr:to>
      <xdr:col>31</xdr:col>
      <xdr:colOff>171450</xdr:colOff>
      <xdr:row>26</xdr:row>
      <xdr:rowOff>61914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DEBDCBFB-875A-491E-BC25-614264AB1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" activePane="bottomLeft" state="frozen"/>
      <selection pane="bottomLeft" activeCell="S21" sqref="S21"/>
    </sheetView>
  </sheetViews>
  <sheetFormatPr defaultColWidth="12.26953125" defaultRowHeight="14.5" x14ac:dyDescent="0.35"/>
  <cols>
    <col min="1" max="1" width="4.7265625" style="28" customWidth="1"/>
    <col min="2" max="3" width="13.453125" style="28" customWidth="1"/>
    <col min="4" max="4" width="15.81640625" style="28" bestFit="1" customWidth="1"/>
    <col min="5" max="10" width="13.453125" style="28" customWidth="1"/>
    <col min="11" max="12" width="13.453125" style="39" customWidth="1"/>
    <col min="18" max="18" width="15.1796875" bestFit="1" customWidth="1"/>
    <col min="30" max="16384" width="12.26953125" style="28"/>
  </cols>
  <sheetData>
    <row r="1" spans="2:16" x14ac:dyDescent="0.35">
      <c r="B1" s="27" t="s">
        <v>0</v>
      </c>
    </row>
    <row r="3" spans="2:16" x14ac:dyDescent="0.35"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9" t="s">
        <v>8</v>
      </c>
      <c r="J3" s="29" t="s">
        <v>9</v>
      </c>
      <c r="K3" s="40" t="s">
        <v>10</v>
      </c>
      <c r="L3" s="40" t="s">
        <v>11</v>
      </c>
      <c r="O3" s="45" t="s">
        <v>12</v>
      </c>
      <c r="P3" s="44"/>
    </row>
    <row r="4" spans="2:16" x14ac:dyDescent="0.35">
      <c r="B4" s="46">
        <v>1596</v>
      </c>
      <c r="C4" s="46">
        <v>50</v>
      </c>
      <c r="D4" s="46" t="s">
        <v>13</v>
      </c>
      <c r="E4" s="30" t="s">
        <v>14</v>
      </c>
      <c r="F4" s="46"/>
      <c r="G4" s="46"/>
      <c r="H4" s="46">
        <v>5</v>
      </c>
      <c r="I4" s="46" t="s">
        <v>15</v>
      </c>
      <c r="J4" s="46"/>
      <c r="K4" s="41">
        <v>45161</v>
      </c>
      <c r="L4" s="47">
        <v>0.54166666666666663</v>
      </c>
      <c r="O4" s="34" t="s">
        <v>16</v>
      </c>
      <c r="P4" s="35" t="s">
        <v>17</v>
      </c>
    </row>
    <row r="5" spans="2:16" x14ac:dyDescent="0.35">
      <c r="B5" s="46">
        <v>1599</v>
      </c>
      <c r="C5" s="46">
        <v>60</v>
      </c>
      <c r="D5" s="46" t="s">
        <v>18</v>
      </c>
      <c r="E5" s="30" t="s">
        <v>19</v>
      </c>
      <c r="F5" s="46"/>
      <c r="G5" s="46"/>
      <c r="H5" s="46">
        <v>5</v>
      </c>
      <c r="I5" s="46" t="s">
        <v>15</v>
      </c>
      <c r="J5" s="46"/>
      <c r="K5" s="41">
        <v>45161</v>
      </c>
      <c r="L5" s="47">
        <v>0.54861111111111105</v>
      </c>
      <c r="O5" s="34" t="s">
        <v>20</v>
      </c>
      <c r="P5" s="35" t="s">
        <v>21</v>
      </c>
    </row>
    <row r="6" spans="2:16" x14ac:dyDescent="0.35">
      <c r="B6" s="46">
        <v>1602</v>
      </c>
      <c r="C6" s="46">
        <v>65</v>
      </c>
      <c r="D6" s="46" t="s">
        <v>13</v>
      </c>
      <c r="E6" s="30" t="s">
        <v>14</v>
      </c>
      <c r="F6" s="46"/>
      <c r="G6" s="46"/>
      <c r="H6" s="46">
        <v>5</v>
      </c>
      <c r="I6" s="46" t="s">
        <v>15</v>
      </c>
      <c r="J6" s="46"/>
      <c r="K6" s="41">
        <v>45161</v>
      </c>
      <c r="L6" s="47">
        <v>0.55208333333333337</v>
      </c>
      <c r="O6" s="34" t="s">
        <v>22</v>
      </c>
      <c r="P6" s="35" t="s">
        <v>23</v>
      </c>
    </row>
    <row r="7" spans="2:16" x14ac:dyDescent="0.35">
      <c r="B7" s="46">
        <v>1605</v>
      </c>
      <c r="C7" s="46">
        <v>50</v>
      </c>
      <c r="D7" s="46" t="s">
        <v>24</v>
      </c>
      <c r="E7" s="30" t="s">
        <v>14</v>
      </c>
      <c r="F7" s="46"/>
      <c r="G7" s="46"/>
      <c r="H7" s="46">
        <v>6</v>
      </c>
      <c r="I7" s="46" t="s">
        <v>25</v>
      </c>
      <c r="J7" s="46"/>
      <c r="K7" s="41">
        <v>45161</v>
      </c>
      <c r="L7" s="47">
        <v>0.5625</v>
      </c>
      <c r="O7" s="34" t="s">
        <v>26</v>
      </c>
      <c r="P7" s="35" t="s">
        <v>27</v>
      </c>
    </row>
    <row r="8" spans="2:16" x14ac:dyDescent="0.35">
      <c r="B8" s="46">
        <v>1608</v>
      </c>
      <c r="C8" s="46">
        <v>30</v>
      </c>
      <c r="D8" s="46" t="s">
        <v>13</v>
      </c>
      <c r="E8" s="30" t="s">
        <v>14</v>
      </c>
      <c r="F8" s="46"/>
      <c r="G8" s="46"/>
      <c r="H8" s="46">
        <v>7</v>
      </c>
      <c r="I8" s="46" t="s">
        <v>25</v>
      </c>
      <c r="J8" s="46" t="s">
        <v>25</v>
      </c>
      <c r="K8" s="41">
        <v>45161</v>
      </c>
      <c r="L8" s="47">
        <v>0.58333333333333337</v>
      </c>
      <c r="O8" s="34" t="s">
        <v>28</v>
      </c>
      <c r="P8" s="35" t="s">
        <v>29</v>
      </c>
    </row>
    <row r="9" spans="2:16" x14ac:dyDescent="0.35">
      <c r="B9" s="46">
        <v>1611</v>
      </c>
      <c r="C9" s="46">
        <v>40</v>
      </c>
      <c r="D9" s="46" t="s">
        <v>13</v>
      </c>
      <c r="E9" s="30" t="s">
        <v>14</v>
      </c>
      <c r="F9" s="46" t="s">
        <v>30</v>
      </c>
      <c r="G9" s="46"/>
      <c r="H9" s="46">
        <v>7</v>
      </c>
      <c r="I9" s="46" t="s">
        <v>25</v>
      </c>
      <c r="J9" s="46" t="s">
        <v>25</v>
      </c>
      <c r="K9" s="41">
        <v>45161</v>
      </c>
      <c r="L9" s="47">
        <v>0.60416666666666663</v>
      </c>
      <c r="O9" s="34" t="s">
        <v>31</v>
      </c>
      <c r="P9" s="35" t="s">
        <v>32</v>
      </c>
    </row>
    <row r="10" spans="2:16" x14ac:dyDescent="0.35">
      <c r="B10" s="46">
        <v>1614</v>
      </c>
      <c r="C10" s="46">
        <v>60</v>
      </c>
      <c r="D10" s="46" t="s">
        <v>13</v>
      </c>
      <c r="E10" s="30" t="s">
        <v>14</v>
      </c>
      <c r="F10" s="46">
        <v>10</v>
      </c>
      <c r="G10" s="46" t="s">
        <v>33</v>
      </c>
      <c r="H10" s="46">
        <v>8</v>
      </c>
      <c r="I10" s="46" t="s">
        <v>25</v>
      </c>
      <c r="J10" s="46"/>
      <c r="K10" s="41">
        <v>45161</v>
      </c>
      <c r="L10" s="47">
        <v>0.625</v>
      </c>
      <c r="O10" s="34" t="s">
        <v>15</v>
      </c>
      <c r="P10" s="35" t="s">
        <v>34</v>
      </c>
    </row>
    <row r="11" spans="2:16" x14ac:dyDescent="0.35">
      <c r="B11" s="46">
        <v>1617</v>
      </c>
      <c r="C11" s="46">
        <v>40</v>
      </c>
      <c r="D11" s="46" t="s">
        <v>13</v>
      </c>
      <c r="E11" s="30" t="s">
        <v>14</v>
      </c>
      <c r="F11" s="46" t="s">
        <v>30</v>
      </c>
      <c r="G11" s="46" t="s">
        <v>33</v>
      </c>
      <c r="H11" s="46">
        <v>7</v>
      </c>
      <c r="I11" s="46" t="s">
        <v>25</v>
      </c>
      <c r="J11" s="46" t="s">
        <v>15</v>
      </c>
      <c r="K11" s="41">
        <v>45161</v>
      </c>
      <c r="L11" s="47">
        <v>0.64583333333333337</v>
      </c>
      <c r="O11" s="34" t="s">
        <v>35</v>
      </c>
      <c r="P11" s="35" t="s">
        <v>36</v>
      </c>
    </row>
    <row r="12" spans="2:16" x14ac:dyDescent="0.35">
      <c r="B12" s="46">
        <v>1620</v>
      </c>
      <c r="C12" s="46">
        <v>30</v>
      </c>
      <c r="D12" s="46" t="s">
        <v>13</v>
      </c>
      <c r="E12" s="30" t="s">
        <v>14</v>
      </c>
      <c r="F12" s="46">
        <v>10</v>
      </c>
      <c r="G12" s="46" t="s">
        <v>33</v>
      </c>
      <c r="H12" s="46">
        <v>7</v>
      </c>
      <c r="I12" s="46" t="s">
        <v>15</v>
      </c>
      <c r="J12" s="46" t="s">
        <v>15</v>
      </c>
      <c r="K12" s="41">
        <v>45161</v>
      </c>
      <c r="L12" s="47">
        <v>0.66666666666666663</v>
      </c>
      <c r="O12" s="34" t="s">
        <v>25</v>
      </c>
      <c r="P12" s="35" t="s">
        <v>37</v>
      </c>
    </row>
    <row r="13" spans="2:16" x14ac:dyDescent="0.35">
      <c r="B13" s="46">
        <v>1623</v>
      </c>
      <c r="C13" s="46">
        <v>30</v>
      </c>
      <c r="D13" s="46" t="s">
        <v>38</v>
      </c>
      <c r="E13" s="30" t="s">
        <v>14</v>
      </c>
      <c r="F13" s="46">
        <v>10</v>
      </c>
      <c r="G13" s="46" t="s">
        <v>33</v>
      </c>
      <c r="H13" s="46">
        <v>5</v>
      </c>
      <c r="I13" s="46" t="s">
        <v>15</v>
      </c>
      <c r="J13" s="46" t="s">
        <v>25</v>
      </c>
      <c r="K13" s="41">
        <v>45161</v>
      </c>
      <c r="L13" s="47">
        <v>0.6875</v>
      </c>
      <c r="O13" s="34" t="s">
        <v>39</v>
      </c>
      <c r="P13" s="35" t="s">
        <v>40</v>
      </c>
    </row>
    <row r="14" spans="2:16" x14ac:dyDescent="0.35">
      <c r="B14" s="46">
        <v>1626</v>
      </c>
      <c r="C14" s="46">
        <v>80</v>
      </c>
      <c r="D14" s="46" t="s">
        <v>41</v>
      </c>
      <c r="E14" s="30" t="s">
        <v>42</v>
      </c>
      <c r="F14" s="46">
        <v>80</v>
      </c>
      <c r="G14" s="46" t="s">
        <v>43</v>
      </c>
      <c r="H14" s="46">
        <v>77</v>
      </c>
      <c r="I14" s="46" t="s">
        <v>25</v>
      </c>
      <c r="J14" s="46"/>
      <c r="K14" s="41">
        <v>45161</v>
      </c>
      <c r="L14" s="47">
        <v>0.70833333333333337</v>
      </c>
      <c r="O14" s="34" t="s">
        <v>44</v>
      </c>
      <c r="P14" s="35" t="s">
        <v>45</v>
      </c>
    </row>
    <row r="15" spans="2:16" x14ac:dyDescent="0.35">
      <c r="B15" s="46">
        <v>1629</v>
      </c>
      <c r="C15" s="46">
        <v>90</v>
      </c>
      <c r="D15" s="46" t="s">
        <v>46</v>
      </c>
      <c r="E15" s="30" t="s">
        <v>42</v>
      </c>
      <c r="F15" s="46">
        <v>100</v>
      </c>
      <c r="G15" s="46" t="s">
        <v>47</v>
      </c>
      <c r="H15" s="46">
        <v>100</v>
      </c>
      <c r="I15" s="46"/>
      <c r="J15" s="46"/>
      <c r="K15" s="41">
        <v>45161</v>
      </c>
      <c r="L15" s="47">
        <v>0.72916666666666663</v>
      </c>
      <c r="O15" s="34" t="s">
        <v>48</v>
      </c>
      <c r="P15" s="35" t="s">
        <v>49</v>
      </c>
    </row>
    <row r="16" spans="2:16" x14ac:dyDescent="0.35">
      <c r="B16" s="46">
        <v>1632</v>
      </c>
      <c r="C16" s="46">
        <v>95</v>
      </c>
      <c r="D16" s="46" t="s">
        <v>46</v>
      </c>
      <c r="E16" s="30" t="s">
        <v>42</v>
      </c>
      <c r="F16" s="46">
        <v>100</v>
      </c>
      <c r="G16" s="46" t="s">
        <v>47</v>
      </c>
      <c r="H16" s="46">
        <v>94</v>
      </c>
      <c r="I16" s="46"/>
      <c r="J16" s="46"/>
      <c r="K16" s="41">
        <v>45161</v>
      </c>
      <c r="L16" s="47">
        <v>0.75</v>
      </c>
      <c r="O16" s="34" t="s">
        <v>50</v>
      </c>
      <c r="P16" s="35" t="s">
        <v>51</v>
      </c>
    </row>
    <row r="17" spans="2:18" x14ac:dyDescent="0.35">
      <c r="B17" s="46">
        <v>1635</v>
      </c>
      <c r="C17" s="46">
        <v>100</v>
      </c>
      <c r="D17" s="46" t="s">
        <v>52</v>
      </c>
      <c r="E17" s="30" t="s">
        <v>42</v>
      </c>
      <c r="F17" s="46">
        <v>100</v>
      </c>
      <c r="G17" s="46" t="s">
        <v>47</v>
      </c>
      <c r="H17" s="46">
        <v>102</v>
      </c>
      <c r="I17" s="46"/>
      <c r="J17" s="46"/>
      <c r="K17" s="41">
        <v>45161</v>
      </c>
      <c r="L17" s="47">
        <v>0.77083333333333337</v>
      </c>
      <c r="O17" s="34" t="s">
        <v>53</v>
      </c>
      <c r="P17" s="35" t="s">
        <v>54</v>
      </c>
    </row>
    <row r="18" spans="2:18" x14ac:dyDescent="0.35">
      <c r="B18" s="30"/>
      <c r="C18" s="30"/>
      <c r="D18" s="30"/>
      <c r="E18" s="30"/>
      <c r="F18" s="30"/>
      <c r="G18" s="30"/>
      <c r="H18" s="30"/>
      <c r="I18" s="30"/>
      <c r="J18" s="30"/>
      <c r="K18" s="41"/>
      <c r="L18" s="41"/>
      <c r="O18" s="34" t="s">
        <v>55</v>
      </c>
      <c r="P18" s="35" t="s">
        <v>56</v>
      </c>
    </row>
    <row r="19" spans="2:18" x14ac:dyDescent="0.35">
      <c r="B19" s="30"/>
      <c r="C19" s="30"/>
      <c r="D19" s="30"/>
      <c r="E19" s="30"/>
      <c r="F19" s="30"/>
      <c r="G19" s="30"/>
      <c r="H19" s="30"/>
      <c r="I19" s="30"/>
      <c r="J19" s="30"/>
      <c r="K19" s="41"/>
      <c r="L19" s="41"/>
      <c r="O19" s="36" t="s">
        <v>57</v>
      </c>
      <c r="P19" s="37" t="s">
        <v>58</v>
      </c>
      <c r="R19" s="26"/>
    </row>
    <row r="20" spans="2:18" x14ac:dyDescent="0.35">
      <c r="B20" s="30"/>
      <c r="C20" s="30"/>
      <c r="D20" s="30"/>
      <c r="E20" s="30"/>
      <c r="F20" s="30"/>
      <c r="G20" s="30"/>
      <c r="H20" s="30"/>
      <c r="I20" s="30"/>
      <c r="J20" s="30"/>
      <c r="K20" s="41"/>
      <c r="L20" s="41"/>
    </row>
    <row r="21" spans="2:18" x14ac:dyDescent="0.35">
      <c r="B21" s="30"/>
      <c r="C21" s="30"/>
      <c r="D21" s="30"/>
      <c r="E21" s="30"/>
      <c r="F21" s="30"/>
      <c r="G21" s="30"/>
      <c r="H21" s="30"/>
      <c r="I21" s="30"/>
      <c r="J21" s="30"/>
      <c r="K21" s="41"/>
      <c r="L21" s="41"/>
    </row>
    <row r="22" spans="2:18" x14ac:dyDescent="0.35">
      <c r="B22" s="30"/>
      <c r="C22" s="30"/>
      <c r="D22" s="30"/>
      <c r="E22" s="30"/>
      <c r="F22" s="30"/>
      <c r="G22" s="30"/>
      <c r="H22" s="30"/>
      <c r="I22" s="30"/>
      <c r="J22" s="30"/>
      <c r="K22" s="41"/>
      <c r="L22" s="41"/>
    </row>
    <row r="23" spans="2:18" x14ac:dyDescent="0.35">
      <c r="B23" s="30"/>
      <c r="C23" s="30"/>
      <c r="D23" s="30"/>
      <c r="E23" s="30"/>
      <c r="F23" s="30"/>
      <c r="G23" s="30"/>
      <c r="H23" s="30"/>
      <c r="I23" s="30"/>
      <c r="J23" s="30"/>
      <c r="K23" s="41"/>
      <c r="L23" s="41"/>
    </row>
    <row r="24" spans="2:18" x14ac:dyDescent="0.35">
      <c r="B24" s="30"/>
      <c r="C24" s="30"/>
      <c r="D24" s="30"/>
      <c r="E24" s="30"/>
      <c r="F24" s="30"/>
      <c r="G24" s="30"/>
      <c r="H24" s="30"/>
      <c r="I24" s="30"/>
      <c r="J24" s="30"/>
      <c r="K24" s="41"/>
      <c r="L24" s="41"/>
    </row>
    <row r="25" spans="2:18" x14ac:dyDescent="0.35">
      <c r="B25" s="30"/>
      <c r="C25" s="30"/>
      <c r="D25" s="30"/>
      <c r="E25" s="30"/>
      <c r="F25" s="30"/>
      <c r="G25" s="30"/>
      <c r="H25" s="30"/>
      <c r="I25" s="30"/>
      <c r="J25" s="30"/>
      <c r="K25" s="41"/>
      <c r="L25" s="41"/>
    </row>
    <row r="26" spans="2:18" x14ac:dyDescent="0.35">
      <c r="B26" s="30"/>
      <c r="C26" s="30"/>
      <c r="D26" s="30"/>
      <c r="E26" s="30"/>
      <c r="F26" s="30"/>
      <c r="G26" s="30"/>
      <c r="H26" s="30"/>
      <c r="I26" s="30"/>
      <c r="J26" s="30"/>
      <c r="K26" s="41"/>
      <c r="L26" s="41"/>
    </row>
    <row r="27" spans="2:18" x14ac:dyDescent="0.35">
      <c r="B27" s="30"/>
      <c r="C27" s="30"/>
      <c r="D27" s="30"/>
      <c r="E27" s="30"/>
      <c r="F27" s="30"/>
      <c r="G27" s="30"/>
      <c r="H27" s="30"/>
      <c r="I27" s="30"/>
      <c r="J27" s="30"/>
      <c r="K27" s="41"/>
      <c r="L27" s="41"/>
    </row>
    <row r="28" spans="2:18" x14ac:dyDescent="0.35">
      <c r="B28" s="30"/>
      <c r="C28" s="30"/>
      <c r="D28" s="30"/>
      <c r="E28" s="30"/>
      <c r="F28" s="30"/>
      <c r="G28" s="30"/>
      <c r="H28" s="30"/>
      <c r="I28" s="30"/>
      <c r="J28" s="30"/>
      <c r="K28" s="41"/>
      <c r="L28" s="41"/>
    </row>
    <row r="29" spans="2:18" x14ac:dyDescent="0.35">
      <c r="B29" s="30"/>
      <c r="C29" s="30"/>
      <c r="D29" s="30"/>
      <c r="E29" s="30"/>
      <c r="F29" s="30"/>
      <c r="G29" s="30"/>
      <c r="H29" s="30"/>
      <c r="I29" s="30"/>
      <c r="J29" s="30"/>
      <c r="K29" s="41"/>
      <c r="L29" s="41"/>
    </row>
    <row r="30" spans="2:18" x14ac:dyDescent="0.35">
      <c r="B30" s="30"/>
      <c r="C30" s="30"/>
      <c r="D30" s="30"/>
      <c r="E30" s="30"/>
      <c r="F30" s="30"/>
      <c r="G30" s="30"/>
      <c r="H30" s="30"/>
      <c r="I30" s="30"/>
      <c r="J30" s="30"/>
      <c r="K30" s="41"/>
      <c r="L30" s="41"/>
    </row>
    <row r="31" spans="2:18" x14ac:dyDescent="0.35">
      <c r="B31" s="30"/>
      <c r="C31" s="30"/>
      <c r="D31" s="30"/>
      <c r="E31" s="30"/>
      <c r="F31" s="30"/>
      <c r="G31" s="30"/>
      <c r="H31" s="30"/>
      <c r="I31" s="30"/>
      <c r="J31" s="30"/>
      <c r="K31" s="41"/>
      <c r="L31" s="41"/>
    </row>
    <row r="32" spans="2:18" x14ac:dyDescent="0.35">
      <c r="B32" s="30"/>
      <c r="C32" s="30"/>
      <c r="D32" s="30"/>
      <c r="E32" s="30"/>
      <c r="F32" s="30"/>
      <c r="G32" s="30"/>
      <c r="H32" s="30"/>
      <c r="I32" s="30"/>
      <c r="J32" s="30"/>
      <c r="K32" s="41"/>
      <c r="L32" s="41"/>
    </row>
    <row r="33" spans="2:12" x14ac:dyDescent="0.35">
      <c r="B33" s="30"/>
      <c r="C33" s="30"/>
      <c r="D33" s="30"/>
      <c r="E33" s="30"/>
      <c r="F33" s="30"/>
      <c r="G33" s="30"/>
      <c r="H33" s="30"/>
      <c r="I33" s="30"/>
      <c r="J33" s="30"/>
      <c r="K33" s="41"/>
      <c r="L33" s="41"/>
    </row>
    <row r="34" spans="2:12" x14ac:dyDescent="0.35">
      <c r="B34" s="30"/>
      <c r="C34" s="30"/>
      <c r="D34" s="30"/>
      <c r="E34" s="30"/>
      <c r="F34" s="30"/>
      <c r="G34" s="30"/>
      <c r="H34" s="30"/>
      <c r="I34" s="30"/>
      <c r="J34" s="30"/>
      <c r="K34" s="41"/>
      <c r="L34" s="41"/>
    </row>
    <row r="35" spans="2:12" x14ac:dyDescent="0.35">
      <c r="B35" s="30"/>
      <c r="C35" s="30"/>
      <c r="D35" s="30"/>
      <c r="E35" s="30"/>
      <c r="F35" s="30"/>
      <c r="G35" s="30"/>
      <c r="H35" s="30"/>
      <c r="I35" s="30"/>
      <c r="J35" s="30"/>
      <c r="K35" s="41"/>
      <c r="L35" s="41"/>
    </row>
    <row r="36" spans="2:12" x14ac:dyDescent="0.35">
      <c r="B36" s="30"/>
      <c r="C36" s="38"/>
      <c r="D36" s="38"/>
      <c r="E36" s="38"/>
      <c r="F36" s="38"/>
      <c r="G36" s="38"/>
      <c r="H36" s="38"/>
      <c r="I36" s="38"/>
      <c r="J36" s="38"/>
      <c r="K36" s="41"/>
      <c r="L36" s="41"/>
    </row>
    <row r="37" spans="2:12" x14ac:dyDescent="0.35">
      <c r="B37" s="30"/>
      <c r="C37" s="38"/>
      <c r="D37" s="38"/>
      <c r="E37" s="38"/>
      <c r="F37" s="38"/>
      <c r="G37" s="38"/>
      <c r="H37" s="38"/>
      <c r="I37" s="38"/>
      <c r="J37" s="38"/>
      <c r="K37" s="41"/>
      <c r="L37" s="41"/>
    </row>
    <row r="38" spans="2:12" x14ac:dyDescent="0.35">
      <c r="B38" s="30"/>
      <c r="C38" s="38"/>
      <c r="D38" s="38"/>
      <c r="E38" s="38"/>
      <c r="F38" s="38"/>
      <c r="G38" s="38"/>
      <c r="H38" s="38"/>
      <c r="I38" s="38"/>
      <c r="J38" s="38"/>
      <c r="K38" s="41"/>
      <c r="L38" s="41"/>
    </row>
    <row r="39" spans="2:12" x14ac:dyDescent="0.35">
      <c r="B39" s="30"/>
      <c r="C39" s="38"/>
      <c r="D39" s="38"/>
      <c r="E39" s="38"/>
      <c r="F39" s="38"/>
      <c r="G39" s="38"/>
      <c r="H39" s="38"/>
      <c r="I39" s="38"/>
      <c r="J39" s="38"/>
      <c r="K39" s="41"/>
      <c r="L39" s="41"/>
    </row>
    <row r="40" spans="2:12" x14ac:dyDescent="0.35">
      <c r="B40" s="30"/>
      <c r="C40" s="38"/>
      <c r="D40" s="38"/>
      <c r="E40" s="38"/>
      <c r="F40" s="38"/>
      <c r="G40" s="38"/>
      <c r="H40" s="38"/>
      <c r="I40" s="38"/>
      <c r="J40" s="38"/>
      <c r="K40" s="41"/>
      <c r="L40" s="41"/>
    </row>
    <row r="41" spans="2:12" x14ac:dyDescent="0.35">
      <c r="B41" s="30"/>
      <c r="C41" s="38"/>
      <c r="D41" s="38"/>
      <c r="E41" s="38"/>
      <c r="F41" s="38"/>
      <c r="G41" s="38"/>
      <c r="H41" s="38"/>
      <c r="I41" s="38"/>
      <c r="J41" s="38"/>
      <c r="K41" s="41"/>
      <c r="L41" s="41"/>
    </row>
    <row r="42" spans="2:12" x14ac:dyDescent="0.35">
      <c r="B42" s="30"/>
      <c r="C42" s="38"/>
      <c r="D42" s="38"/>
      <c r="E42" s="38"/>
      <c r="F42" s="38"/>
      <c r="G42" s="38"/>
      <c r="H42" s="38"/>
      <c r="I42" s="38"/>
      <c r="J42" s="38"/>
      <c r="K42" s="41"/>
      <c r="L42" s="41"/>
    </row>
    <row r="43" spans="2:12" x14ac:dyDescent="0.35">
      <c r="B43" s="30"/>
      <c r="C43" s="38"/>
      <c r="D43" s="38"/>
      <c r="E43" s="38"/>
      <c r="F43" s="38"/>
      <c r="G43" s="38"/>
      <c r="H43" s="38"/>
      <c r="I43" s="38"/>
      <c r="J43" s="38"/>
      <c r="K43" s="41"/>
      <c r="L43" s="41"/>
    </row>
    <row r="44" spans="2:12" x14ac:dyDescent="0.35">
      <c r="B44" s="30"/>
      <c r="C44" s="38"/>
      <c r="D44" s="38"/>
      <c r="E44" s="38"/>
      <c r="F44" s="38"/>
      <c r="G44" s="38"/>
      <c r="H44" s="38"/>
      <c r="I44" s="38"/>
      <c r="J44" s="38"/>
      <c r="K44" s="41"/>
      <c r="L44" s="41"/>
    </row>
    <row r="45" spans="2:12" x14ac:dyDescent="0.35">
      <c r="B45" s="30"/>
      <c r="C45" s="38"/>
      <c r="D45" s="38"/>
      <c r="E45" s="38"/>
      <c r="F45" s="38"/>
      <c r="G45" s="38"/>
      <c r="H45" s="38"/>
      <c r="I45" s="38"/>
      <c r="J45" s="38"/>
      <c r="K45" s="41"/>
      <c r="L45" s="41"/>
    </row>
    <row r="46" spans="2:12" x14ac:dyDescent="0.35">
      <c r="B46" s="30"/>
      <c r="C46" s="38"/>
      <c r="D46" s="38"/>
      <c r="E46" s="38"/>
      <c r="F46" s="38"/>
      <c r="G46" s="38"/>
      <c r="H46" s="38"/>
      <c r="I46" s="38"/>
      <c r="J46" s="38"/>
      <c r="K46" s="41"/>
      <c r="L46" s="41"/>
    </row>
    <row r="47" spans="2:12" x14ac:dyDescent="0.35">
      <c r="B47" s="30"/>
      <c r="C47" s="38"/>
      <c r="D47" s="38"/>
      <c r="E47" s="38"/>
      <c r="F47" s="38"/>
      <c r="G47" s="38"/>
      <c r="H47" s="38"/>
      <c r="I47" s="38"/>
      <c r="J47" s="38"/>
      <c r="K47" s="41"/>
      <c r="L47" s="41"/>
    </row>
    <row r="48" spans="2:12" x14ac:dyDescent="0.35">
      <c r="B48" s="30"/>
      <c r="C48" s="38"/>
      <c r="D48" s="38"/>
      <c r="E48" s="38"/>
      <c r="F48" s="38"/>
      <c r="G48" s="38"/>
      <c r="H48" s="38"/>
      <c r="I48" s="38"/>
      <c r="J48" s="38"/>
      <c r="K48" s="41"/>
      <c r="L48" s="41"/>
    </row>
    <row r="49" spans="2:12" x14ac:dyDescent="0.35">
      <c r="B49" s="30"/>
      <c r="C49" s="38"/>
      <c r="D49" s="38"/>
      <c r="E49" s="38"/>
      <c r="F49" s="38"/>
      <c r="G49" s="38"/>
      <c r="H49" s="38"/>
      <c r="I49" s="38"/>
      <c r="J49" s="38"/>
      <c r="K49" s="41"/>
      <c r="L49" s="41"/>
    </row>
    <row r="50" spans="2:12" x14ac:dyDescent="0.35">
      <c r="B50" s="30"/>
      <c r="C50" s="38"/>
      <c r="D50" s="38"/>
      <c r="E50" s="38"/>
      <c r="F50" s="38"/>
      <c r="G50" s="38"/>
      <c r="H50" s="38"/>
      <c r="I50" s="38"/>
      <c r="J50" s="38"/>
      <c r="K50" s="41"/>
      <c r="L50" s="41"/>
    </row>
    <row r="51" spans="2:12" x14ac:dyDescent="0.35">
      <c r="B51" s="30"/>
      <c r="C51" s="38"/>
      <c r="D51" s="38"/>
      <c r="E51" s="38"/>
      <c r="F51" s="38"/>
      <c r="G51" s="38"/>
      <c r="H51" s="38"/>
      <c r="I51" s="38"/>
      <c r="J51" s="38"/>
      <c r="K51" s="41"/>
      <c r="L51" s="41"/>
    </row>
    <row r="52" spans="2:12" x14ac:dyDescent="0.35">
      <c r="B52" s="30"/>
      <c r="C52" s="38"/>
      <c r="D52" s="38"/>
      <c r="E52" s="38"/>
      <c r="F52" s="38"/>
      <c r="G52" s="38"/>
      <c r="H52" s="38"/>
      <c r="I52" s="38"/>
      <c r="J52" s="38"/>
      <c r="K52" s="41"/>
      <c r="L52" s="41"/>
    </row>
    <row r="53" spans="2:12" x14ac:dyDescent="0.35">
      <c r="B53" s="30"/>
      <c r="C53" s="38"/>
      <c r="D53" s="38"/>
      <c r="E53" s="38"/>
      <c r="F53" s="38"/>
      <c r="G53" s="38"/>
      <c r="H53" s="38"/>
      <c r="I53" s="38"/>
      <c r="J53" s="38"/>
      <c r="K53" s="41"/>
      <c r="L53" s="41"/>
    </row>
    <row r="54" spans="2:12" x14ac:dyDescent="0.35">
      <c r="B54" s="30"/>
      <c r="C54" s="38"/>
      <c r="D54" s="38"/>
      <c r="E54" s="38"/>
      <c r="F54" s="38"/>
      <c r="G54" s="38"/>
      <c r="H54" s="38"/>
      <c r="I54" s="38"/>
      <c r="J54" s="38"/>
      <c r="K54" s="41"/>
      <c r="L54" s="41"/>
    </row>
    <row r="55" spans="2:12" x14ac:dyDescent="0.35">
      <c r="B55" s="30"/>
      <c r="C55" s="38"/>
      <c r="D55" s="38"/>
      <c r="E55" s="38"/>
      <c r="F55" s="38"/>
      <c r="G55" s="38"/>
      <c r="H55" s="38"/>
      <c r="I55" s="38"/>
      <c r="J55" s="38"/>
      <c r="K55" s="41"/>
      <c r="L55" s="41"/>
    </row>
    <row r="56" spans="2:12" x14ac:dyDescent="0.35">
      <c r="B56" s="30"/>
      <c r="C56" s="38"/>
      <c r="D56" s="38"/>
      <c r="E56" s="38"/>
      <c r="F56" s="38"/>
      <c r="G56" s="38"/>
      <c r="H56" s="38"/>
      <c r="I56" s="38"/>
      <c r="J56" s="38"/>
      <c r="K56" s="41"/>
      <c r="L56" s="41"/>
    </row>
    <row r="57" spans="2:12" x14ac:dyDescent="0.35">
      <c r="B57" s="30"/>
      <c r="C57" s="38"/>
      <c r="D57" s="38"/>
      <c r="E57" s="38"/>
      <c r="F57" s="38"/>
      <c r="G57" s="38"/>
      <c r="H57" s="38"/>
      <c r="I57" s="38"/>
      <c r="J57" s="38"/>
      <c r="K57" s="41"/>
      <c r="L57" s="41"/>
    </row>
    <row r="58" spans="2:12" x14ac:dyDescent="0.35">
      <c r="B58" s="30"/>
      <c r="C58" s="38"/>
      <c r="D58" s="38"/>
      <c r="E58" s="38"/>
      <c r="F58" s="38"/>
      <c r="G58" s="38"/>
      <c r="H58" s="38"/>
      <c r="I58" s="38"/>
      <c r="J58" s="38"/>
      <c r="K58" s="41"/>
      <c r="L58" s="41"/>
    </row>
    <row r="59" spans="2:12" x14ac:dyDescent="0.35">
      <c r="B59" s="30"/>
      <c r="C59" s="38"/>
      <c r="D59" s="38"/>
      <c r="E59" s="38"/>
      <c r="F59" s="38"/>
      <c r="G59" s="38"/>
      <c r="H59" s="38"/>
      <c r="I59" s="38"/>
      <c r="J59" s="38"/>
      <c r="K59" s="41"/>
      <c r="L59" s="41"/>
    </row>
    <row r="60" spans="2:12" x14ac:dyDescent="0.35">
      <c r="B60" s="30"/>
      <c r="C60" s="38"/>
      <c r="D60" s="38"/>
      <c r="E60" s="38"/>
      <c r="F60" s="38"/>
      <c r="G60" s="38"/>
      <c r="H60" s="38"/>
      <c r="I60" s="38"/>
      <c r="J60" s="38"/>
      <c r="K60" s="41"/>
      <c r="L60" s="41"/>
    </row>
    <row r="61" spans="2:12" x14ac:dyDescent="0.35">
      <c r="B61" s="30"/>
      <c r="C61" s="38"/>
      <c r="D61" s="38"/>
      <c r="E61" s="38"/>
      <c r="F61" s="38"/>
      <c r="G61" s="38"/>
      <c r="H61" s="38"/>
      <c r="I61" s="38"/>
      <c r="J61" s="38"/>
      <c r="K61" s="41"/>
      <c r="L61" s="41"/>
    </row>
    <row r="62" spans="2:12" x14ac:dyDescent="0.35">
      <c r="B62" s="30"/>
      <c r="C62" s="38"/>
      <c r="D62" s="38"/>
      <c r="E62" s="38"/>
      <c r="F62" s="38"/>
      <c r="G62" s="38"/>
      <c r="H62" s="38"/>
      <c r="I62" s="38"/>
      <c r="J62" s="38"/>
      <c r="K62" s="41"/>
      <c r="L62" s="41"/>
    </row>
    <row r="63" spans="2:12" x14ac:dyDescent="0.35">
      <c r="B63" s="30"/>
      <c r="C63" s="38"/>
      <c r="D63" s="38"/>
      <c r="E63" s="38"/>
      <c r="F63" s="38"/>
      <c r="G63" s="38"/>
      <c r="H63" s="38"/>
      <c r="I63" s="38"/>
      <c r="J63" s="38"/>
      <c r="K63" s="41"/>
      <c r="L63" s="41"/>
    </row>
    <row r="64" spans="2:12" x14ac:dyDescent="0.35">
      <c r="B64" s="38"/>
      <c r="C64" s="38"/>
      <c r="D64" s="38"/>
      <c r="E64" s="38"/>
      <c r="F64" s="38"/>
      <c r="G64" s="38"/>
      <c r="H64" s="38"/>
      <c r="I64" s="38"/>
      <c r="J64" s="38"/>
      <c r="K64" s="41"/>
      <c r="L64" s="41"/>
    </row>
    <row r="65" spans="2:12" x14ac:dyDescent="0.35">
      <c r="B65" s="38"/>
      <c r="C65" s="38"/>
      <c r="D65" s="38"/>
      <c r="E65" s="38"/>
      <c r="F65" s="38"/>
      <c r="G65" s="38"/>
      <c r="H65" s="38"/>
      <c r="I65" s="38"/>
      <c r="J65" s="38"/>
      <c r="K65" s="41"/>
      <c r="L65" s="41"/>
    </row>
    <row r="66" spans="2:12" x14ac:dyDescent="0.35">
      <c r="B66" s="38"/>
      <c r="C66" s="38"/>
      <c r="D66" s="38"/>
      <c r="E66" s="38"/>
      <c r="F66" s="38"/>
      <c r="G66" s="38"/>
      <c r="H66" s="38"/>
      <c r="I66" s="38"/>
      <c r="J66" s="38"/>
      <c r="K66" s="41"/>
      <c r="L66" s="41"/>
    </row>
    <row r="67" spans="2:12" x14ac:dyDescent="0.35">
      <c r="B67" s="38"/>
      <c r="C67" s="38"/>
      <c r="D67" s="38"/>
      <c r="E67" s="38"/>
      <c r="F67" s="38"/>
      <c r="G67" s="38"/>
      <c r="H67" s="38"/>
      <c r="I67" s="38"/>
      <c r="J67" s="38"/>
      <c r="K67" s="41"/>
      <c r="L67" s="41"/>
    </row>
    <row r="68" spans="2:12" x14ac:dyDescent="0.35">
      <c r="B68" s="38"/>
      <c r="C68" s="38"/>
      <c r="D68" s="38"/>
      <c r="E68" s="38"/>
      <c r="F68" s="38"/>
      <c r="G68" s="38"/>
      <c r="H68" s="38"/>
      <c r="I68" s="38"/>
      <c r="J68" s="30"/>
      <c r="K68" s="41"/>
      <c r="L68" s="41"/>
    </row>
    <row r="69" spans="2:12" x14ac:dyDescent="0.35">
      <c r="B69" s="38"/>
      <c r="C69" s="38"/>
      <c r="D69" s="38"/>
      <c r="E69" s="38"/>
      <c r="F69" s="38"/>
      <c r="G69" s="38"/>
      <c r="H69" s="38"/>
      <c r="I69" s="38"/>
      <c r="J69" s="30"/>
      <c r="K69" s="41"/>
      <c r="L69" s="41"/>
    </row>
    <row r="70" spans="2:12" x14ac:dyDescent="0.35">
      <c r="B70" s="38"/>
      <c r="C70" s="38"/>
      <c r="D70" s="38"/>
      <c r="E70" s="38"/>
      <c r="F70" s="38"/>
      <c r="G70" s="38"/>
      <c r="H70" s="38"/>
      <c r="I70" s="38"/>
      <c r="J70" s="30"/>
      <c r="K70" s="41"/>
      <c r="L70" s="41"/>
    </row>
    <row r="71" spans="2:12" x14ac:dyDescent="0.35">
      <c r="B71" s="38"/>
      <c r="C71" s="38"/>
      <c r="D71" s="38"/>
      <c r="E71" s="38"/>
      <c r="F71" s="38"/>
      <c r="G71" s="38"/>
      <c r="H71" s="38"/>
      <c r="I71" s="38"/>
      <c r="J71" s="30"/>
      <c r="K71" s="41"/>
      <c r="L71" s="41"/>
    </row>
    <row r="72" spans="2:12" x14ac:dyDescent="0.35">
      <c r="B72" s="38"/>
      <c r="C72" s="38"/>
      <c r="D72" s="38"/>
      <c r="E72" s="38"/>
      <c r="F72" s="38"/>
      <c r="G72" s="38"/>
      <c r="H72" s="38"/>
      <c r="I72" s="38"/>
      <c r="J72" s="30"/>
      <c r="K72" s="41"/>
      <c r="L72" s="41"/>
    </row>
    <row r="73" spans="2:12" x14ac:dyDescent="0.35">
      <c r="B73" s="38"/>
      <c r="C73" s="38"/>
      <c r="D73" s="38"/>
      <c r="E73" s="38"/>
      <c r="F73" s="38"/>
      <c r="G73" s="38"/>
      <c r="H73" s="38"/>
      <c r="I73" s="38"/>
      <c r="J73" s="30"/>
      <c r="K73" s="41"/>
      <c r="L73" s="41"/>
    </row>
    <row r="74" spans="2:12" x14ac:dyDescent="0.35">
      <c r="B74" s="38"/>
      <c r="C74" s="38"/>
      <c r="D74" s="38"/>
      <c r="E74" s="38"/>
      <c r="F74" s="38"/>
      <c r="G74" s="38"/>
      <c r="H74" s="38"/>
      <c r="I74" s="38"/>
      <c r="J74" s="30"/>
      <c r="K74" s="41"/>
      <c r="L74" s="41"/>
    </row>
    <row r="75" spans="2:12" x14ac:dyDescent="0.35">
      <c r="B75" s="38"/>
      <c r="C75" s="38"/>
      <c r="D75" s="38"/>
      <c r="E75" s="38"/>
      <c r="F75" s="38"/>
      <c r="G75" s="38"/>
      <c r="H75" s="38"/>
      <c r="I75" s="38"/>
      <c r="J75" s="30"/>
      <c r="K75" s="41"/>
      <c r="L75" s="41"/>
    </row>
    <row r="76" spans="2:12" x14ac:dyDescent="0.35">
      <c r="B76" s="38"/>
      <c r="C76" s="38"/>
      <c r="D76" s="38"/>
      <c r="E76" s="38"/>
      <c r="F76" s="38"/>
      <c r="G76" s="38"/>
      <c r="H76" s="38"/>
      <c r="I76" s="38"/>
      <c r="J76" s="30"/>
      <c r="K76" s="41"/>
      <c r="L76" s="41"/>
    </row>
    <row r="77" spans="2:12" x14ac:dyDescent="0.35">
      <c r="B77" s="38"/>
      <c r="C77" s="38"/>
      <c r="D77" s="38"/>
      <c r="E77" s="38"/>
      <c r="F77" s="38"/>
      <c r="G77" s="38"/>
      <c r="H77" s="38"/>
      <c r="I77" s="38"/>
      <c r="J77" s="30"/>
      <c r="K77" s="41"/>
      <c r="L77" s="41"/>
    </row>
    <row r="78" spans="2:12" x14ac:dyDescent="0.35">
      <c r="B78" s="38"/>
      <c r="C78" s="38"/>
      <c r="D78" s="38"/>
      <c r="E78" s="38"/>
      <c r="F78" s="38"/>
      <c r="G78" s="38"/>
      <c r="H78" s="38"/>
      <c r="I78" s="38"/>
      <c r="J78" s="30"/>
      <c r="K78" s="41"/>
      <c r="L78" s="41"/>
    </row>
    <row r="79" spans="2:12" x14ac:dyDescent="0.35">
      <c r="B79" s="38"/>
      <c r="C79" s="38"/>
      <c r="D79" s="38"/>
      <c r="E79" s="38"/>
      <c r="F79" s="38"/>
      <c r="G79" s="38"/>
      <c r="H79" s="38"/>
      <c r="I79" s="38"/>
      <c r="J79" s="30"/>
      <c r="K79" s="41"/>
      <c r="L79" s="41"/>
    </row>
    <row r="80" spans="2:12" x14ac:dyDescent="0.35">
      <c r="B80" s="38"/>
      <c r="C80" s="38"/>
      <c r="D80" s="38"/>
      <c r="E80" s="38"/>
      <c r="F80" s="38"/>
      <c r="G80" s="38"/>
      <c r="H80" s="38"/>
      <c r="I80" s="38"/>
      <c r="J80" s="30"/>
      <c r="K80" s="41"/>
      <c r="L80" s="41"/>
    </row>
    <row r="81" spans="2:12" x14ac:dyDescent="0.35">
      <c r="B81" s="38"/>
      <c r="C81" s="38"/>
      <c r="D81" s="38"/>
      <c r="E81" s="38"/>
      <c r="F81" s="38"/>
      <c r="G81" s="38"/>
      <c r="H81" s="38"/>
      <c r="I81" s="38"/>
      <c r="J81" s="30"/>
      <c r="K81" s="41"/>
      <c r="L81" s="41"/>
    </row>
    <row r="82" spans="2:12" x14ac:dyDescent="0.35">
      <c r="B82" s="38"/>
      <c r="C82" s="38"/>
      <c r="D82" s="38"/>
      <c r="E82" s="38"/>
      <c r="F82" s="38"/>
      <c r="G82" s="38"/>
      <c r="H82" s="38"/>
      <c r="I82" s="38"/>
      <c r="J82" s="30"/>
      <c r="K82" s="41"/>
      <c r="L82" s="41"/>
    </row>
    <row r="83" spans="2:12" x14ac:dyDescent="0.35">
      <c r="B83" s="38"/>
      <c r="C83" s="38"/>
      <c r="D83" s="38"/>
      <c r="E83" s="38"/>
      <c r="F83" s="38"/>
      <c r="G83" s="38"/>
      <c r="H83" s="38"/>
      <c r="I83" s="38"/>
      <c r="J83" s="30"/>
      <c r="K83" s="41"/>
      <c r="L83" s="41"/>
    </row>
    <row r="84" spans="2:12" x14ac:dyDescent="0.35">
      <c r="B84" s="38"/>
      <c r="C84" s="38"/>
      <c r="D84" s="38"/>
      <c r="E84" s="38"/>
      <c r="F84" s="38"/>
      <c r="G84" s="38"/>
      <c r="H84" s="38"/>
      <c r="I84" s="38"/>
      <c r="J84" s="30"/>
      <c r="K84" s="41"/>
      <c r="L84" s="41"/>
    </row>
    <row r="85" spans="2:12" x14ac:dyDescent="0.35">
      <c r="B85" s="38"/>
      <c r="C85" s="38"/>
      <c r="D85" s="38"/>
      <c r="E85" s="38"/>
      <c r="F85" s="38"/>
      <c r="G85" s="38"/>
      <c r="H85" s="38"/>
      <c r="I85" s="38"/>
      <c r="J85" s="30"/>
      <c r="K85" s="41"/>
      <c r="L85" s="41"/>
    </row>
    <row r="86" spans="2:12" x14ac:dyDescent="0.35">
      <c r="B86" s="38"/>
      <c r="C86" s="38"/>
      <c r="D86" s="38"/>
      <c r="E86" s="38"/>
      <c r="F86" s="38"/>
      <c r="G86" s="38"/>
      <c r="H86" s="38"/>
      <c r="I86" s="38"/>
      <c r="J86" s="30"/>
      <c r="K86" s="41"/>
      <c r="L86" s="41"/>
    </row>
    <row r="87" spans="2:12" x14ac:dyDescent="0.35">
      <c r="B87" s="38"/>
      <c r="C87" s="38"/>
      <c r="D87" s="38"/>
      <c r="E87" s="38"/>
      <c r="F87" s="38"/>
      <c r="G87" s="38"/>
      <c r="H87" s="38"/>
      <c r="I87" s="38"/>
      <c r="J87" s="30"/>
      <c r="K87" s="41"/>
      <c r="L87" s="41"/>
    </row>
    <row r="88" spans="2:12" x14ac:dyDescent="0.35">
      <c r="B88" s="38"/>
      <c r="C88" s="38"/>
      <c r="D88" s="38"/>
      <c r="E88" s="38"/>
      <c r="F88" s="38"/>
      <c r="G88" s="38"/>
      <c r="H88" s="38"/>
      <c r="I88" s="38"/>
      <c r="J88" s="30"/>
      <c r="K88" s="41"/>
      <c r="L88" s="41"/>
    </row>
    <row r="89" spans="2:12" x14ac:dyDescent="0.35">
      <c r="B89" s="38"/>
      <c r="C89" s="38"/>
      <c r="D89" s="38"/>
      <c r="E89" s="38"/>
      <c r="F89" s="38"/>
      <c r="G89" s="38"/>
      <c r="H89" s="38"/>
      <c r="I89" s="38"/>
      <c r="J89" s="30"/>
      <c r="K89" s="41"/>
      <c r="L89" s="41"/>
    </row>
    <row r="90" spans="2:12" x14ac:dyDescent="0.35">
      <c r="B90" s="38"/>
      <c r="C90" s="38"/>
      <c r="D90" s="38"/>
      <c r="E90" s="38"/>
      <c r="F90" s="38"/>
      <c r="G90" s="38"/>
      <c r="H90" s="38"/>
      <c r="I90" s="38"/>
      <c r="J90" s="30"/>
      <c r="K90" s="41"/>
      <c r="L90" s="41"/>
    </row>
    <row r="91" spans="2:12" x14ac:dyDescent="0.35">
      <c r="B91" s="38"/>
      <c r="C91" s="38"/>
      <c r="D91" s="38"/>
      <c r="E91" s="38"/>
      <c r="F91" s="38"/>
      <c r="G91" s="38"/>
      <c r="H91" s="38"/>
      <c r="I91" s="38"/>
      <c r="J91" s="30"/>
      <c r="K91" s="41"/>
      <c r="L91" s="41"/>
    </row>
    <row r="92" spans="2:12" x14ac:dyDescent="0.35">
      <c r="B92" s="38"/>
      <c r="C92" s="38"/>
      <c r="D92" s="38"/>
      <c r="E92" s="38"/>
      <c r="F92" s="38"/>
      <c r="G92" s="38"/>
      <c r="H92" s="38"/>
      <c r="I92" s="38"/>
      <c r="J92" s="30"/>
      <c r="K92" s="41"/>
      <c r="L92" s="41"/>
    </row>
    <row r="93" spans="2:12" x14ac:dyDescent="0.35">
      <c r="B93" s="38"/>
      <c r="C93" s="38"/>
      <c r="D93" s="38"/>
      <c r="E93" s="38"/>
      <c r="F93" s="38"/>
      <c r="G93" s="38"/>
      <c r="H93" s="38"/>
      <c r="I93" s="38"/>
      <c r="J93" s="30"/>
      <c r="K93" s="41"/>
      <c r="L93" s="41"/>
    </row>
    <row r="94" spans="2:12" x14ac:dyDescent="0.35">
      <c r="B94" s="38"/>
      <c r="C94" s="38"/>
      <c r="D94" s="38"/>
      <c r="E94" s="38"/>
      <c r="F94" s="38"/>
      <c r="G94" s="38"/>
      <c r="H94" s="38"/>
      <c r="I94" s="38"/>
      <c r="J94" s="30"/>
      <c r="K94" s="41"/>
      <c r="L94" s="41"/>
    </row>
    <row r="95" spans="2:12" x14ac:dyDescent="0.35">
      <c r="B95" s="38"/>
      <c r="C95" s="38"/>
      <c r="D95" s="38"/>
      <c r="E95" s="38"/>
      <c r="F95" s="38"/>
      <c r="G95" s="38"/>
      <c r="H95" s="38"/>
      <c r="I95" s="38"/>
      <c r="J95" s="30"/>
      <c r="K95" s="41"/>
      <c r="L95" s="41"/>
    </row>
    <row r="96" spans="2:12" x14ac:dyDescent="0.35">
      <c r="B96" s="38"/>
      <c r="C96" s="38"/>
      <c r="D96" s="38"/>
      <c r="E96" s="38"/>
      <c r="F96" s="38"/>
      <c r="G96" s="38"/>
      <c r="H96" s="38"/>
      <c r="I96" s="38"/>
      <c r="J96" s="30"/>
      <c r="K96" s="41"/>
      <c r="L96" s="41"/>
    </row>
    <row r="97" spans="2:12" x14ac:dyDescent="0.35">
      <c r="B97" s="38"/>
      <c r="C97" s="38"/>
      <c r="D97" s="38"/>
      <c r="E97" s="38"/>
      <c r="F97" s="38"/>
      <c r="G97" s="38"/>
      <c r="H97" s="38"/>
      <c r="I97" s="38"/>
      <c r="J97" s="30"/>
      <c r="K97" s="41"/>
      <c r="L97" s="41"/>
    </row>
    <row r="98" spans="2:12" x14ac:dyDescent="0.35">
      <c r="B98" s="38"/>
      <c r="C98" s="38"/>
      <c r="D98" s="38"/>
      <c r="E98" s="38"/>
      <c r="F98" s="38"/>
      <c r="G98" s="38"/>
      <c r="H98" s="38"/>
      <c r="I98" s="38"/>
      <c r="J98" s="30"/>
      <c r="K98" s="41"/>
      <c r="L98" s="41"/>
    </row>
    <row r="99" spans="2:12" x14ac:dyDescent="0.35">
      <c r="B99" s="38"/>
      <c r="C99" s="38"/>
      <c r="D99" s="38"/>
      <c r="E99" s="38"/>
      <c r="F99" s="38"/>
      <c r="G99" s="38"/>
      <c r="H99" s="38"/>
      <c r="I99" s="38"/>
      <c r="J99" s="30"/>
      <c r="K99" s="41"/>
      <c r="L99" s="41"/>
    </row>
    <row r="100" spans="2:12" x14ac:dyDescent="0.35">
      <c r="B100" s="38"/>
      <c r="C100" s="38"/>
      <c r="D100" s="38"/>
      <c r="E100" s="38"/>
      <c r="F100" s="38"/>
      <c r="G100" s="38"/>
      <c r="H100" s="38"/>
      <c r="I100" s="38"/>
      <c r="J100" s="30"/>
      <c r="K100" s="41"/>
      <c r="L100" s="41"/>
    </row>
    <row r="101" spans="2:12" x14ac:dyDescent="0.35">
      <c r="B101" s="38"/>
      <c r="C101" s="38"/>
      <c r="D101" s="38"/>
      <c r="E101" s="38"/>
      <c r="F101" s="38"/>
      <c r="G101" s="38"/>
      <c r="H101" s="38"/>
      <c r="I101" s="38"/>
      <c r="J101" s="30"/>
      <c r="K101" s="41"/>
      <c r="L101" s="41"/>
    </row>
    <row r="102" spans="2:12" x14ac:dyDescent="0.35">
      <c r="B102" s="38"/>
      <c r="C102" s="38"/>
      <c r="D102" s="38"/>
      <c r="E102" s="38"/>
      <c r="F102" s="38"/>
      <c r="G102" s="38"/>
      <c r="H102" s="38"/>
      <c r="I102" s="38"/>
      <c r="J102" s="30"/>
      <c r="K102" s="41"/>
      <c r="L102" s="41"/>
    </row>
    <row r="103" spans="2:12" x14ac:dyDescent="0.35">
      <c r="B103" s="38"/>
      <c r="C103" s="38"/>
      <c r="D103" s="38"/>
      <c r="E103" s="38"/>
      <c r="F103" s="38"/>
      <c r="G103" s="38"/>
      <c r="H103" s="38"/>
      <c r="I103" s="38"/>
      <c r="J103" s="30"/>
      <c r="K103" s="41"/>
      <c r="L103" s="41"/>
    </row>
    <row r="104" spans="2:12" x14ac:dyDescent="0.35">
      <c r="B104" s="38"/>
      <c r="C104" s="38"/>
      <c r="D104" s="38"/>
      <c r="E104" s="38"/>
      <c r="F104" s="38"/>
      <c r="G104" s="38"/>
      <c r="H104" s="38"/>
      <c r="I104" s="38"/>
      <c r="J104" s="30"/>
      <c r="K104" s="41"/>
      <c r="L104" s="41"/>
    </row>
    <row r="105" spans="2:12" x14ac:dyDescent="0.35">
      <c r="B105" s="38"/>
      <c r="C105" s="38"/>
      <c r="D105" s="38"/>
      <c r="E105" s="38"/>
      <c r="F105" s="38"/>
      <c r="G105" s="38"/>
      <c r="H105" s="38"/>
      <c r="I105" s="38"/>
      <c r="J105" s="30"/>
      <c r="K105" s="41"/>
      <c r="L105" s="41"/>
    </row>
    <row r="106" spans="2:12" x14ac:dyDescent="0.35">
      <c r="B106" s="38"/>
      <c r="C106" s="38"/>
      <c r="D106" s="38"/>
      <c r="E106" s="38"/>
      <c r="F106" s="38"/>
      <c r="G106" s="38"/>
      <c r="H106" s="38"/>
      <c r="I106" s="38"/>
      <c r="J106" s="30"/>
      <c r="K106" s="41"/>
      <c r="L106" s="41"/>
    </row>
    <row r="107" spans="2:12" x14ac:dyDescent="0.35">
      <c r="B107" s="38"/>
      <c r="C107" s="38"/>
      <c r="D107" s="38"/>
      <c r="E107" s="38"/>
      <c r="F107" s="38"/>
      <c r="G107" s="38"/>
      <c r="H107" s="38"/>
      <c r="I107" s="38"/>
      <c r="J107" s="30"/>
      <c r="K107" s="41"/>
      <c r="L107" s="41"/>
    </row>
    <row r="108" spans="2:12" x14ac:dyDescent="0.35">
      <c r="B108" s="38"/>
      <c r="C108" s="38"/>
      <c r="D108" s="38"/>
      <c r="E108" s="38"/>
      <c r="F108" s="38"/>
      <c r="G108" s="38"/>
      <c r="H108" s="38"/>
      <c r="I108" s="38"/>
      <c r="J108" s="30"/>
      <c r="K108" s="41"/>
      <c r="L108" s="41"/>
    </row>
    <row r="109" spans="2:12" x14ac:dyDescent="0.35">
      <c r="B109" s="38"/>
      <c r="C109" s="38"/>
      <c r="D109" s="38"/>
      <c r="E109" s="38"/>
      <c r="F109" s="38"/>
      <c r="G109" s="38"/>
      <c r="H109" s="38"/>
      <c r="I109" s="38"/>
      <c r="J109" s="30"/>
      <c r="K109" s="41"/>
      <c r="L109" s="41"/>
    </row>
    <row r="110" spans="2:12" x14ac:dyDescent="0.35">
      <c r="B110" s="38"/>
      <c r="C110" s="38"/>
      <c r="D110" s="38"/>
      <c r="E110" s="38"/>
      <c r="F110" s="38"/>
      <c r="G110" s="38"/>
      <c r="H110" s="38"/>
      <c r="I110" s="38"/>
      <c r="J110" s="30"/>
      <c r="K110" s="41"/>
      <c r="L110" s="41"/>
    </row>
    <row r="111" spans="2:12" x14ac:dyDescent="0.35">
      <c r="B111" s="38"/>
      <c r="C111" s="38"/>
      <c r="D111" s="38"/>
      <c r="E111" s="38"/>
      <c r="F111" s="38"/>
      <c r="G111" s="38"/>
      <c r="H111" s="38"/>
      <c r="I111" s="38"/>
      <c r="J111" s="30"/>
      <c r="K111" s="41"/>
      <c r="L111" s="41"/>
    </row>
    <row r="112" spans="2:12" x14ac:dyDescent="0.35">
      <c r="B112" s="38"/>
      <c r="C112" s="38"/>
      <c r="D112" s="38"/>
      <c r="E112" s="38"/>
      <c r="F112" s="38"/>
      <c r="G112" s="38"/>
      <c r="H112" s="38"/>
      <c r="I112" s="38"/>
      <c r="J112" s="30"/>
      <c r="K112" s="41"/>
      <c r="L112" s="41"/>
    </row>
    <row r="113" spans="2:12" x14ac:dyDescent="0.35">
      <c r="B113" s="38"/>
      <c r="C113" s="38"/>
      <c r="D113" s="38"/>
      <c r="E113" s="38"/>
      <c r="F113" s="38"/>
      <c r="G113" s="38"/>
      <c r="H113" s="38"/>
      <c r="I113" s="38"/>
      <c r="J113" s="30"/>
      <c r="K113" s="41"/>
      <c r="L113" s="41"/>
    </row>
    <row r="114" spans="2:12" x14ac:dyDescent="0.35">
      <c r="B114" s="38"/>
      <c r="C114" s="38"/>
      <c r="D114" s="38"/>
      <c r="E114" s="38"/>
      <c r="F114" s="38"/>
      <c r="G114" s="38"/>
      <c r="H114" s="38"/>
      <c r="I114" s="38"/>
      <c r="J114" s="30"/>
      <c r="K114" s="41"/>
      <c r="L114" s="41"/>
    </row>
    <row r="115" spans="2:12" x14ac:dyDescent="0.35">
      <c r="B115" s="38"/>
      <c r="C115" s="38"/>
      <c r="D115" s="38"/>
      <c r="E115" s="38"/>
      <c r="F115" s="38"/>
      <c r="G115" s="38"/>
      <c r="H115" s="38"/>
      <c r="I115" s="38"/>
      <c r="J115" s="30"/>
      <c r="K115" s="41"/>
      <c r="L115" s="41"/>
    </row>
    <row r="116" spans="2:12" x14ac:dyDescent="0.35">
      <c r="B116" s="38"/>
      <c r="C116" s="38"/>
      <c r="D116" s="38"/>
      <c r="E116" s="38"/>
      <c r="F116" s="38"/>
      <c r="G116" s="38"/>
      <c r="H116" s="38"/>
      <c r="I116" s="38"/>
      <c r="J116" s="30"/>
      <c r="K116" s="41"/>
      <c r="L116" s="41"/>
    </row>
    <row r="117" spans="2:12" x14ac:dyDescent="0.35">
      <c r="B117" s="38"/>
      <c r="C117" s="38"/>
      <c r="D117" s="38"/>
      <c r="E117" s="38"/>
      <c r="F117" s="38"/>
      <c r="G117" s="38"/>
      <c r="H117" s="38"/>
      <c r="I117" s="38"/>
      <c r="J117" s="30"/>
      <c r="K117" s="41"/>
      <c r="L117" s="41"/>
    </row>
    <row r="118" spans="2:12" x14ac:dyDescent="0.35">
      <c r="B118" s="38"/>
      <c r="C118" s="38"/>
      <c r="D118" s="38"/>
      <c r="E118" s="38"/>
      <c r="F118" s="38"/>
      <c r="G118" s="38"/>
      <c r="H118" s="38"/>
      <c r="I118" s="38"/>
      <c r="J118" s="30"/>
      <c r="K118" s="41"/>
      <c r="L118" s="41"/>
    </row>
    <row r="119" spans="2:12" x14ac:dyDescent="0.35">
      <c r="B119" s="38"/>
      <c r="C119" s="38"/>
      <c r="D119" s="38"/>
      <c r="E119" s="38"/>
      <c r="F119" s="38"/>
      <c r="G119" s="38"/>
      <c r="H119" s="38"/>
      <c r="I119" s="38"/>
      <c r="J119" s="30"/>
      <c r="K119" s="41"/>
      <c r="L119" s="41"/>
    </row>
    <row r="120" spans="2:12" x14ac:dyDescent="0.35">
      <c r="B120" s="38"/>
      <c r="C120" s="38"/>
      <c r="D120" s="38"/>
      <c r="E120" s="38"/>
      <c r="F120" s="38"/>
      <c r="G120" s="38"/>
      <c r="H120" s="38"/>
      <c r="I120" s="38"/>
      <c r="J120" s="30"/>
      <c r="K120" s="41"/>
      <c r="L120" s="41"/>
    </row>
    <row r="121" spans="2:12" x14ac:dyDescent="0.35">
      <c r="B121" s="38"/>
      <c r="C121" s="38"/>
      <c r="D121" s="38"/>
      <c r="E121" s="38"/>
      <c r="F121" s="38"/>
      <c r="G121" s="38"/>
      <c r="H121" s="38"/>
      <c r="I121" s="38"/>
      <c r="J121" s="38"/>
      <c r="K121" s="41"/>
      <c r="L121" s="41"/>
    </row>
    <row r="122" spans="2:12" x14ac:dyDescent="0.35">
      <c r="B122" s="38"/>
      <c r="C122" s="38"/>
      <c r="D122" s="38"/>
      <c r="E122" s="38"/>
      <c r="F122" s="38"/>
      <c r="G122" s="38"/>
      <c r="H122" s="38"/>
      <c r="I122" s="38"/>
      <c r="J122" s="38"/>
      <c r="K122" s="41"/>
      <c r="L122" s="41"/>
    </row>
    <row r="123" spans="2:12" x14ac:dyDescent="0.35">
      <c r="B123" s="38"/>
      <c r="C123" s="38"/>
      <c r="D123" s="38"/>
      <c r="E123" s="38"/>
      <c r="F123" s="38"/>
      <c r="G123" s="38"/>
      <c r="H123" s="38"/>
      <c r="I123" s="38"/>
      <c r="J123" s="38"/>
      <c r="K123" s="41"/>
      <c r="L123" s="41"/>
    </row>
    <row r="124" spans="2:12" x14ac:dyDescent="0.35">
      <c r="B124" s="38"/>
      <c r="C124" s="38"/>
      <c r="D124" s="38"/>
      <c r="E124" s="38"/>
      <c r="F124" s="38"/>
      <c r="G124" s="38"/>
      <c r="H124" s="38"/>
      <c r="I124" s="38"/>
      <c r="J124" s="38"/>
      <c r="K124" s="41"/>
      <c r="L124" s="41"/>
    </row>
    <row r="125" spans="2:12" x14ac:dyDescent="0.35">
      <c r="B125" s="38"/>
      <c r="C125" s="38"/>
      <c r="D125" s="38"/>
      <c r="E125" s="38"/>
      <c r="F125" s="38"/>
      <c r="G125" s="38"/>
      <c r="H125" s="38"/>
      <c r="I125" s="38"/>
      <c r="J125" s="38"/>
      <c r="K125" s="41"/>
      <c r="L125" s="41"/>
    </row>
    <row r="126" spans="2:12" x14ac:dyDescent="0.35">
      <c r="B126" s="38"/>
      <c r="C126" s="38"/>
      <c r="D126" s="38"/>
      <c r="E126" s="38"/>
      <c r="F126" s="38"/>
      <c r="G126" s="38"/>
      <c r="H126" s="38"/>
      <c r="I126" s="38"/>
      <c r="J126" s="38"/>
      <c r="K126" s="41"/>
      <c r="L126" s="41"/>
    </row>
    <row r="127" spans="2:12" x14ac:dyDescent="0.35">
      <c r="B127" s="38"/>
      <c r="C127" s="38"/>
      <c r="D127" s="38"/>
      <c r="E127" s="38"/>
      <c r="F127" s="38"/>
      <c r="G127" s="38"/>
      <c r="H127" s="38"/>
      <c r="I127" s="38"/>
      <c r="J127" s="38"/>
      <c r="K127" s="41"/>
      <c r="L127" s="41"/>
    </row>
    <row r="128" spans="2:12" x14ac:dyDescent="0.35">
      <c r="B128" s="38"/>
      <c r="C128" s="38"/>
      <c r="D128" s="38"/>
      <c r="E128" s="38"/>
      <c r="F128" s="38"/>
      <c r="G128" s="38"/>
      <c r="H128" s="38"/>
      <c r="I128" s="38"/>
      <c r="J128" s="38"/>
      <c r="K128" s="41"/>
      <c r="L128" s="41"/>
    </row>
    <row r="129" spans="2:12" x14ac:dyDescent="0.35">
      <c r="B129" s="38"/>
      <c r="C129" s="38"/>
      <c r="D129" s="38"/>
      <c r="E129" s="38"/>
      <c r="F129" s="38"/>
      <c r="G129" s="38"/>
      <c r="H129" s="38"/>
      <c r="I129" s="38"/>
      <c r="J129" s="38"/>
      <c r="K129" s="41"/>
      <c r="L129" s="41"/>
    </row>
    <row r="130" spans="2:12" x14ac:dyDescent="0.35">
      <c r="B130" s="38"/>
      <c r="C130" s="38"/>
      <c r="D130" s="38"/>
      <c r="E130" s="38"/>
      <c r="F130" s="38"/>
      <c r="G130" s="38"/>
      <c r="H130" s="38"/>
      <c r="I130" s="38"/>
      <c r="J130" s="38"/>
      <c r="K130" s="41"/>
      <c r="L130" s="41"/>
    </row>
    <row r="131" spans="2:12" x14ac:dyDescent="0.35">
      <c r="B131" s="38"/>
      <c r="C131" s="38"/>
      <c r="D131" s="38"/>
      <c r="E131" s="38"/>
      <c r="F131" s="38"/>
      <c r="G131" s="38"/>
      <c r="H131" s="38"/>
      <c r="I131" s="38"/>
      <c r="J131" s="38"/>
      <c r="K131" s="41"/>
      <c r="L131" s="41"/>
    </row>
    <row r="132" spans="2:12" x14ac:dyDescent="0.35">
      <c r="B132" s="38"/>
      <c r="C132" s="38"/>
      <c r="D132" s="38"/>
      <c r="E132" s="38"/>
      <c r="F132" s="38"/>
      <c r="G132" s="38"/>
      <c r="H132" s="38"/>
      <c r="I132" s="38"/>
      <c r="J132" s="38"/>
      <c r="K132" s="41"/>
      <c r="L132" s="41"/>
    </row>
    <row r="133" spans="2:12" x14ac:dyDescent="0.35">
      <c r="B133" s="38"/>
      <c r="C133" s="38"/>
      <c r="D133" s="38"/>
      <c r="E133" s="38"/>
      <c r="F133" s="38"/>
      <c r="G133" s="38"/>
      <c r="H133" s="38"/>
      <c r="I133" s="38"/>
      <c r="J133" s="38"/>
      <c r="K133" s="41"/>
      <c r="L133" s="41"/>
    </row>
    <row r="134" spans="2:12" x14ac:dyDescent="0.35">
      <c r="B134" s="38"/>
      <c r="C134" s="38"/>
      <c r="D134" s="38"/>
      <c r="E134" s="38"/>
      <c r="F134" s="38"/>
      <c r="G134" s="38"/>
      <c r="H134" s="38"/>
      <c r="I134" s="38"/>
      <c r="J134" s="38"/>
      <c r="K134" s="41"/>
      <c r="L134" s="41"/>
    </row>
    <row r="135" spans="2:12" x14ac:dyDescent="0.35">
      <c r="B135" s="38"/>
      <c r="C135" s="38"/>
      <c r="D135" s="38"/>
      <c r="E135" s="38"/>
      <c r="F135" s="38"/>
      <c r="G135" s="38"/>
      <c r="H135" s="38"/>
      <c r="I135" s="38"/>
      <c r="J135" s="38"/>
      <c r="K135" s="41"/>
      <c r="L135" s="41"/>
    </row>
    <row r="136" spans="2:12" x14ac:dyDescent="0.35">
      <c r="B136" s="38"/>
      <c r="C136" s="38"/>
      <c r="D136" s="38"/>
      <c r="E136" s="38"/>
      <c r="F136" s="38"/>
      <c r="G136" s="38"/>
      <c r="H136" s="38"/>
      <c r="I136" s="38"/>
      <c r="J136" s="38"/>
      <c r="K136" s="41"/>
      <c r="L136" s="41"/>
    </row>
    <row r="137" spans="2:12" x14ac:dyDescent="0.35">
      <c r="B137" s="38"/>
      <c r="C137" s="38"/>
      <c r="D137" s="38"/>
      <c r="E137" s="38"/>
      <c r="F137" s="38"/>
      <c r="G137" s="38"/>
      <c r="H137" s="38"/>
      <c r="I137" s="38"/>
      <c r="J137" s="38"/>
      <c r="K137" s="41"/>
      <c r="L137" s="41"/>
    </row>
    <row r="138" spans="2:12" x14ac:dyDescent="0.35">
      <c r="B138" s="38"/>
      <c r="C138" s="38"/>
      <c r="D138" s="38"/>
      <c r="E138" s="38"/>
      <c r="F138" s="38"/>
      <c r="G138" s="38"/>
      <c r="H138" s="38"/>
      <c r="I138" s="38"/>
      <c r="J138" s="38"/>
      <c r="K138" s="41"/>
      <c r="L138" s="41"/>
    </row>
    <row r="139" spans="2:12" x14ac:dyDescent="0.35">
      <c r="B139" s="38"/>
      <c r="C139" s="38"/>
      <c r="D139" s="38"/>
      <c r="E139" s="38"/>
      <c r="F139" s="38"/>
      <c r="G139" s="38"/>
      <c r="H139" s="38"/>
      <c r="I139" s="38"/>
      <c r="J139" s="38"/>
      <c r="K139" s="41"/>
      <c r="L139" s="41"/>
    </row>
    <row r="140" spans="2:12" x14ac:dyDescent="0.35">
      <c r="B140" s="38"/>
      <c r="C140" s="38"/>
      <c r="D140" s="38"/>
      <c r="E140" s="38"/>
      <c r="F140" s="38"/>
      <c r="G140" s="38"/>
      <c r="H140" s="38"/>
      <c r="I140" s="38"/>
      <c r="J140" s="38"/>
      <c r="K140" s="41"/>
      <c r="L140" s="41"/>
    </row>
    <row r="141" spans="2:12" x14ac:dyDescent="0.35">
      <c r="B141" s="38"/>
      <c r="C141" s="38"/>
      <c r="D141" s="38"/>
      <c r="E141" s="38"/>
      <c r="F141" s="38"/>
      <c r="G141" s="38"/>
      <c r="H141" s="38"/>
      <c r="I141" s="38"/>
      <c r="J141" s="38"/>
      <c r="K141" s="41"/>
      <c r="L141" s="41"/>
    </row>
    <row r="142" spans="2:12" x14ac:dyDescent="0.35">
      <c r="B142" s="38"/>
      <c r="C142" s="38"/>
      <c r="D142" s="38"/>
      <c r="E142" s="38"/>
      <c r="F142" s="38"/>
      <c r="G142" s="38"/>
      <c r="H142" s="38"/>
      <c r="I142" s="38"/>
      <c r="J142" s="38"/>
      <c r="K142" s="41"/>
      <c r="L142" s="41"/>
    </row>
    <row r="143" spans="2:12" x14ac:dyDescent="0.35">
      <c r="B143" s="38"/>
      <c r="C143" s="38"/>
      <c r="D143" s="38"/>
      <c r="E143" s="38"/>
      <c r="F143" s="38"/>
      <c r="G143" s="38"/>
      <c r="H143" s="38"/>
      <c r="I143" s="38"/>
      <c r="J143" s="38"/>
      <c r="K143" s="41"/>
      <c r="L143" s="41"/>
    </row>
    <row r="144" spans="2:12" x14ac:dyDescent="0.35">
      <c r="B144" s="38"/>
      <c r="C144" s="38"/>
      <c r="D144" s="38"/>
      <c r="E144" s="38"/>
      <c r="F144" s="38"/>
      <c r="G144" s="38"/>
      <c r="H144" s="38"/>
      <c r="I144" s="38"/>
      <c r="J144" s="38"/>
      <c r="K144" s="41"/>
      <c r="L144" s="41"/>
    </row>
    <row r="145" spans="2:12" x14ac:dyDescent="0.35">
      <c r="B145" s="38"/>
      <c r="C145" s="38"/>
      <c r="D145" s="38"/>
      <c r="E145" s="38"/>
      <c r="F145" s="38"/>
      <c r="G145" s="38"/>
      <c r="H145" s="38"/>
      <c r="I145" s="38"/>
      <c r="J145" s="38"/>
      <c r="K145" s="41"/>
      <c r="L145" s="41"/>
    </row>
    <row r="146" spans="2:12" x14ac:dyDescent="0.35">
      <c r="B146" s="38"/>
      <c r="C146" s="38"/>
      <c r="D146" s="38"/>
      <c r="E146" s="38"/>
      <c r="F146" s="38"/>
      <c r="G146" s="38"/>
      <c r="H146" s="38"/>
      <c r="I146" s="38"/>
      <c r="J146" s="38"/>
      <c r="K146" s="41"/>
      <c r="L146" s="41"/>
    </row>
    <row r="147" spans="2:12" x14ac:dyDescent="0.35">
      <c r="B147" s="38"/>
      <c r="C147" s="38"/>
      <c r="D147" s="38"/>
      <c r="E147" s="38"/>
      <c r="F147" s="38"/>
      <c r="G147" s="38"/>
      <c r="H147" s="38"/>
      <c r="I147" s="38"/>
      <c r="J147" s="38"/>
      <c r="K147" s="41"/>
      <c r="L147" s="41"/>
    </row>
    <row r="148" spans="2:12" x14ac:dyDescent="0.35">
      <c r="B148" s="38"/>
      <c r="C148" s="38"/>
      <c r="D148" s="38"/>
      <c r="E148" s="38"/>
      <c r="F148" s="38"/>
      <c r="G148" s="38"/>
      <c r="H148" s="38"/>
      <c r="I148" s="38"/>
      <c r="J148" s="38"/>
      <c r="K148" s="41"/>
      <c r="L148" s="41"/>
    </row>
    <row r="149" spans="2:12" x14ac:dyDescent="0.35">
      <c r="B149" s="38"/>
      <c r="C149" s="38"/>
      <c r="D149" s="38"/>
      <c r="E149" s="38"/>
      <c r="F149" s="38"/>
      <c r="G149" s="38"/>
      <c r="H149" s="38"/>
      <c r="I149" s="38"/>
      <c r="J149" s="38"/>
      <c r="K149" s="41"/>
      <c r="L149" s="41"/>
    </row>
    <row r="150" spans="2:12" x14ac:dyDescent="0.35">
      <c r="B150" s="38"/>
      <c r="C150" s="38"/>
      <c r="D150" s="38"/>
      <c r="E150" s="38"/>
      <c r="F150" s="38"/>
      <c r="G150" s="38"/>
      <c r="H150" s="38"/>
      <c r="I150" s="38"/>
      <c r="J150" s="38"/>
      <c r="K150" s="41"/>
      <c r="L150" s="41"/>
    </row>
    <row r="151" spans="2:12" x14ac:dyDescent="0.35">
      <c r="B151" s="38"/>
      <c r="C151" s="38"/>
      <c r="D151" s="38"/>
      <c r="E151" s="38"/>
      <c r="F151" s="38"/>
      <c r="G151" s="38"/>
      <c r="H151" s="38"/>
      <c r="I151" s="38"/>
      <c r="J151" s="38"/>
      <c r="K151" s="41"/>
      <c r="L151" s="41"/>
    </row>
    <row r="152" spans="2:12" x14ac:dyDescent="0.35">
      <c r="B152" s="38"/>
      <c r="C152" s="38"/>
      <c r="D152" s="38"/>
      <c r="E152" s="38"/>
      <c r="F152" s="38"/>
      <c r="G152" s="38"/>
      <c r="H152" s="38"/>
      <c r="I152" s="38"/>
      <c r="J152" s="38"/>
      <c r="K152" s="41"/>
      <c r="L152" s="41"/>
    </row>
    <row r="153" spans="2:12" x14ac:dyDescent="0.35">
      <c r="B153" s="38"/>
      <c r="C153" s="38"/>
      <c r="D153" s="38"/>
      <c r="E153" s="38"/>
      <c r="F153" s="38"/>
      <c r="G153" s="38"/>
      <c r="H153" s="38"/>
      <c r="I153" s="38"/>
      <c r="J153" s="38"/>
      <c r="K153" s="41"/>
      <c r="L153" s="41"/>
    </row>
    <row r="154" spans="2:12" x14ac:dyDescent="0.35">
      <c r="B154" s="38"/>
      <c r="C154" s="38"/>
      <c r="D154" s="38"/>
      <c r="E154" s="38"/>
      <c r="F154" s="38"/>
      <c r="G154" s="38"/>
      <c r="H154" s="38"/>
      <c r="I154" s="38"/>
      <c r="J154" s="38"/>
      <c r="K154" s="41"/>
      <c r="L154" s="41"/>
    </row>
    <row r="155" spans="2:12" x14ac:dyDescent="0.35">
      <c r="B155" s="38"/>
      <c r="C155" s="38"/>
      <c r="D155" s="38"/>
      <c r="E155" s="38"/>
      <c r="F155" s="38"/>
      <c r="G155" s="38"/>
      <c r="H155" s="38"/>
      <c r="I155" s="38"/>
      <c r="J155" s="38"/>
      <c r="K155" s="41"/>
      <c r="L155" s="41"/>
    </row>
    <row r="156" spans="2:12" x14ac:dyDescent="0.35">
      <c r="B156" s="38"/>
      <c r="C156" s="38"/>
      <c r="D156" s="38"/>
      <c r="E156" s="38"/>
      <c r="F156" s="38"/>
      <c r="G156" s="38"/>
      <c r="H156" s="38"/>
      <c r="I156" s="38"/>
      <c r="J156" s="38"/>
      <c r="K156" s="41"/>
      <c r="L156" s="41"/>
    </row>
    <row r="157" spans="2:12" x14ac:dyDescent="0.35">
      <c r="B157" s="38"/>
      <c r="C157" s="38"/>
      <c r="D157" s="38"/>
      <c r="E157" s="38"/>
      <c r="F157" s="38"/>
      <c r="G157" s="38"/>
      <c r="H157" s="38"/>
      <c r="I157" s="38"/>
      <c r="J157" s="38"/>
      <c r="K157" s="41"/>
      <c r="L157" s="41"/>
    </row>
    <row r="158" spans="2:12" x14ac:dyDescent="0.35">
      <c r="B158" s="38"/>
      <c r="C158" s="38"/>
      <c r="D158" s="38"/>
      <c r="E158" s="38"/>
      <c r="F158" s="38"/>
      <c r="G158" s="38"/>
      <c r="H158" s="38"/>
      <c r="I158" s="38"/>
      <c r="J158" s="38"/>
      <c r="K158" s="41"/>
      <c r="L158" s="41"/>
    </row>
    <row r="159" spans="2:12" x14ac:dyDescent="0.35">
      <c r="B159" s="38"/>
      <c r="C159" s="38"/>
      <c r="D159" s="38"/>
      <c r="E159" s="38"/>
      <c r="F159" s="38"/>
      <c r="G159" s="38"/>
      <c r="H159" s="38"/>
      <c r="I159" s="38"/>
      <c r="J159" s="38"/>
      <c r="K159" s="41"/>
      <c r="L159" s="41"/>
    </row>
    <row r="160" spans="2:12" x14ac:dyDescent="0.35">
      <c r="B160" s="38"/>
      <c r="C160" s="38"/>
      <c r="D160" s="38"/>
      <c r="E160" s="38"/>
      <c r="F160" s="38"/>
      <c r="G160" s="38"/>
      <c r="H160" s="38"/>
      <c r="I160" s="38"/>
      <c r="J160" s="38"/>
      <c r="K160" s="41"/>
      <c r="L160" s="41"/>
    </row>
    <row r="161" spans="2:12" x14ac:dyDescent="0.35">
      <c r="B161" s="38"/>
      <c r="C161" s="38"/>
      <c r="D161" s="38"/>
      <c r="E161" s="38"/>
      <c r="F161" s="38"/>
      <c r="G161" s="38"/>
      <c r="H161" s="38"/>
      <c r="I161" s="38"/>
      <c r="J161" s="38"/>
      <c r="K161" s="41"/>
      <c r="L161" s="41"/>
    </row>
    <row r="162" spans="2:12" x14ac:dyDescent="0.35">
      <c r="B162" s="38"/>
      <c r="C162" s="38"/>
      <c r="D162" s="38"/>
      <c r="E162" s="38"/>
      <c r="F162" s="38"/>
      <c r="G162" s="38"/>
      <c r="H162" s="38"/>
      <c r="I162" s="38"/>
      <c r="J162" s="38"/>
      <c r="K162" s="41"/>
      <c r="L162" s="41"/>
    </row>
    <row r="163" spans="2:12" x14ac:dyDescent="0.35">
      <c r="B163" s="38"/>
      <c r="C163" s="38"/>
      <c r="D163" s="38"/>
      <c r="E163" s="38"/>
      <c r="F163" s="38"/>
      <c r="G163" s="38"/>
      <c r="H163" s="38"/>
      <c r="I163" s="38"/>
      <c r="J163" s="38"/>
      <c r="K163" s="41"/>
      <c r="L163" s="41"/>
    </row>
    <row r="164" spans="2:12" x14ac:dyDescent="0.35">
      <c r="B164" s="38"/>
      <c r="C164" s="38"/>
      <c r="D164" s="38"/>
      <c r="E164" s="38"/>
      <c r="F164" s="38"/>
      <c r="G164" s="38"/>
      <c r="H164" s="38"/>
      <c r="I164" s="38"/>
      <c r="J164" s="38"/>
      <c r="K164" s="41"/>
      <c r="L164" s="41"/>
    </row>
    <row r="165" spans="2:12" x14ac:dyDescent="0.35">
      <c r="B165" s="38"/>
      <c r="C165" s="38"/>
      <c r="D165" s="38"/>
      <c r="E165" s="38"/>
      <c r="F165" s="38"/>
      <c r="G165" s="38"/>
      <c r="H165" s="38"/>
      <c r="I165" s="38"/>
      <c r="J165" s="38"/>
      <c r="K165" s="41"/>
      <c r="L165" s="41"/>
    </row>
    <row r="166" spans="2:12" x14ac:dyDescent="0.35">
      <c r="B166" s="38"/>
      <c r="C166" s="38"/>
      <c r="D166" s="38"/>
      <c r="E166" s="38"/>
      <c r="F166" s="38"/>
      <c r="G166" s="38"/>
      <c r="H166" s="38"/>
      <c r="I166" s="38"/>
      <c r="J166" s="38"/>
      <c r="K166" s="41"/>
      <c r="L166" s="41"/>
    </row>
    <row r="167" spans="2:12" x14ac:dyDescent="0.35">
      <c r="B167" s="38"/>
      <c r="C167" s="38"/>
      <c r="D167" s="38"/>
      <c r="E167" s="38"/>
      <c r="F167" s="38"/>
      <c r="G167" s="38"/>
      <c r="H167" s="38"/>
      <c r="I167" s="38"/>
      <c r="J167" s="38"/>
      <c r="K167" s="41"/>
      <c r="L167" s="41"/>
    </row>
    <row r="168" spans="2:12" x14ac:dyDescent="0.35">
      <c r="B168" s="38"/>
      <c r="C168" s="38"/>
      <c r="D168" s="38"/>
      <c r="E168" s="38"/>
      <c r="F168" s="38"/>
      <c r="G168" s="38"/>
      <c r="H168" s="38"/>
      <c r="I168" s="38"/>
      <c r="J168" s="38"/>
      <c r="K168" s="41"/>
      <c r="L168" s="41"/>
    </row>
    <row r="169" spans="2:12" x14ac:dyDescent="0.35">
      <c r="B169" s="38"/>
      <c r="C169" s="38"/>
      <c r="D169" s="38"/>
      <c r="E169" s="38"/>
      <c r="F169" s="38"/>
      <c r="G169" s="38"/>
      <c r="H169" s="38"/>
      <c r="I169" s="38"/>
      <c r="J169" s="38"/>
      <c r="K169" s="41"/>
      <c r="L169" s="41"/>
    </row>
    <row r="170" spans="2:12" x14ac:dyDescent="0.35">
      <c r="B170" s="38"/>
      <c r="C170" s="38"/>
      <c r="D170" s="38"/>
      <c r="E170" s="38"/>
      <c r="F170" s="38"/>
      <c r="G170" s="38"/>
      <c r="H170" s="38"/>
      <c r="I170" s="38"/>
      <c r="J170" s="38"/>
      <c r="K170" s="41"/>
      <c r="L170" s="41"/>
    </row>
    <row r="171" spans="2:12" x14ac:dyDescent="0.35">
      <c r="B171" s="38"/>
      <c r="C171" s="38"/>
      <c r="D171" s="38"/>
      <c r="E171" s="38"/>
      <c r="F171" s="38"/>
      <c r="G171" s="38"/>
      <c r="H171" s="38"/>
      <c r="I171" s="38"/>
      <c r="J171" s="38"/>
      <c r="K171" s="41"/>
      <c r="L171" s="41"/>
    </row>
    <row r="172" spans="2:12" x14ac:dyDescent="0.35">
      <c r="B172" s="38"/>
      <c r="C172" s="38"/>
      <c r="D172" s="38"/>
      <c r="E172" s="38"/>
      <c r="F172" s="38"/>
      <c r="G172" s="38"/>
      <c r="H172" s="38"/>
      <c r="I172" s="38"/>
      <c r="J172" s="38"/>
      <c r="K172" s="41"/>
      <c r="L172" s="41"/>
    </row>
    <row r="173" spans="2:12" x14ac:dyDescent="0.35">
      <c r="B173" s="38"/>
      <c r="C173" s="38"/>
      <c r="D173" s="38"/>
      <c r="E173" s="38"/>
      <c r="F173" s="38"/>
      <c r="G173" s="38"/>
      <c r="H173" s="38"/>
      <c r="I173" s="38"/>
      <c r="J173" s="38"/>
      <c r="K173" s="41"/>
      <c r="L173" s="41"/>
    </row>
    <row r="174" spans="2:12" x14ac:dyDescent="0.35">
      <c r="B174" s="38"/>
      <c r="C174" s="38"/>
      <c r="D174" s="38"/>
      <c r="E174" s="38"/>
      <c r="F174" s="38"/>
      <c r="G174" s="38"/>
      <c r="H174" s="38"/>
      <c r="I174" s="38"/>
      <c r="J174" s="38"/>
      <c r="K174" s="41"/>
      <c r="L174" s="41"/>
    </row>
    <row r="175" spans="2:12" x14ac:dyDescent="0.35">
      <c r="B175" s="38"/>
      <c r="C175" s="38"/>
      <c r="D175" s="38"/>
      <c r="E175" s="38"/>
      <c r="F175" s="38"/>
      <c r="G175" s="38"/>
      <c r="H175" s="38"/>
      <c r="I175" s="38"/>
      <c r="J175" s="38"/>
      <c r="K175" s="41"/>
      <c r="L175" s="41"/>
    </row>
    <row r="176" spans="2:12" x14ac:dyDescent="0.35">
      <c r="B176" s="38"/>
      <c r="C176" s="38"/>
      <c r="D176" s="38"/>
      <c r="E176" s="38"/>
      <c r="F176" s="38"/>
      <c r="G176" s="38"/>
      <c r="H176" s="38"/>
      <c r="I176" s="38"/>
      <c r="J176" s="38"/>
      <c r="K176" s="41"/>
      <c r="L176" s="41"/>
    </row>
    <row r="177" spans="2:12" x14ac:dyDescent="0.35">
      <c r="B177" s="38"/>
      <c r="C177" s="38"/>
      <c r="D177" s="38"/>
      <c r="E177" s="38"/>
      <c r="F177" s="38"/>
      <c r="G177" s="38"/>
      <c r="H177" s="38"/>
      <c r="I177" s="38"/>
      <c r="J177" s="38"/>
      <c r="K177" s="41"/>
      <c r="L177" s="41"/>
    </row>
    <row r="178" spans="2:12" x14ac:dyDescent="0.35">
      <c r="B178" s="38"/>
      <c r="C178" s="38"/>
      <c r="D178" s="38"/>
      <c r="E178" s="38"/>
      <c r="F178" s="38"/>
      <c r="G178" s="38"/>
      <c r="H178" s="38"/>
      <c r="I178" s="38"/>
      <c r="J178" s="38"/>
      <c r="K178" s="41"/>
      <c r="L178" s="41"/>
    </row>
    <row r="179" spans="2:12" x14ac:dyDescent="0.35">
      <c r="B179" s="38"/>
      <c r="C179" s="38"/>
      <c r="D179" s="38"/>
      <c r="E179" s="38"/>
      <c r="F179" s="38"/>
      <c r="G179" s="38"/>
      <c r="H179" s="38"/>
      <c r="I179" s="38"/>
      <c r="J179" s="38"/>
      <c r="K179" s="41"/>
      <c r="L179" s="41"/>
    </row>
    <row r="180" spans="2:12" x14ac:dyDescent="0.35">
      <c r="B180" s="38"/>
      <c r="C180" s="38"/>
      <c r="D180" s="38"/>
      <c r="E180" s="38"/>
      <c r="F180" s="38"/>
      <c r="G180" s="38"/>
      <c r="H180" s="38"/>
      <c r="I180" s="38"/>
      <c r="J180" s="38"/>
      <c r="K180" s="41"/>
      <c r="L180" s="41"/>
    </row>
    <row r="181" spans="2:12" x14ac:dyDescent="0.35">
      <c r="B181" s="38"/>
      <c r="C181" s="38"/>
      <c r="D181" s="38"/>
      <c r="E181" s="38"/>
      <c r="F181" s="38"/>
      <c r="G181" s="38"/>
      <c r="H181" s="38"/>
      <c r="I181" s="38"/>
      <c r="J181" s="38"/>
      <c r="K181" s="41"/>
      <c r="L181" s="41"/>
    </row>
    <row r="182" spans="2:12" x14ac:dyDescent="0.35">
      <c r="B182" s="38"/>
      <c r="C182" s="38"/>
      <c r="D182" s="38"/>
      <c r="E182" s="38"/>
      <c r="F182" s="38"/>
      <c r="G182" s="38"/>
      <c r="H182" s="38"/>
      <c r="I182" s="38"/>
      <c r="J182" s="38"/>
      <c r="K182" s="41"/>
      <c r="L182" s="41"/>
    </row>
    <row r="183" spans="2:12" x14ac:dyDescent="0.35">
      <c r="B183" s="38"/>
      <c r="C183" s="38"/>
      <c r="D183" s="38"/>
      <c r="E183" s="38"/>
      <c r="F183" s="38"/>
      <c r="G183" s="38"/>
      <c r="H183" s="38"/>
      <c r="I183" s="38"/>
      <c r="J183" s="38"/>
      <c r="K183" s="41"/>
      <c r="L183" s="41"/>
    </row>
    <row r="184" spans="2:12" x14ac:dyDescent="0.35">
      <c r="B184" s="38"/>
      <c r="C184" s="38"/>
      <c r="D184" s="38"/>
      <c r="E184" s="38"/>
      <c r="F184" s="38"/>
      <c r="G184" s="38"/>
      <c r="H184" s="38"/>
      <c r="I184" s="38"/>
      <c r="J184" s="38"/>
      <c r="K184" s="41"/>
      <c r="L184" s="41"/>
    </row>
    <row r="185" spans="2:12" x14ac:dyDescent="0.35">
      <c r="B185" s="38"/>
      <c r="C185" s="38"/>
      <c r="D185" s="38"/>
      <c r="E185" s="38"/>
      <c r="F185" s="38"/>
      <c r="G185" s="38"/>
      <c r="H185" s="38"/>
      <c r="I185" s="38"/>
      <c r="J185" s="38"/>
      <c r="K185" s="41"/>
      <c r="L185" s="41"/>
    </row>
    <row r="186" spans="2:12" x14ac:dyDescent="0.35">
      <c r="B186" s="38"/>
      <c r="C186" s="38"/>
      <c r="D186" s="38"/>
      <c r="E186" s="38"/>
      <c r="F186" s="38"/>
      <c r="G186" s="38"/>
      <c r="H186" s="38"/>
      <c r="I186" s="38"/>
      <c r="J186" s="38"/>
      <c r="K186" s="41"/>
      <c r="L186" s="41"/>
    </row>
    <row r="187" spans="2:12" x14ac:dyDescent="0.35">
      <c r="B187" s="38"/>
      <c r="C187" s="38"/>
      <c r="D187" s="38"/>
      <c r="E187" s="38"/>
      <c r="F187" s="38"/>
      <c r="G187" s="38"/>
      <c r="H187" s="38"/>
      <c r="I187" s="38"/>
      <c r="J187" s="38"/>
      <c r="K187" s="41"/>
      <c r="L187" s="41"/>
    </row>
    <row r="188" spans="2:12" x14ac:dyDescent="0.35">
      <c r="B188" s="38"/>
      <c r="C188" s="38"/>
      <c r="D188" s="38"/>
      <c r="E188" s="38"/>
      <c r="F188" s="38"/>
      <c r="G188" s="38"/>
      <c r="H188" s="38"/>
      <c r="I188" s="38"/>
      <c r="J188" s="38"/>
      <c r="K188" s="41"/>
      <c r="L188" s="41"/>
    </row>
    <row r="189" spans="2:12" x14ac:dyDescent="0.35">
      <c r="B189" s="38"/>
      <c r="C189" s="38"/>
      <c r="D189" s="38"/>
      <c r="E189" s="38"/>
      <c r="F189" s="38"/>
      <c r="G189" s="38"/>
      <c r="H189" s="38"/>
      <c r="I189" s="38"/>
      <c r="J189" s="38"/>
      <c r="K189" s="41"/>
      <c r="L189" s="41"/>
    </row>
    <row r="190" spans="2:12" x14ac:dyDescent="0.35">
      <c r="B190" s="38"/>
      <c r="C190" s="38"/>
      <c r="D190" s="38"/>
      <c r="E190" s="38"/>
      <c r="F190" s="38"/>
      <c r="G190" s="38"/>
      <c r="H190" s="38"/>
      <c r="I190" s="38"/>
      <c r="J190" s="38"/>
      <c r="K190" s="41"/>
      <c r="L190" s="41"/>
    </row>
    <row r="191" spans="2:12" x14ac:dyDescent="0.35">
      <c r="B191" s="38"/>
      <c r="C191" s="38"/>
      <c r="D191" s="38"/>
      <c r="E191" s="38"/>
      <c r="F191" s="38"/>
      <c r="G191" s="38"/>
      <c r="H191" s="38"/>
      <c r="I191" s="38"/>
      <c r="J191" s="38"/>
      <c r="K191" s="41"/>
      <c r="L191" s="41"/>
    </row>
    <row r="192" spans="2:12" x14ac:dyDescent="0.35">
      <c r="B192" s="38"/>
      <c r="C192" s="38"/>
      <c r="D192" s="38"/>
      <c r="E192" s="38"/>
      <c r="F192" s="38"/>
      <c r="G192" s="38"/>
      <c r="H192" s="38"/>
      <c r="I192" s="38"/>
      <c r="J192" s="38"/>
      <c r="K192" s="41"/>
      <c r="L192" s="41"/>
    </row>
    <row r="193" spans="2:12" x14ac:dyDescent="0.35">
      <c r="B193" s="38"/>
      <c r="C193" s="38"/>
      <c r="D193" s="38"/>
      <c r="E193" s="38"/>
      <c r="F193" s="38"/>
      <c r="G193" s="38"/>
      <c r="H193" s="38"/>
      <c r="I193" s="38"/>
      <c r="J193" s="38"/>
      <c r="K193" s="41"/>
      <c r="L193" s="41"/>
    </row>
    <row r="194" spans="2:12" x14ac:dyDescent="0.35">
      <c r="B194" s="38"/>
      <c r="C194" s="38"/>
      <c r="D194" s="38"/>
      <c r="E194" s="38"/>
      <c r="F194" s="38"/>
      <c r="G194" s="38"/>
      <c r="H194" s="38"/>
      <c r="I194" s="38"/>
      <c r="J194" s="38"/>
      <c r="K194" s="41"/>
      <c r="L194" s="41"/>
    </row>
    <row r="195" spans="2:12" x14ac:dyDescent="0.35">
      <c r="B195" s="38"/>
      <c r="C195" s="38"/>
      <c r="D195" s="38"/>
      <c r="E195" s="38"/>
      <c r="F195" s="38"/>
      <c r="G195" s="38"/>
      <c r="H195" s="38"/>
      <c r="I195" s="38"/>
      <c r="J195" s="38"/>
      <c r="K195" s="41"/>
      <c r="L195" s="41"/>
    </row>
    <row r="196" spans="2:12" x14ac:dyDescent="0.35">
      <c r="B196" s="38"/>
      <c r="C196" s="38"/>
      <c r="D196" s="38"/>
      <c r="E196" s="38"/>
      <c r="F196" s="38"/>
      <c r="G196" s="38"/>
      <c r="H196" s="38"/>
      <c r="I196" s="38"/>
      <c r="J196" s="38"/>
      <c r="K196" s="41"/>
      <c r="L196" s="41"/>
    </row>
    <row r="197" spans="2:12" x14ac:dyDescent="0.35">
      <c r="B197" s="38"/>
      <c r="C197" s="38"/>
      <c r="D197" s="38"/>
      <c r="E197" s="38"/>
      <c r="F197" s="38"/>
      <c r="G197" s="38"/>
      <c r="H197" s="38"/>
      <c r="I197" s="38"/>
      <c r="J197" s="38"/>
      <c r="K197" s="41"/>
      <c r="L197" s="41"/>
    </row>
    <row r="198" spans="2:12" x14ac:dyDescent="0.35">
      <c r="B198" s="38"/>
      <c r="C198" s="38"/>
      <c r="D198" s="38"/>
      <c r="E198" s="38"/>
      <c r="F198" s="38"/>
      <c r="G198" s="38"/>
      <c r="H198" s="38"/>
      <c r="I198" s="38"/>
      <c r="J198" s="38"/>
      <c r="K198" s="41"/>
      <c r="L198" s="41"/>
    </row>
    <row r="199" spans="2:12" x14ac:dyDescent="0.35">
      <c r="B199" s="38"/>
      <c r="C199" s="38"/>
      <c r="D199" s="38"/>
      <c r="E199" s="38"/>
      <c r="F199" s="38"/>
      <c r="G199" s="38"/>
      <c r="H199" s="38"/>
      <c r="I199" s="38"/>
      <c r="J199" s="38"/>
      <c r="K199" s="41"/>
      <c r="L199" s="41"/>
    </row>
    <row r="200" spans="2:12" x14ac:dyDescent="0.35">
      <c r="B200" s="38"/>
      <c r="C200" s="38"/>
      <c r="D200" s="38"/>
      <c r="E200" s="38"/>
      <c r="F200" s="38"/>
      <c r="G200" s="38"/>
      <c r="H200" s="38"/>
      <c r="I200" s="38"/>
      <c r="J200" s="38"/>
      <c r="K200" s="41"/>
      <c r="L200" s="41"/>
    </row>
    <row r="201" spans="2:12" x14ac:dyDescent="0.35">
      <c r="B201" s="38"/>
      <c r="C201" s="38"/>
      <c r="D201" s="38"/>
      <c r="E201" s="38"/>
      <c r="F201" s="38"/>
      <c r="G201" s="38"/>
      <c r="H201" s="38"/>
      <c r="I201" s="38"/>
      <c r="J201" s="38"/>
      <c r="K201" s="41"/>
      <c r="L201" s="41"/>
    </row>
    <row r="202" spans="2:12" x14ac:dyDescent="0.35">
      <c r="B202" s="38"/>
      <c r="C202" s="38"/>
      <c r="D202" s="38"/>
      <c r="E202" s="38"/>
      <c r="F202" s="38"/>
      <c r="G202" s="38"/>
      <c r="H202" s="38"/>
      <c r="I202" s="38"/>
      <c r="J202" s="38"/>
      <c r="K202" s="41"/>
      <c r="L202" s="41"/>
    </row>
    <row r="203" spans="2:12" x14ac:dyDescent="0.35">
      <c r="B203" s="38"/>
      <c r="C203" s="38"/>
      <c r="D203" s="38"/>
      <c r="E203" s="38"/>
      <c r="F203" s="38"/>
      <c r="G203" s="38"/>
      <c r="H203" s="38"/>
      <c r="I203" s="38"/>
      <c r="J203" s="38"/>
      <c r="K203" s="41"/>
      <c r="L203" s="41"/>
    </row>
    <row r="204" spans="2:12" x14ac:dyDescent="0.35">
      <c r="B204" s="38"/>
      <c r="C204" s="38"/>
      <c r="D204" s="38"/>
      <c r="E204" s="38"/>
      <c r="F204" s="38"/>
      <c r="G204" s="38"/>
      <c r="H204" s="38"/>
      <c r="I204" s="38"/>
      <c r="J204" s="38"/>
      <c r="K204" s="41"/>
      <c r="L204" s="41"/>
    </row>
    <row r="205" spans="2:12" x14ac:dyDescent="0.35">
      <c r="B205" s="38"/>
      <c r="C205" s="38"/>
      <c r="D205" s="38"/>
      <c r="E205" s="38"/>
      <c r="F205" s="38"/>
      <c r="G205" s="38"/>
      <c r="H205" s="38"/>
      <c r="I205" s="38"/>
      <c r="J205" s="38"/>
      <c r="K205" s="41"/>
      <c r="L205" s="41"/>
    </row>
    <row r="206" spans="2:12" x14ac:dyDescent="0.35">
      <c r="B206" s="38"/>
      <c r="C206" s="38"/>
      <c r="D206" s="38"/>
      <c r="E206" s="38"/>
      <c r="F206" s="38"/>
      <c r="G206" s="38"/>
      <c r="H206" s="38"/>
      <c r="I206" s="38"/>
      <c r="J206" s="38"/>
      <c r="K206" s="41"/>
      <c r="L206" s="41"/>
    </row>
    <row r="207" spans="2:12" x14ac:dyDescent="0.35">
      <c r="B207" s="38"/>
      <c r="C207" s="38"/>
      <c r="D207" s="38"/>
      <c r="E207" s="38"/>
      <c r="F207" s="38"/>
      <c r="G207" s="38"/>
      <c r="H207" s="38"/>
      <c r="I207" s="38"/>
      <c r="J207" s="38"/>
      <c r="K207" s="41"/>
      <c r="L207" s="41"/>
    </row>
    <row r="208" spans="2:12" x14ac:dyDescent="0.35">
      <c r="B208" s="38"/>
      <c r="C208" s="38"/>
      <c r="D208" s="38"/>
      <c r="E208" s="38"/>
      <c r="F208" s="38"/>
      <c r="G208" s="38"/>
      <c r="H208" s="38"/>
      <c r="I208" s="38"/>
      <c r="J208" s="38"/>
      <c r="K208" s="41"/>
      <c r="L208" s="41"/>
    </row>
    <row r="209" spans="2:12" x14ac:dyDescent="0.35">
      <c r="B209" s="38"/>
      <c r="C209" s="38"/>
      <c r="D209" s="38"/>
      <c r="E209" s="38"/>
      <c r="F209" s="38"/>
      <c r="G209" s="38"/>
      <c r="H209" s="38"/>
      <c r="I209" s="38"/>
      <c r="J209" s="38"/>
      <c r="K209" s="41"/>
      <c r="L209" s="41"/>
    </row>
    <row r="210" spans="2:12" x14ac:dyDescent="0.35">
      <c r="B210" s="38"/>
      <c r="C210" s="38"/>
      <c r="D210" s="38"/>
      <c r="E210" s="38"/>
      <c r="F210" s="38"/>
      <c r="G210" s="38"/>
      <c r="H210" s="38"/>
      <c r="I210" s="38"/>
      <c r="J210" s="38"/>
      <c r="K210" s="41"/>
      <c r="L210" s="41"/>
    </row>
    <row r="211" spans="2:12" x14ac:dyDescent="0.35">
      <c r="B211" s="38"/>
      <c r="C211" s="38"/>
      <c r="D211" s="38"/>
      <c r="E211" s="38"/>
      <c r="F211" s="38"/>
      <c r="G211" s="38"/>
      <c r="H211" s="38"/>
      <c r="I211" s="38"/>
      <c r="J211" s="38"/>
      <c r="K211" s="41"/>
      <c r="L211" s="41"/>
    </row>
    <row r="212" spans="2:12" x14ac:dyDescent="0.35">
      <c r="B212" s="38"/>
      <c r="C212" s="38"/>
      <c r="D212" s="38"/>
      <c r="E212" s="38"/>
      <c r="F212" s="38"/>
      <c r="G212" s="38"/>
      <c r="H212" s="38"/>
      <c r="I212" s="38"/>
      <c r="J212" s="38"/>
      <c r="K212" s="41"/>
      <c r="L212" s="41"/>
    </row>
    <row r="213" spans="2:12" x14ac:dyDescent="0.35">
      <c r="B213" s="38"/>
      <c r="C213" s="38"/>
      <c r="D213" s="38"/>
      <c r="E213" s="38"/>
      <c r="F213" s="38"/>
      <c r="G213" s="38"/>
      <c r="H213" s="38"/>
      <c r="I213" s="38"/>
      <c r="J213" s="38"/>
      <c r="K213" s="41"/>
      <c r="L213" s="41"/>
    </row>
    <row r="214" spans="2:12" x14ac:dyDescent="0.35">
      <c r="B214" s="38"/>
      <c r="C214" s="38"/>
      <c r="D214" s="38"/>
      <c r="E214" s="38"/>
      <c r="F214" s="38"/>
      <c r="G214" s="38"/>
      <c r="H214" s="38"/>
      <c r="I214" s="38"/>
      <c r="J214" s="38"/>
      <c r="K214" s="41"/>
      <c r="L214" s="41"/>
    </row>
    <row r="215" spans="2:12" x14ac:dyDescent="0.35">
      <c r="B215" s="38"/>
      <c r="C215" s="38"/>
      <c r="D215" s="38"/>
      <c r="E215" s="38"/>
      <c r="F215" s="38"/>
      <c r="G215" s="38"/>
      <c r="H215" s="38"/>
      <c r="I215" s="38"/>
      <c r="J215" s="38"/>
      <c r="K215" s="41"/>
      <c r="L215" s="41"/>
    </row>
    <row r="216" spans="2:12" x14ac:dyDescent="0.35">
      <c r="B216" s="38"/>
      <c r="C216" s="38"/>
      <c r="D216" s="38"/>
      <c r="E216" s="38"/>
      <c r="F216" s="38"/>
      <c r="G216" s="38"/>
      <c r="H216" s="38"/>
      <c r="I216" s="38"/>
      <c r="J216" s="38"/>
      <c r="K216" s="41"/>
      <c r="L216" s="41"/>
    </row>
    <row r="217" spans="2:12" x14ac:dyDescent="0.35">
      <c r="B217" s="38"/>
      <c r="C217" s="38"/>
      <c r="D217" s="38"/>
      <c r="E217" s="38"/>
      <c r="F217" s="38"/>
      <c r="G217" s="38"/>
      <c r="H217" s="38"/>
      <c r="I217" s="38"/>
      <c r="J217" s="38"/>
      <c r="K217" s="41"/>
      <c r="L217" s="41"/>
    </row>
    <row r="218" spans="2:12" x14ac:dyDescent="0.35">
      <c r="B218" s="38"/>
      <c r="C218" s="38"/>
      <c r="D218" s="38"/>
      <c r="E218" s="38"/>
      <c r="F218" s="38"/>
      <c r="G218" s="38"/>
      <c r="H218" s="38"/>
      <c r="I218" s="38"/>
      <c r="J218" s="38"/>
      <c r="K218" s="41"/>
      <c r="L218" s="41"/>
    </row>
    <row r="219" spans="2:12" x14ac:dyDescent="0.35">
      <c r="B219" s="38"/>
      <c r="C219" s="38"/>
      <c r="D219" s="38"/>
      <c r="E219" s="38"/>
      <c r="F219" s="38"/>
      <c r="G219" s="38"/>
      <c r="H219" s="38"/>
      <c r="I219" s="38"/>
      <c r="J219" s="38"/>
      <c r="K219" s="41"/>
      <c r="L219" s="41"/>
    </row>
    <row r="220" spans="2:12" x14ac:dyDescent="0.35">
      <c r="B220" s="38"/>
      <c r="C220" s="38"/>
      <c r="D220" s="38"/>
      <c r="E220" s="38"/>
      <c r="F220" s="38"/>
      <c r="G220" s="38"/>
      <c r="H220" s="38"/>
      <c r="I220" s="38"/>
      <c r="J220" s="38"/>
      <c r="K220" s="41"/>
      <c r="L220" s="41"/>
    </row>
    <row r="221" spans="2:12" x14ac:dyDescent="0.35">
      <c r="B221" s="38"/>
      <c r="C221" s="38"/>
      <c r="D221" s="38"/>
      <c r="E221" s="38"/>
      <c r="F221" s="38"/>
      <c r="G221" s="38"/>
      <c r="H221" s="38"/>
      <c r="I221" s="38"/>
      <c r="J221" s="38"/>
      <c r="K221" s="41"/>
      <c r="L221" s="41"/>
    </row>
    <row r="222" spans="2:12" x14ac:dyDescent="0.35">
      <c r="B222" s="38"/>
      <c r="C222" s="38"/>
      <c r="D222" s="38"/>
      <c r="E222" s="38"/>
      <c r="F222" s="38"/>
      <c r="G222" s="38"/>
      <c r="H222" s="38"/>
      <c r="I222" s="38"/>
      <c r="J222" s="38"/>
      <c r="K222" s="41"/>
      <c r="L222" s="41"/>
    </row>
    <row r="223" spans="2:12" x14ac:dyDescent="0.35">
      <c r="B223" s="38"/>
      <c r="C223" s="38"/>
      <c r="D223" s="38"/>
      <c r="E223" s="38"/>
      <c r="F223" s="38"/>
      <c r="G223" s="38"/>
      <c r="H223" s="38"/>
      <c r="I223" s="38"/>
      <c r="J223" s="38"/>
      <c r="K223" s="41"/>
      <c r="L223" s="41"/>
    </row>
    <row r="224" spans="2:12" x14ac:dyDescent="0.35">
      <c r="B224" s="38"/>
      <c r="C224" s="38"/>
      <c r="D224" s="38"/>
      <c r="E224" s="38"/>
      <c r="F224" s="38"/>
      <c r="G224" s="38"/>
      <c r="H224" s="38"/>
      <c r="I224" s="38"/>
      <c r="J224" s="38"/>
      <c r="K224" s="41"/>
      <c r="L224" s="41"/>
    </row>
    <row r="225" spans="2:12" x14ac:dyDescent="0.35">
      <c r="B225" s="38"/>
      <c r="C225" s="38"/>
      <c r="D225" s="38"/>
      <c r="E225" s="38"/>
      <c r="F225" s="38"/>
      <c r="G225" s="38"/>
      <c r="H225" s="38"/>
      <c r="I225" s="38"/>
      <c r="K225" s="41"/>
      <c r="L225" s="41"/>
    </row>
    <row r="226" spans="2:12" x14ac:dyDescent="0.35">
      <c r="B226" s="30"/>
      <c r="C226" s="38"/>
      <c r="D226" s="38"/>
      <c r="E226" s="38"/>
      <c r="F226" s="38"/>
      <c r="G226" s="38"/>
      <c r="H226" s="38"/>
      <c r="I226" s="38"/>
      <c r="J226" s="38"/>
      <c r="K226" s="41"/>
      <c r="L226" s="41"/>
    </row>
    <row r="227" spans="2:12" x14ac:dyDescent="0.35">
      <c r="B227" s="30"/>
      <c r="C227" s="38"/>
      <c r="D227" s="38"/>
      <c r="E227" s="38"/>
      <c r="F227" s="38"/>
      <c r="G227" s="38"/>
      <c r="H227" s="38"/>
      <c r="I227" s="38"/>
      <c r="J227" s="38"/>
      <c r="K227" s="41"/>
      <c r="L227" s="41"/>
    </row>
    <row r="228" spans="2:12" x14ac:dyDescent="0.35">
      <c r="B228" s="30"/>
      <c r="C228" s="38"/>
      <c r="D228" s="38"/>
      <c r="E228" s="38"/>
      <c r="F228" s="38"/>
      <c r="G228" s="38"/>
      <c r="H228" s="38"/>
      <c r="I228" s="38"/>
      <c r="J228" s="38"/>
      <c r="K228" s="41"/>
      <c r="L228" s="41"/>
    </row>
    <row r="229" spans="2:12" x14ac:dyDescent="0.35">
      <c r="B229" s="30"/>
      <c r="C229" s="38"/>
      <c r="D229" s="38"/>
      <c r="E229" s="38"/>
      <c r="F229" s="38"/>
      <c r="G229" s="38"/>
      <c r="H229" s="38"/>
      <c r="I229" s="38"/>
      <c r="J229" s="38"/>
      <c r="K229" s="41"/>
      <c r="L229" s="41"/>
    </row>
    <row r="230" spans="2:12" x14ac:dyDescent="0.35">
      <c r="B230" s="30"/>
      <c r="C230" s="38"/>
      <c r="D230" s="38"/>
      <c r="E230" s="38"/>
      <c r="F230" s="38"/>
      <c r="G230" s="38"/>
      <c r="H230" s="38"/>
      <c r="I230" s="38"/>
      <c r="J230" s="38"/>
      <c r="K230" s="41"/>
      <c r="L230" s="41"/>
    </row>
    <row r="231" spans="2:12" x14ac:dyDescent="0.35">
      <c r="B231" s="30"/>
      <c r="C231" s="38"/>
      <c r="D231" s="38"/>
      <c r="E231" s="38"/>
      <c r="F231" s="38"/>
      <c r="G231" s="38"/>
      <c r="H231" s="38"/>
      <c r="I231" s="38"/>
      <c r="J231" s="38"/>
      <c r="K231" s="41"/>
      <c r="L231" s="41"/>
    </row>
    <row r="232" spans="2:12" x14ac:dyDescent="0.35">
      <c r="B232" s="30"/>
      <c r="C232" s="38"/>
      <c r="D232" s="38"/>
      <c r="E232" s="38"/>
      <c r="F232" s="38"/>
      <c r="G232" s="38"/>
      <c r="H232" s="38"/>
      <c r="I232" s="38"/>
      <c r="J232" s="38"/>
      <c r="K232" s="41"/>
      <c r="L232" s="41"/>
    </row>
    <row r="233" spans="2:12" x14ac:dyDescent="0.35">
      <c r="B233" s="30"/>
      <c r="C233" s="38"/>
      <c r="D233" s="38"/>
      <c r="E233" s="38"/>
      <c r="F233" s="38"/>
      <c r="G233" s="38"/>
      <c r="H233" s="38"/>
      <c r="I233" s="38"/>
      <c r="J233" s="38"/>
      <c r="K233" s="41"/>
      <c r="L233" s="41"/>
    </row>
    <row r="234" spans="2:12" x14ac:dyDescent="0.35">
      <c r="B234" s="30"/>
      <c r="C234" s="38"/>
      <c r="D234" s="38"/>
      <c r="E234" s="38"/>
      <c r="F234" s="38"/>
      <c r="G234" s="38"/>
      <c r="H234" s="38"/>
      <c r="I234" s="38"/>
      <c r="J234" s="38"/>
      <c r="K234" s="41"/>
      <c r="L234" s="41"/>
    </row>
    <row r="235" spans="2:12" x14ac:dyDescent="0.35">
      <c r="B235" s="30"/>
      <c r="C235" s="38"/>
      <c r="D235" s="38"/>
      <c r="E235" s="38"/>
      <c r="F235" s="38"/>
      <c r="G235" s="38"/>
      <c r="H235" s="38"/>
      <c r="I235" s="38"/>
      <c r="J235" s="38"/>
      <c r="K235" s="41"/>
      <c r="L235" s="41"/>
    </row>
    <row r="236" spans="2:12" x14ac:dyDescent="0.35">
      <c r="B236" s="30"/>
      <c r="C236" s="38"/>
      <c r="D236" s="38"/>
      <c r="E236" s="38"/>
      <c r="F236" s="38"/>
      <c r="G236" s="38"/>
      <c r="H236" s="38"/>
      <c r="I236" s="38"/>
      <c r="J236" s="38"/>
      <c r="K236" s="41"/>
      <c r="L236" s="41"/>
    </row>
    <row r="237" spans="2:12" x14ac:dyDescent="0.35">
      <c r="B237" s="30"/>
      <c r="C237" s="38"/>
      <c r="D237" s="38"/>
      <c r="E237" s="38"/>
      <c r="F237" s="38"/>
      <c r="G237" s="38"/>
      <c r="H237" s="38"/>
      <c r="I237" s="38"/>
      <c r="J237" s="38"/>
      <c r="K237" s="41"/>
      <c r="L237" s="41"/>
    </row>
    <row r="238" spans="2:12" x14ac:dyDescent="0.35">
      <c r="B238" s="30"/>
      <c r="C238" s="38"/>
      <c r="D238" s="38"/>
      <c r="E238" s="38"/>
      <c r="F238" s="38"/>
      <c r="G238" s="38"/>
      <c r="H238" s="38"/>
      <c r="I238" s="38"/>
      <c r="J238" s="38"/>
      <c r="K238" s="41"/>
      <c r="L238" s="41"/>
    </row>
    <row r="239" spans="2:12" x14ac:dyDescent="0.35">
      <c r="B239" s="30"/>
      <c r="C239" s="38"/>
      <c r="D239" s="38"/>
      <c r="E239" s="38"/>
      <c r="F239" s="38"/>
      <c r="G239" s="38"/>
      <c r="H239" s="38"/>
      <c r="I239" s="38"/>
      <c r="J239" s="38"/>
      <c r="K239" s="41"/>
      <c r="L239" s="41"/>
    </row>
    <row r="240" spans="2:12" x14ac:dyDescent="0.35">
      <c r="B240" s="30"/>
      <c r="C240" s="38"/>
      <c r="D240" s="38"/>
      <c r="E240" s="38"/>
      <c r="F240" s="38"/>
      <c r="G240" s="38"/>
      <c r="H240" s="38"/>
      <c r="I240" s="38"/>
      <c r="J240" s="38"/>
      <c r="K240" s="41"/>
      <c r="L240" s="41"/>
    </row>
    <row r="241" spans="2:12" x14ac:dyDescent="0.35">
      <c r="B241" s="30"/>
      <c r="C241" s="38"/>
      <c r="D241" s="38"/>
      <c r="E241" s="38"/>
      <c r="F241" s="38"/>
      <c r="G241" s="38"/>
      <c r="H241" s="38"/>
      <c r="I241" s="38"/>
      <c r="J241" s="38"/>
      <c r="K241" s="41"/>
      <c r="L241" s="41"/>
    </row>
    <row r="242" spans="2:12" x14ac:dyDescent="0.35">
      <c r="B242" s="30"/>
      <c r="C242" s="38"/>
      <c r="D242" s="38"/>
      <c r="E242" s="38"/>
      <c r="F242" s="38"/>
      <c r="G242" s="38"/>
      <c r="H242" s="38"/>
      <c r="I242" s="38"/>
      <c r="J242" s="38"/>
      <c r="K242" s="41"/>
      <c r="L242" s="41"/>
    </row>
    <row r="243" spans="2:12" x14ac:dyDescent="0.35">
      <c r="B243" s="30"/>
      <c r="C243" s="38"/>
      <c r="D243" s="38"/>
      <c r="E243" s="38"/>
      <c r="F243" s="38"/>
      <c r="G243" s="38"/>
      <c r="H243" s="38"/>
      <c r="I243" s="38"/>
      <c r="J243" s="38"/>
      <c r="K243" s="41"/>
      <c r="L243" s="41"/>
    </row>
    <row r="244" spans="2:12" x14ac:dyDescent="0.35">
      <c r="B244" s="30"/>
      <c r="C244" s="38"/>
      <c r="D244" s="38"/>
      <c r="E244" s="38"/>
      <c r="F244" s="38"/>
      <c r="G244" s="38"/>
      <c r="H244" s="38"/>
      <c r="I244" s="38"/>
      <c r="J244" s="38"/>
      <c r="K244" s="41"/>
      <c r="L244" s="41"/>
    </row>
    <row r="245" spans="2:12" x14ac:dyDescent="0.35">
      <c r="B245" s="30"/>
      <c r="C245" s="38"/>
      <c r="D245" s="38"/>
      <c r="E245" s="38"/>
      <c r="F245" s="38"/>
      <c r="G245" s="38"/>
      <c r="H245" s="38"/>
      <c r="I245" s="38"/>
      <c r="J245" s="38"/>
      <c r="K245" s="41"/>
      <c r="L245" s="41"/>
    </row>
    <row r="246" spans="2:12" x14ac:dyDescent="0.35">
      <c r="B246" s="30"/>
      <c r="C246" s="38"/>
      <c r="D246" s="38"/>
      <c r="E246" s="38"/>
      <c r="F246" s="38"/>
      <c r="G246" s="38"/>
      <c r="H246" s="38"/>
      <c r="I246" s="38"/>
      <c r="J246" s="38"/>
      <c r="K246" s="41"/>
      <c r="L246" s="41"/>
    </row>
    <row r="247" spans="2:12" x14ac:dyDescent="0.35">
      <c r="B247" s="30"/>
      <c r="C247" s="38"/>
      <c r="D247" s="38"/>
      <c r="E247" s="38"/>
      <c r="F247" s="38"/>
      <c r="G247" s="38"/>
      <c r="H247" s="38"/>
      <c r="I247" s="38"/>
      <c r="J247" s="38"/>
      <c r="K247" s="41"/>
      <c r="L247" s="41"/>
    </row>
    <row r="248" spans="2:12" x14ac:dyDescent="0.35">
      <c r="B248" s="30"/>
      <c r="C248" s="38"/>
      <c r="D248" s="38"/>
      <c r="E248" s="38"/>
      <c r="F248" s="38"/>
      <c r="G248" s="38"/>
      <c r="H248" s="38"/>
      <c r="I248" s="38"/>
      <c r="J248" s="38"/>
      <c r="K248" s="41"/>
      <c r="L248" s="41"/>
    </row>
    <row r="249" spans="2:12" x14ac:dyDescent="0.35">
      <c r="B249" s="30"/>
      <c r="C249" s="38"/>
      <c r="D249" s="38"/>
      <c r="E249" s="38"/>
      <c r="F249" s="38"/>
      <c r="G249" s="38"/>
      <c r="H249" s="38"/>
      <c r="I249" s="38"/>
      <c r="J249" s="38"/>
      <c r="K249" s="41"/>
      <c r="L249" s="41"/>
    </row>
    <row r="250" spans="2:12" x14ac:dyDescent="0.35">
      <c r="B250" s="30"/>
      <c r="C250" s="38"/>
      <c r="D250" s="38"/>
      <c r="E250" s="38"/>
      <c r="F250" s="38"/>
      <c r="G250" s="38"/>
      <c r="H250" s="38"/>
      <c r="I250" s="38"/>
      <c r="J250" s="38"/>
      <c r="K250" s="41"/>
      <c r="L250" s="41"/>
    </row>
    <row r="251" spans="2:12" x14ac:dyDescent="0.35">
      <c r="B251" s="30"/>
      <c r="C251" s="38"/>
      <c r="D251" s="38"/>
      <c r="E251" s="38"/>
      <c r="F251" s="38"/>
      <c r="G251" s="38"/>
      <c r="H251" s="38"/>
      <c r="I251" s="38"/>
      <c r="J251" s="38"/>
      <c r="K251" s="41"/>
      <c r="L251" s="41"/>
    </row>
    <row r="252" spans="2:12" x14ac:dyDescent="0.35">
      <c r="B252" s="30"/>
      <c r="C252" s="38"/>
      <c r="D252" s="38"/>
      <c r="E252" s="38"/>
      <c r="F252" s="38"/>
      <c r="G252" s="38"/>
      <c r="H252" s="38"/>
      <c r="I252" s="38"/>
      <c r="J252" s="38"/>
      <c r="K252" s="41"/>
      <c r="L252" s="41"/>
    </row>
    <row r="253" spans="2:12" x14ac:dyDescent="0.35">
      <c r="B253" s="30"/>
      <c r="C253" s="38"/>
      <c r="D253" s="38"/>
      <c r="E253" s="38"/>
      <c r="F253" s="38"/>
      <c r="G253" s="38"/>
      <c r="H253" s="38"/>
      <c r="I253" s="38"/>
      <c r="J253" s="38"/>
      <c r="K253" s="41"/>
      <c r="L253" s="41"/>
    </row>
    <row r="254" spans="2:12" x14ac:dyDescent="0.35">
      <c r="B254" s="30"/>
      <c r="C254" s="38"/>
      <c r="D254" s="38"/>
      <c r="E254" s="38"/>
      <c r="F254" s="38"/>
      <c r="G254" s="38"/>
      <c r="H254" s="38"/>
      <c r="I254" s="38"/>
      <c r="J254" s="38"/>
      <c r="K254" s="41"/>
      <c r="L254" s="41"/>
    </row>
    <row r="255" spans="2:12" x14ac:dyDescent="0.35">
      <c r="B255" s="30"/>
      <c r="C255" s="38"/>
      <c r="D255" s="38"/>
      <c r="E255" s="38"/>
      <c r="F255" s="38"/>
      <c r="G255" s="38"/>
      <c r="H255" s="38"/>
      <c r="I255" s="38"/>
      <c r="J255" s="38"/>
      <c r="K255" s="41"/>
      <c r="L255" s="41"/>
    </row>
    <row r="256" spans="2:12" x14ac:dyDescent="0.35">
      <c r="B256" s="30"/>
      <c r="C256" s="38"/>
      <c r="D256" s="38"/>
      <c r="E256" s="38"/>
      <c r="F256" s="38"/>
      <c r="G256" s="38"/>
      <c r="H256" s="38"/>
      <c r="I256" s="38"/>
      <c r="J256" s="38"/>
      <c r="K256" s="41"/>
      <c r="L256" s="41"/>
    </row>
    <row r="257" spans="2:12" x14ac:dyDescent="0.35">
      <c r="B257" s="30"/>
      <c r="C257" s="38"/>
      <c r="D257" s="38"/>
      <c r="E257" s="38"/>
      <c r="F257" s="38"/>
      <c r="G257" s="38"/>
      <c r="H257" s="38"/>
      <c r="I257" s="38"/>
      <c r="J257" s="38"/>
      <c r="K257" s="41"/>
      <c r="L257" s="41"/>
    </row>
    <row r="258" spans="2:12" x14ac:dyDescent="0.35">
      <c r="B258" s="30"/>
      <c r="C258" s="38"/>
      <c r="D258" s="38"/>
      <c r="E258" s="38"/>
      <c r="F258" s="38"/>
      <c r="G258" s="38"/>
      <c r="H258" s="38"/>
      <c r="I258" s="38"/>
      <c r="J258" s="38"/>
      <c r="K258" s="41"/>
      <c r="L258" s="41"/>
    </row>
    <row r="259" spans="2:12" x14ac:dyDescent="0.35">
      <c r="B259" s="30"/>
      <c r="C259" s="30"/>
      <c r="D259" s="30"/>
      <c r="E259" s="30"/>
      <c r="F259" s="30"/>
      <c r="G259" s="30"/>
      <c r="H259" s="30"/>
      <c r="I259" s="30"/>
      <c r="J259" s="30"/>
      <c r="K259" s="41"/>
      <c r="L259" s="41"/>
    </row>
    <row r="260" spans="2:12" x14ac:dyDescent="0.35">
      <c r="B260" s="30"/>
      <c r="C260" s="30"/>
      <c r="D260" s="30"/>
      <c r="E260" s="30"/>
      <c r="F260" s="30"/>
      <c r="G260" s="30"/>
      <c r="H260" s="30"/>
      <c r="I260" s="30"/>
      <c r="J260" s="30"/>
      <c r="K260" s="41"/>
      <c r="L260" s="41"/>
    </row>
    <row r="261" spans="2:12" x14ac:dyDescent="0.35">
      <c r="B261" s="30"/>
      <c r="C261" s="30"/>
      <c r="D261" s="30"/>
      <c r="E261" s="30"/>
      <c r="F261" s="30"/>
      <c r="G261" s="30"/>
      <c r="H261" s="30"/>
      <c r="I261" s="30"/>
      <c r="J261" s="30"/>
      <c r="K261" s="41"/>
      <c r="L261" s="41"/>
    </row>
    <row r="262" spans="2:12" x14ac:dyDescent="0.35">
      <c r="B262" s="30"/>
      <c r="C262" s="30"/>
      <c r="D262" s="30"/>
      <c r="E262" s="30"/>
      <c r="F262" s="30"/>
      <c r="G262" s="30"/>
      <c r="H262" s="30"/>
      <c r="I262" s="30"/>
      <c r="J262" s="30"/>
      <c r="K262" s="41"/>
      <c r="L262" s="41"/>
    </row>
    <row r="263" spans="2:12" x14ac:dyDescent="0.35">
      <c r="B263" s="30"/>
      <c r="C263" s="30"/>
      <c r="D263" s="30"/>
      <c r="E263" s="30"/>
      <c r="F263" s="30"/>
      <c r="G263" s="30"/>
      <c r="H263" s="30"/>
      <c r="I263" s="30"/>
      <c r="J263" s="30"/>
      <c r="K263" s="41"/>
      <c r="L263" s="41"/>
    </row>
    <row r="264" spans="2:12" x14ac:dyDescent="0.35">
      <c r="B264" s="30"/>
      <c r="C264" s="30"/>
      <c r="D264" s="30"/>
      <c r="E264" s="30"/>
      <c r="F264" s="30"/>
      <c r="G264" s="30"/>
      <c r="H264" s="30"/>
      <c r="I264" s="30"/>
      <c r="J264" s="30"/>
      <c r="K264" s="41"/>
      <c r="L264" s="41"/>
    </row>
    <row r="265" spans="2:12" x14ac:dyDescent="0.35">
      <c r="B265" s="30"/>
      <c r="C265" s="30"/>
      <c r="D265" s="30"/>
      <c r="E265" s="30"/>
      <c r="F265" s="30"/>
      <c r="G265" s="30"/>
      <c r="H265" s="30"/>
      <c r="I265" s="30"/>
      <c r="J265" s="30"/>
      <c r="K265" s="41"/>
      <c r="L265" s="41"/>
    </row>
    <row r="266" spans="2:12" x14ac:dyDescent="0.35">
      <c r="B266" s="30"/>
      <c r="C266" s="30"/>
      <c r="D266" s="30"/>
      <c r="E266" s="30"/>
      <c r="F266" s="30"/>
      <c r="G266" s="30"/>
      <c r="H266" s="30"/>
      <c r="I266" s="30"/>
      <c r="J266" s="30"/>
      <c r="K266" s="41"/>
      <c r="L266" s="41"/>
    </row>
    <row r="267" spans="2:12" x14ac:dyDescent="0.35">
      <c r="B267" s="30"/>
      <c r="C267" s="30"/>
      <c r="D267" s="30"/>
      <c r="E267" s="30"/>
      <c r="F267" s="30"/>
      <c r="G267" s="30"/>
      <c r="H267" s="30"/>
      <c r="I267" s="30"/>
      <c r="J267" s="30"/>
      <c r="K267" s="41"/>
      <c r="L267" s="41"/>
    </row>
    <row r="268" spans="2:12" x14ac:dyDescent="0.35">
      <c r="B268" s="30"/>
      <c r="C268" s="30"/>
      <c r="D268" s="30"/>
      <c r="E268" s="30"/>
      <c r="F268" s="30"/>
      <c r="G268" s="30"/>
      <c r="H268" s="30"/>
      <c r="I268" s="30"/>
      <c r="J268" s="30"/>
      <c r="K268" s="41"/>
      <c r="L268" s="41"/>
    </row>
    <row r="269" spans="2:12" x14ac:dyDescent="0.35">
      <c r="B269" s="30"/>
      <c r="C269" s="30"/>
      <c r="D269" s="30"/>
      <c r="E269" s="30"/>
      <c r="F269" s="30"/>
      <c r="G269" s="30"/>
      <c r="H269" s="30"/>
      <c r="I269" s="30"/>
      <c r="J269" s="30"/>
      <c r="K269" s="41"/>
      <c r="L269" s="41"/>
    </row>
    <row r="270" spans="2:12" x14ac:dyDescent="0.35">
      <c r="B270" s="30"/>
      <c r="C270" s="30"/>
      <c r="D270" s="30"/>
      <c r="E270" s="30"/>
      <c r="F270" s="30"/>
      <c r="G270" s="30"/>
      <c r="H270" s="30"/>
      <c r="I270" s="30"/>
      <c r="J270" s="30"/>
      <c r="K270" s="41"/>
      <c r="L270" s="41"/>
    </row>
    <row r="271" spans="2:12" x14ac:dyDescent="0.35">
      <c r="B271" s="30"/>
      <c r="C271" s="30"/>
      <c r="D271" s="30"/>
      <c r="E271" s="30"/>
      <c r="F271" s="30"/>
      <c r="G271" s="30"/>
      <c r="H271" s="30"/>
      <c r="I271" s="30"/>
      <c r="J271" s="30"/>
      <c r="K271" s="41"/>
      <c r="L271" s="41"/>
    </row>
    <row r="272" spans="2:12" x14ac:dyDescent="0.35">
      <c r="B272" s="30"/>
      <c r="C272" s="30"/>
      <c r="D272" s="30"/>
      <c r="E272" s="30"/>
      <c r="F272" s="30"/>
      <c r="G272" s="30"/>
      <c r="H272" s="30"/>
      <c r="I272" s="30"/>
      <c r="J272" s="30"/>
      <c r="K272" s="41"/>
      <c r="L272" s="41"/>
    </row>
    <row r="273" spans="2:12" x14ac:dyDescent="0.35">
      <c r="B273" s="30"/>
      <c r="C273" s="30"/>
      <c r="D273" s="30"/>
      <c r="E273" s="30"/>
      <c r="F273" s="30"/>
      <c r="G273" s="30"/>
      <c r="H273" s="30"/>
      <c r="I273" s="30"/>
      <c r="J273" s="30"/>
      <c r="K273" s="41"/>
      <c r="L273" s="41"/>
    </row>
    <row r="274" spans="2:12" x14ac:dyDescent="0.35">
      <c r="B274" s="30"/>
      <c r="C274" s="30"/>
      <c r="D274" s="30"/>
      <c r="E274" s="30"/>
      <c r="F274" s="30"/>
      <c r="G274" s="30"/>
      <c r="H274" s="30"/>
      <c r="I274" s="30"/>
      <c r="J274" s="30"/>
      <c r="K274" s="41"/>
      <c r="L274" s="41"/>
    </row>
    <row r="275" spans="2:12" x14ac:dyDescent="0.35">
      <c r="B275" s="30"/>
      <c r="C275" s="30"/>
      <c r="D275" s="30"/>
      <c r="E275" s="30"/>
      <c r="F275" s="30"/>
      <c r="G275" s="30"/>
      <c r="H275" s="30"/>
      <c r="I275" s="30"/>
      <c r="J275" s="30"/>
      <c r="K275" s="41"/>
      <c r="L275" s="41"/>
    </row>
    <row r="276" spans="2:12" x14ac:dyDescent="0.35">
      <c r="B276" s="30"/>
      <c r="C276" s="30"/>
      <c r="D276" s="30"/>
      <c r="E276" s="30"/>
      <c r="F276" s="30"/>
      <c r="G276" s="30"/>
      <c r="H276" s="30"/>
      <c r="I276" s="30"/>
      <c r="J276" s="30"/>
      <c r="K276" s="41"/>
      <c r="L276" s="41"/>
    </row>
    <row r="277" spans="2:12" x14ac:dyDescent="0.35">
      <c r="B277" s="30"/>
      <c r="C277" s="30"/>
      <c r="D277" s="30"/>
      <c r="E277" s="30"/>
      <c r="F277" s="30"/>
      <c r="G277" s="30"/>
      <c r="H277" s="30"/>
      <c r="I277" s="30"/>
      <c r="J277" s="30"/>
      <c r="K277" s="41"/>
      <c r="L277" s="41"/>
    </row>
    <row r="278" spans="2:12" x14ac:dyDescent="0.35">
      <c r="B278" s="30"/>
      <c r="C278" s="30"/>
      <c r="D278" s="30"/>
      <c r="E278" s="30"/>
      <c r="F278" s="30"/>
      <c r="G278" s="30"/>
      <c r="H278" s="30"/>
      <c r="I278" s="30"/>
      <c r="J278" s="30"/>
      <c r="K278" s="41"/>
      <c r="L278" s="41"/>
    </row>
    <row r="279" spans="2:12" x14ac:dyDescent="0.35">
      <c r="B279" s="30"/>
      <c r="C279" s="30"/>
      <c r="D279" s="30"/>
      <c r="E279" s="30"/>
      <c r="F279" s="30"/>
      <c r="G279" s="30"/>
      <c r="H279" s="30"/>
      <c r="I279" s="30"/>
      <c r="J279" s="30"/>
      <c r="K279" s="41"/>
      <c r="L279" s="41"/>
    </row>
    <row r="280" spans="2:12" x14ac:dyDescent="0.35">
      <c r="B280" s="30"/>
      <c r="C280" s="30"/>
      <c r="D280" s="30"/>
      <c r="E280" s="30"/>
      <c r="F280" s="30"/>
      <c r="G280" s="30"/>
      <c r="H280" s="30"/>
      <c r="I280" s="30"/>
      <c r="J280" s="30"/>
      <c r="K280" s="41"/>
      <c r="L280" s="41"/>
    </row>
    <row r="281" spans="2:12" x14ac:dyDescent="0.35">
      <c r="B281" s="30"/>
      <c r="C281" s="30"/>
      <c r="D281" s="30"/>
      <c r="E281" s="30"/>
      <c r="F281" s="30"/>
      <c r="G281" s="30"/>
      <c r="H281" s="30"/>
      <c r="I281" s="30"/>
      <c r="J281" s="30"/>
      <c r="K281" s="41"/>
      <c r="L281" s="41"/>
    </row>
    <row r="282" spans="2:12" x14ac:dyDescent="0.35">
      <c r="B282" s="30"/>
      <c r="C282" s="30"/>
      <c r="D282" s="30"/>
      <c r="E282" s="30"/>
      <c r="F282" s="30"/>
      <c r="G282" s="30"/>
      <c r="H282" s="30"/>
      <c r="I282" s="30"/>
      <c r="J282" s="30"/>
      <c r="K282" s="41"/>
      <c r="L282" s="41"/>
    </row>
    <row r="283" spans="2:12" x14ac:dyDescent="0.35">
      <c r="B283" s="30"/>
      <c r="C283" s="30"/>
      <c r="D283" s="30"/>
      <c r="E283" s="30"/>
      <c r="F283" s="30"/>
      <c r="G283" s="30"/>
      <c r="H283" s="30"/>
      <c r="I283" s="30"/>
      <c r="J283" s="30"/>
      <c r="K283" s="41"/>
      <c r="L283" s="41"/>
    </row>
    <row r="284" spans="2:12" x14ac:dyDescent="0.35">
      <c r="B284" s="30"/>
      <c r="C284" s="30"/>
      <c r="D284" s="30"/>
      <c r="E284" s="30"/>
      <c r="F284" s="30"/>
      <c r="G284" s="30"/>
      <c r="H284" s="30"/>
      <c r="I284" s="30"/>
      <c r="J284" s="30"/>
      <c r="K284" s="41"/>
      <c r="L284" s="41"/>
    </row>
    <row r="285" spans="2:12" x14ac:dyDescent="0.35">
      <c r="B285" s="30"/>
      <c r="C285" s="30"/>
      <c r="D285" s="30"/>
      <c r="E285" s="30"/>
      <c r="F285" s="30"/>
      <c r="G285" s="30"/>
      <c r="H285" s="30"/>
      <c r="I285" s="30"/>
      <c r="J285" s="30"/>
      <c r="K285" s="41"/>
      <c r="L285" s="41"/>
    </row>
    <row r="286" spans="2:12" x14ac:dyDescent="0.35">
      <c r="B286" s="30"/>
      <c r="C286" s="30"/>
      <c r="D286" s="30"/>
      <c r="E286" s="30"/>
      <c r="F286" s="30"/>
      <c r="G286" s="30"/>
      <c r="H286" s="30"/>
      <c r="I286" s="30"/>
      <c r="J286" s="30"/>
      <c r="K286" s="41"/>
      <c r="L286" s="41"/>
    </row>
    <row r="287" spans="2:12" x14ac:dyDescent="0.35">
      <c r="B287" s="30"/>
      <c r="C287" s="30"/>
      <c r="D287" s="30"/>
      <c r="E287" s="30"/>
      <c r="F287" s="30"/>
      <c r="G287" s="30"/>
      <c r="H287" s="30"/>
      <c r="I287" s="30"/>
      <c r="J287" s="30"/>
      <c r="K287" s="41"/>
      <c r="L287" s="41"/>
    </row>
    <row r="288" spans="2:12" x14ac:dyDescent="0.35">
      <c r="B288" s="30"/>
      <c r="C288" s="30"/>
      <c r="D288" s="30"/>
      <c r="E288" s="30"/>
      <c r="F288" s="30"/>
      <c r="G288" s="30"/>
      <c r="H288" s="30"/>
      <c r="I288" s="30"/>
      <c r="J288" s="30"/>
      <c r="K288" s="41"/>
      <c r="L288" s="41"/>
    </row>
    <row r="289" spans="2:12" x14ac:dyDescent="0.35">
      <c r="B289" s="30"/>
      <c r="C289" s="30"/>
      <c r="D289" s="30"/>
      <c r="E289" s="30"/>
      <c r="F289" s="30"/>
      <c r="G289" s="30"/>
      <c r="H289" s="30"/>
      <c r="I289" s="30"/>
      <c r="J289" s="30"/>
      <c r="K289" s="41"/>
      <c r="L289" s="41"/>
    </row>
    <row r="290" spans="2:12" x14ac:dyDescent="0.35">
      <c r="B290" s="30"/>
      <c r="C290" s="30"/>
      <c r="D290" s="30"/>
      <c r="E290" s="30"/>
      <c r="F290" s="30"/>
      <c r="G290" s="30"/>
      <c r="H290" s="30"/>
      <c r="I290" s="30"/>
      <c r="J290" s="30"/>
      <c r="K290" s="41"/>
      <c r="L290" s="41"/>
    </row>
    <row r="291" spans="2:12" x14ac:dyDescent="0.35">
      <c r="B291" s="30"/>
      <c r="C291" s="30"/>
      <c r="D291" s="30"/>
      <c r="E291" s="30"/>
      <c r="F291" s="30"/>
      <c r="G291" s="30"/>
      <c r="H291" s="30"/>
      <c r="I291" s="30"/>
      <c r="J291" s="30"/>
      <c r="K291" s="41"/>
      <c r="L291" s="41"/>
    </row>
    <row r="292" spans="2:12" x14ac:dyDescent="0.35">
      <c r="B292" s="30"/>
      <c r="C292" s="30"/>
      <c r="D292" s="30"/>
      <c r="E292" s="30"/>
      <c r="F292" s="30"/>
      <c r="G292" s="30"/>
      <c r="H292" s="30"/>
      <c r="I292" s="30"/>
      <c r="J292" s="30"/>
      <c r="K292" s="41"/>
      <c r="L292" s="41"/>
    </row>
    <row r="293" spans="2:12" x14ac:dyDescent="0.35">
      <c r="B293" s="30"/>
      <c r="C293" s="30"/>
      <c r="D293" s="30"/>
      <c r="E293" s="30"/>
      <c r="F293" s="30"/>
      <c r="G293" s="30"/>
      <c r="H293" s="30"/>
      <c r="I293" s="30"/>
      <c r="J293" s="30"/>
      <c r="K293" s="41"/>
      <c r="L293" s="41"/>
    </row>
    <row r="294" spans="2:12" x14ac:dyDescent="0.35">
      <c r="K294" s="41"/>
      <c r="L294" s="41"/>
    </row>
    <row r="295" spans="2:12" x14ac:dyDescent="0.35">
      <c r="K295" s="41"/>
      <c r="L295" s="41"/>
    </row>
    <row r="296" spans="2:12" x14ac:dyDescent="0.35">
      <c r="K296" s="41"/>
      <c r="L296" s="41"/>
    </row>
    <row r="297" spans="2:12" x14ac:dyDescent="0.35">
      <c r="K297" s="41"/>
      <c r="L297" s="41"/>
    </row>
    <row r="298" spans="2:12" x14ac:dyDescent="0.35">
      <c r="K298" s="41"/>
      <c r="L298" s="41"/>
    </row>
    <row r="299" spans="2:12" x14ac:dyDescent="0.35">
      <c r="K299" s="41"/>
      <c r="L299" s="41"/>
    </row>
    <row r="300" spans="2:12" x14ac:dyDescent="0.35">
      <c r="K300" s="41"/>
      <c r="L300" s="41"/>
    </row>
    <row r="301" spans="2:12" x14ac:dyDescent="0.35">
      <c r="K301" s="41"/>
      <c r="L301" s="41"/>
    </row>
    <row r="302" spans="2:12" x14ac:dyDescent="0.35">
      <c r="K302" s="41"/>
      <c r="L302" s="41"/>
    </row>
    <row r="303" spans="2:12" x14ac:dyDescent="0.35">
      <c r="K303" s="41"/>
      <c r="L303" s="41"/>
    </row>
    <row r="304" spans="2:12" x14ac:dyDescent="0.35">
      <c r="K304" s="41"/>
      <c r="L304" s="41"/>
    </row>
    <row r="305" spans="11:12" x14ac:dyDescent="0.35">
      <c r="K305" s="41"/>
      <c r="L305" s="41"/>
    </row>
    <row r="306" spans="11:12" x14ac:dyDescent="0.35">
      <c r="K306" s="41"/>
      <c r="L306" s="41"/>
    </row>
    <row r="307" spans="11:12" x14ac:dyDescent="0.35">
      <c r="K307" s="41"/>
      <c r="L307" s="41"/>
    </row>
    <row r="308" spans="11:12" x14ac:dyDescent="0.35">
      <c r="K308" s="41"/>
      <c r="L308" s="41"/>
    </row>
    <row r="309" spans="11:12" x14ac:dyDescent="0.35">
      <c r="K309" s="41"/>
      <c r="L309" s="41"/>
    </row>
    <row r="310" spans="11:12" x14ac:dyDescent="0.35">
      <c r="K310" s="41"/>
      <c r="L310" s="41"/>
    </row>
    <row r="311" spans="11:12" x14ac:dyDescent="0.35">
      <c r="K311" s="41"/>
      <c r="L311" s="41"/>
    </row>
    <row r="312" spans="11:12" x14ac:dyDescent="0.35">
      <c r="K312" s="41"/>
      <c r="L312" s="41"/>
    </row>
    <row r="313" spans="11:12" x14ac:dyDescent="0.35">
      <c r="K313" s="41"/>
      <c r="L313" s="41"/>
    </row>
    <row r="314" spans="11:12" x14ac:dyDescent="0.35">
      <c r="K314" s="41"/>
      <c r="L314" s="41"/>
    </row>
    <row r="315" spans="11:12" x14ac:dyDescent="0.35">
      <c r="K315" s="41"/>
      <c r="L315" s="41"/>
    </row>
    <row r="316" spans="11:12" x14ac:dyDescent="0.35">
      <c r="K316" s="41"/>
      <c r="L316" s="41"/>
    </row>
    <row r="317" spans="11:12" x14ac:dyDescent="0.35">
      <c r="K317" s="41"/>
      <c r="L317" s="41"/>
    </row>
    <row r="318" spans="11:12" x14ac:dyDescent="0.35">
      <c r="K318" s="41"/>
      <c r="L318" s="41"/>
    </row>
    <row r="319" spans="11:12" x14ac:dyDescent="0.35">
      <c r="K319" s="41"/>
      <c r="L319" s="41"/>
    </row>
    <row r="320" spans="11:12" x14ac:dyDescent="0.35">
      <c r="K320" s="41"/>
      <c r="L320" s="41"/>
    </row>
    <row r="321" spans="11:12" x14ac:dyDescent="0.35">
      <c r="K321" s="41"/>
      <c r="L321" s="41"/>
    </row>
    <row r="322" spans="11:12" x14ac:dyDescent="0.35">
      <c r="K322" s="41"/>
      <c r="L322" s="41"/>
    </row>
    <row r="323" spans="11:12" x14ac:dyDescent="0.35">
      <c r="K323" s="41"/>
      <c r="L323" s="41"/>
    </row>
    <row r="324" spans="11:12" x14ac:dyDescent="0.35">
      <c r="K324" s="41"/>
      <c r="L324" s="41"/>
    </row>
    <row r="325" spans="11:12" x14ac:dyDescent="0.35">
      <c r="K325" s="41"/>
      <c r="L325" s="41"/>
    </row>
    <row r="326" spans="11:12" x14ac:dyDescent="0.35">
      <c r="K326" s="41"/>
      <c r="L326" s="41"/>
    </row>
    <row r="327" spans="11:12" x14ac:dyDescent="0.35">
      <c r="K327" s="41"/>
      <c r="L327" s="41"/>
    </row>
    <row r="328" spans="11:12" x14ac:dyDescent="0.35">
      <c r="K328" s="41"/>
      <c r="L328" s="41"/>
    </row>
    <row r="329" spans="11:12" x14ac:dyDescent="0.35">
      <c r="K329" s="41"/>
      <c r="L329" s="41"/>
    </row>
    <row r="330" spans="11:12" x14ac:dyDescent="0.35">
      <c r="K330" s="41"/>
      <c r="L330" s="41"/>
    </row>
    <row r="331" spans="11:12" x14ac:dyDescent="0.35">
      <c r="K331" s="41"/>
      <c r="L331" s="41"/>
    </row>
    <row r="332" spans="11:12" x14ac:dyDescent="0.35">
      <c r="K332" s="41"/>
      <c r="L332" s="41"/>
    </row>
    <row r="333" spans="11:12" x14ac:dyDescent="0.35">
      <c r="K333" s="41"/>
      <c r="L333" s="41"/>
    </row>
    <row r="334" spans="11:12" x14ac:dyDescent="0.35">
      <c r="K334" s="41"/>
      <c r="L334" s="41"/>
    </row>
    <row r="335" spans="11:12" x14ac:dyDescent="0.35">
      <c r="K335" s="41"/>
      <c r="L335" s="41"/>
    </row>
    <row r="336" spans="11:12" x14ac:dyDescent="0.35">
      <c r="K336" s="41"/>
      <c r="L336" s="41"/>
    </row>
    <row r="337" spans="11:12" x14ac:dyDescent="0.35">
      <c r="K337" s="41"/>
      <c r="L337" s="41"/>
    </row>
    <row r="338" spans="11:12" x14ac:dyDescent="0.35">
      <c r="K338" s="41"/>
      <c r="L338" s="41"/>
    </row>
    <row r="339" spans="11:12" x14ac:dyDescent="0.35">
      <c r="K339" s="41"/>
      <c r="L339" s="41"/>
    </row>
    <row r="340" spans="11:12" x14ac:dyDescent="0.35">
      <c r="K340" s="41"/>
      <c r="L340" s="41"/>
    </row>
    <row r="341" spans="11:12" x14ac:dyDescent="0.35">
      <c r="K341" s="41"/>
      <c r="L341" s="41"/>
    </row>
    <row r="342" spans="11:12" x14ac:dyDescent="0.35">
      <c r="K342" s="41"/>
      <c r="L342" s="41"/>
    </row>
    <row r="343" spans="11:12" x14ac:dyDescent="0.35">
      <c r="K343" s="41"/>
      <c r="L343" s="41"/>
    </row>
    <row r="344" spans="11:12" x14ac:dyDescent="0.35">
      <c r="K344" s="41"/>
      <c r="L344" s="41"/>
    </row>
    <row r="345" spans="11:12" x14ac:dyDescent="0.35">
      <c r="K345" s="41"/>
      <c r="L345" s="41"/>
    </row>
    <row r="346" spans="11:12" x14ac:dyDescent="0.35">
      <c r="K346" s="41"/>
      <c r="L346" s="41"/>
    </row>
    <row r="347" spans="11:12" x14ac:dyDescent="0.35">
      <c r="K347" s="41"/>
      <c r="L347" s="41"/>
    </row>
    <row r="348" spans="11:12" x14ac:dyDescent="0.35">
      <c r="K348" s="41"/>
      <c r="L348" s="41"/>
    </row>
    <row r="349" spans="11:12" x14ac:dyDescent="0.35">
      <c r="K349" s="41"/>
      <c r="L349" s="41"/>
    </row>
    <row r="350" spans="11:12" x14ac:dyDescent="0.35">
      <c r="K350" s="41"/>
      <c r="L350" s="41"/>
    </row>
    <row r="351" spans="11:12" x14ac:dyDescent="0.35">
      <c r="K351" s="41"/>
      <c r="L351" s="41"/>
    </row>
    <row r="352" spans="11:12" x14ac:dyDescent="0.35">
      <c r="K352" s="41"/>
      <c r="L352" s="41"/>
    </row>
    <row r="353" spans="11:12" x14ac:dyDescent="0.35">
      <c r="K353" s="41"/>
      <c r="L353" s="41"/>
    </row>
    <row r="354" spans="11:12" x14ac:dyDescent="0.35">
      <c r="K354" s="41"/>
      <c r="L354" s="41"/>
    </row>
    <row r="355" spans="11:12" x14ac:dyDescent="0.35">
      <c r="K355" s="41"/>
      <c r="L355" s="41"/>
    </row>
    <row r="356" spans="11:12" x14ac:dyDescent="0.35">
      <c r="K356" s="41"/>
      <c r="L356" s="41"/>
    </row>
    <row r="357" spans="11:12" x14ac:dyDescent="0.35">
      <c r="K357" s="41"/>
      <c r="L357" s="41"/>
    </row>
    <row r="358" spans="11:12" x14ac:dyDescent="0.35">
      <c r="K358" s="41"/>
      <c r="L358" s="41"/>
    </row>
    <row r="359" spans="11:12" x14ac:dyDescent="0.35">
      <c r="K359" s="41"/>
      <c r="L359" s="41"/>
    </row>
    <row r="360" spans="11:12" x14ac:dyDescent="0.35">
      <c r="K360" s="41"/>
      <c r="L360" s="41"/>
    </row>
    <row r="361" spans="11:12" x14ac:dyDescent="0.35">
      <c r="K361" s="41"/>
      <c r="L361" s="41"/>
    </row>
    <row r="362" spans="11:12" x14ac:dyDescent="0.35">
      <c r="K362" s="41"/>
      <c r="L362" s="41"/>
    </row>
    <row r="363" spans="11:12" x14ac:dyDescent="0.35">
      <c r="K363" s="41"/>
      <c r="L363" s="41"/>
    </row>
    <row r="364" spans="11:12" x14ac:dyDescent="0.35">
      <c r="K364" s="41"/>
      <c r="L364" s="41"/>
    </row>
    <row r="365" spans="11:12" x14ac:dyDescent="0.35">
      <c r="K365" s="41"/>
      <c r="L365" s="41"/>
    </row>
    <row r="366" spans="11:12" x14ac:dyDescent="0.35">
      <c r="K366" s="41"/>
      <c r="L366" s="41"/>
    </row>
    <row r="367" spans="11:12" x14ac:dyDescent="0.35">
      <c r="K367" s="41"/>
      <c r="L367" s="41"/>
    </row>
    <row r="368" spans="11:12" x14ac:dyDescent="0.35">
      <c r="K368" s="41"/>
      <c r="L368" s="41"/>
    </row>
    <row r="369" spans="11:12" x14ac:dyDescent="0.35">
      <c r="K369" s="41"/>
      <c r="L369" s="41"/>
    </row>
    <row r="370" spans="11:12" x14ac:dyDescent="0.35">
      <c r="K370" s="41"/>
      <c r="L370" s="41"/>
    </row>
    <row r="371" spans="11:12" x14ac:dyDescent="0.35">
      <c r="K371" s="41"/>
      <c r="L371" s="41"/>
    </row>
    <row r="372" spans="11:12" x14ac:dyDescent="0.35">
      <c r="K372" s="41"/>
      <c r="L372" s="41"/>
    </row>
    <row r="373" spans="11:12" x14ac:dyDescent="0.35">
      <c r="K373" s="41"/>
      <c r="L373" s="41"/>
    </row>
    <row r="374" spans="11:12" x14ac:dyDescent="0.35">
      <c r="K374" s="41"/>
      <c r="L374" s="41"/>
    </row>
    <row r="375" spans="11:12" x14ac:dyDescent="0.35">
      <c r="K375" s="41"/>
      <c r="L375" s="41"/>
    </row>
    <row r="376" spans="11:12" x14ac:dyDescent="0.35">
      <c r="K376" s="41"/>
      <c r="L376" s="41"/>
    </row>
    <row r="377" spans="11:12" x14ac:dyDescent="0.35">
      <c r="K377" s="41"/>
      <c r="L377" s="41"/>
    </row>
    <row r="378" spans="11:12" x14ac:dyDescent="0.35">
      <c r="K378" s="41"/>
      <c r="L378" s="41"/>
    </row>
    <row r="379" spans="11:12" x14ac:dyDescent="0.35">
      <c r="K379" s="41"/>
      <c r="L379" s="41"/>
    </row>
    <row r="380" spans="11:12" x14ac:dyDescent="0.35">
      <c r="K380" s="41"/>
      <c r="L380" s="41"/>
    </row>
    <row r="381" spans="11:12" x14ac:dyDescent="0.35">
      <c r="K381" s="41"/>
      <c r="L381" s="41"/>
    </row>
    <row r="382" spans="11:12" x14ac:dyDescent="0.35">
      <c r="K382" s="41"/>
      <c r="L382" s="41"/>
    </row>
    <row r="383" spans="11:12" x14ac:dyDescent="0.35">
      <c r="K383" s="41"/>
      <c r="L383" s="41"/>
    </row>
    <row r="384" spans="11:12" x14ac:dyDescent="0.35">
      <c r="K384" s="41"/>
      <c r="L384" s="41"/>
    </row>
    <row r="385" spans="11:12" x14ac:dyDescent="0.35">
      <c r="K385" s="41"/>
      <c r="L385" s="41"/>
    </row>
    <row r="386" spans="11:12" x14ac:dyDescent="0.35">
      <c r="K386" s="41"/>
      <c r="L386" s="41"/>
    </row>
    <row r="387" spans="11:12" x14ac:dyDescent="0.35">
      <c r="K387" s="41"/>
      <c r="L387" s="41"/>
    </row>
    <row r="388" spans="11:12" x14ac:dyDescent="0.35">
      <c r="K388" s="41"/>
      <c r="L388" s="41"/>
    </row>
    <row r="389" spans="11:12" x14ac:dyDescent="0.35">
      <c r="K389" s="41"/>
      <c r="L389" s="41"/>
    </row>
    <row r="390" spans="11:12" x14ac:dyDescent="0.35">
      <c r="K390" s="41"/>
      <c r="L390" s="41"/>
    </row>
    <row r="391" spans="11:12" x14ac:dyDescent="0.35">
      <c r="K391" s="41"/>
      <c r="L391" s="41"/>
    </row>
    <row r="392" spans="11:12" x14ac:dyDescent="0.35">
      <c r="K392" s="41"/>
      <c r="L392" s="41"/>
    </row>
    <row r="393" spans="11:12" x14ac:dyDescent="0.35">
      <c r="K393" s="41"/>
      <c r="L393" s="41"/>
    </row>
    <row r="394" spans="11:12" x14ac:dyDescent="0.35">
      <c r="K394" s="41"/>
      <c r="L394" s="41"/>
    </row>
    <row r="395" spans="11:12" x14ac:dyDescent="0.35">
      <c r="K395" s="41"/>
      <c r="L395" s="41"/>
    </row>
    <row r="396" spans="11:12" x14ac:dyDescent="0.35">
      <c r="K396" s="41"/>
      <c r="L396" s="41"/>
    </row>
    <row r="397" spans="11:12" x14ac:dyDescent="0.35">
      <c r="K397" s="41"/>
      <c r="L397" s="41"/>
    </row>
    <row r="398" spans="11:12" x14ac:dyDescent="0.35">
      <c r="K398" s="41"/>
      <c r="L398" s="41"/>
    </row>
    <row r="399" spans="11:12" x14ac:dyDescent="0.35">
      <c r="K399" s="41"/>
      <c r="L399" s="41"/>
    </row>
    <row r="400" spans="11:12" x14ac:dyDescent="0.35">
      <c r="K400" s="41"/>
      <c r="L400" s="41"/>
    </row>
    <row r="401" spans="11:12" x14ac:dyDescent="0.35">
      <c r="K401" s="41"/>
      <c r="L401" s="41"/>
    </row>
    <row r="402" spans="11:12" x14ac:dyDescent="0.35">
      <c r="K402" s="41"/>
      <c r="L402" s="41"/>
    </row>
    <row r="403" spans="11:12" x14ac:dyDescent="0.35">
      <c r="K403" s="41"/>
      <c r="L403" s="41"/>
    </row>
    <row r="404" spans="11:12" x14ac:dyDescent="0.35">
      <c r="K404" s="41"/>
      <c r="L404" s="41"/>
    </row>
    <row r="405" spans="11:12" x14ac:dyDescent="0.35">
      <c r="K405" s="41"/>
      <c r="L405" s="41"/>
    </row>
    <row r="406" spans="11:12" x14ac:dyDescent="0.35">
      <c r="K406" s="41"/>
      <c r="L406" s="41"/>
    </row>
    <row r="407" spans="11:12" x14ac:dyDescent="0.35">
      <c r="K407" s="41"/>
      <c r="L407" s="41"/>
    </row>
    <row r="408" spans="11:12" x14ac:dyDescent="0.35">
      <c r="K408" s="41"/>
      <c r="L408" s="41"/>
    </row>
    <row r="409" spans="11:12" x14ac:dyDescent="0.35">
      <c r="K409" s="41"/>
      <c r="L409" s="41"/>
    </row>
    <row r="410" spans="11:12" x14ac:dyDescent="0.35">
      <c r="K410" s="41"/>
      <c r="L410" s="41"/>
    </row>
    <row r="411" spans="11:12" x14ac:dyDescent="0.35">
      <c r="K411" s="41"/>
      <c r="L411" s="41"/>
    </row>
    <row r="412" spans="11:12" x14ac:dyDescent="0.35">
      <c r="K412" s="41"/>
      <c r="L412" s="41"/>
    </row>
    <row r="413" spans="11:12" x14ac:dyDescent="0.35">
      <c r="K413" s="41"/>
      <c r="L413" s="41"/>
    </row>
    <row r="414" spans="11:12" x14ac:dyDescent="0.35">
      <c r="K414" s="41"/>
      <c r="L414" s="41"/>
    </row>
    <row r="415" spans="11:12" x14ac:dyDescent="0.35">
      <c r="K415" s="41"/>
      <c r="L415" s="41"/>
    </row>
    <row r="416" spans="11:12" x14ac:dyDescent="0.35">
      <c r="K416" s="41"/>
      <c r="L416" s="41"/>
    </row>
    <row r="417" spans="11:12" x14ac:dyDescent="0.35">
      <c r="K417" s="41"/>
      <c r="L417" s="41"/>
    </row>
    <row r="418" spans="11:12" x14ac:dyDescent="0.35">
      <c r="K418" s="41"/>
      <c r="L418" s="41"/>
    </row>
    <row r="419" spans="11:12" x14ac:dyDescent="0.35">
      <c r="K419" s="41"/>
      <c r="L419" s="41"/>
    </row>
    <row r="420" spans="11:12" x14ac:dyDescent="0.35">
      <c r="K420" s="41"/>
      <c r="L420" s="41"/>
    </row>
    <row r="421" spans="11:12" x14ac:dyDescent="0.35">
      <c r="K421" s="41"/>
      <c r="L421" s="41"/>
    </row>
    <row r="422" spans="11:12" x14ac:dyDescent="0.35">
      <c r="K422" s="41"/>
      <c r="L422" s="41"/>
    </row>
    <row r="423" spans="11:12" x14ac:dyDescent="0.35">
      <c r="K423" s="41"/>
      <c r="L423" s="41"/>
    </row>
    <row r="424" spans="11:12" x14ac:dyDescent="0.35">
      <c r="K424" s="41"/>
      <c r="L424" s="41"/>
    </row>
    <row r="425" spans="11:12" x14ac:dyDescent="0.35">
      <c r="K425" s="41"/>
      <c r="L425" s="41"/>
    </row>
    <row r="426" spans="11:12" x14ac:dyDescent="0.35">
      <c r="K426" s="41"/>
      <c r="L426" s="41"/>
    </row>
    <row r="427" spans="11:12" x14ac:dyDescent="0.35">
      <c r="K427" s="41"/>
      <c r="L427" s="41"/>
    </row>
    <row r="428" spans="11:12" x14ac:dyDescent="0.35">
      <c r="K428" s="41"/>
      <c r="L428" s="41"/>
    </row>
    <row r="429" spans="11:12" x14ac:dyDescent="0.35">
      <c r="K429" s="41"/>
      <c r="L429" s="41"/>
    </row>
    <row r="430" spans="11:12" x14ac:dyDescent="0.35">
      <c r="K430" s="41"/>
      <c r="L430" s="41"/>
    </row>
    <row r="431" spans="11:12" x14ac:dyDescent="0.35">
      <c r="K431" s="41"/>
      <c r="L431" s="41"/>
    </row>
    <row r="432" spans="11:12" x14ac:dyDescent="0.35">
      <c r="K432" s="41"/>
      <c r="L432" s="41"/>
    </row>
    <row r="433" spans="11:12" x14ac:dyDescent="0.35">
      <c r="K433" s="41"/>
      <c r="L433" s="41"/>
    </row>
    <row r="434" spans="11:12" x14ac:dyDescent="0.35">
      <c r="K434" s="41"/>
      <c r="L434" s="41"/>
    </row>
    <row r="435" spans="11:12" x14ac:dyDescent="0.35">
      <c r="K435" s="41"/>
      <c r="L435" s="41"/>
    </row>
    <row r="436" spans="11:12" x14ac:dyDescent="0.35">
      <c r="K436" s="41"/>
      <c r="L436" s="41"/>
    </row>
    <row r="437" spans="11:12" x14ac:dyDescent="0.35">
      <c r="K437" s="41"/>
      <c r="L437" s="41"/>
    </row>
    <row r="438" spans="11:12" x14ac:dyDescent="0.35">
      <c r="K438" s="41"/>
      <c r="L438" s="41"/>
    </row>
    <row r="439" spans="11:12" x14ac:dyDescent="0.35">
      <c r="K439" s="41"/>
      <c r="L439" s="41"/>
    </row>
    <row r="440" spans="11:12" x14ac:dyDescent="0.35">
      <c r="K440" s="41"/>
      <c r="L440" s="41"/>
    </row>
    <row r="441" spans="11:12" x14ac:dyDescent="0.35">
      <c r="K441" s="41"/>
      <c r="L441" s="41"/>
    </row>
    <row r="442" spans="11:12" x14ac:dyDescent="0.35">
      <c r="K442" s="41"/>
      <c r="L442" s="41"/>
    </row>
    <row r="443" spans="11:12" x14ac:dyDescent="0.35">
      <c r="K443" s="41"/>
      <c r="L443" s="41"/>
    </row>
    <row r="444" spans="11:12" x14ac:dyDescent="0.35">
      <c r="K444" s="41"/>
      <c r="L444" s="41"/>
    </row>
    <row r="445" spans="11:12" x14ac:dyDescent="0.35">
      <c r="K445" s="41"/>
      <c r="L445" s="41"/>
    </row>
    <row r="446" spans="11:12" x14ac:dyDescent="0.35">
      <c r="K446" s="41"/>
      <c r="L446" s="41"/>
    </row>
    <row r="447" spans="11:12" x14ac:dyDescent="0.35">
      <c r="K447" s="41"/>
      <c r="L447" s="41"/>
    </row>
    <row r="448" spans="11:12" x14ac:dyDescent="0.35">
      <c r="K448" s="41"/>
      <c r="L448" s="41"/>
    </row>
    <row r="449" spans="11:12" x14ac:dyDescent="0.35">
      <c r="K449" s="41"/>
      <c r="L449" s="41"/>
    </row>
    <row r="450" spans="11:12" x14ac:dyDescent="0.35">
      <c r="K450" s="41"/>
      <c r="L450" s="41"/>
    </row>
    <row r="451" spans="11:12" x14ac:dyDescent="0.35">
      <c r="K451" s="41"/>
      <c r="L451" s="41"/>
    </row>
    <row r="452" spans="11:12" x14ac:dyDescent="0.35">
      <c r="K452" s="41"/>
      <c r="L452" s="41"/>
    </row>
    <row r="453" spans="11:12" x14ac:dyDescent="0.35">
      <c r="K453" s="41"/>
      <c r="L453" s="41"/>
    </row>
    <row r="454" spans="11:12" x14ac:dyDescent="0.35">
      <c r="K454" s="41"/>
      <c r="L454" s="41"/>
    </row>
    <row r="455" spans="11:12" x14ac:dyDescent="0.35">
      <c r="K455" s="41"/>
      <c r="L455" s="41"/>
    </row>
    <row r="456" spans="11:12" x14ac:dyDescent="0.35">
      <c r="K456" s="41"/>
      <c r="L456" s="41"/>
    </row>
    <row r="457" spans="11:12" x14ac:dyDescent="0.35">
      <c r="K457" s="41"/>
      <c r="L457" s="41"/>
    </row>
    <row r="458" spans="11:12" x14ac:dyDescent="0.35">
      <c r="K458" s="41"/>
      <c r="L458" s="41"/>
    </row>
    <row r="459" spans="11:12" x14ac:dyDescent="0.35">
      <c r="K459" s="41"/>
      <c r="L459" s="41"/>
    </row>
    <row r="460" spans="11:12" x14ac:dyDescent="0.35">
      <c r="K460" s="41"/>
      <c r="L460" s="41"/>
    </row>
    <row r="461" spans="11:12" x14ac:dyDescent="0.35">
      <c r="K461" s="41"/>
      <c r="L461" s="41"/>
    </row>
    <row r="462" spans="11:12" x14ac:dyDescent="0.35">
      <c r="K462" s="41"/>
      <c r="L462" s="41"/>
    </row>
    <row r="463" spans="11:12" x14ac:dyDescent="0.35">
      <c r="K463" s="41"/>
      <c r="L463" s="41"/>
    </row>
    <row r="464" spans="11:12" x14ac:dyDescent="0.35">
      <c r="K464" s="41"/>
      <c r="L464" s="41"/>
    </row>
    <row r="465" spans="11:12" x14ac:dyDescent="0.35">
      <c r="K465" s="41"/>
      <c r="L465" s="41"/>
    </row>
    <row r="466" spans="11:12" x14ac:dyDescent="0.35">
      <c r="K466" s="41"/>
      <c r="L466" s="41"/>
    </row>
    <row r="467" spans="11:12" x14ac:dyDescent="0.35">
      <c r="K467" s="41"/>
      <c r="L467" s="41"/>
    </row>
    <row r="468" spans="11:12" x14ac:dyDescent="0.35">
      <c r="K468" s="41"/>
      <c r="L468" s="41"/>
    </row>
    <row r="469" spans="11:12" x14ac:dyDescent="0.35">
      <c r="K469" s="41"/>
      <c r="L469" s="41"/>
    </row>
    <row r="470" spans="11:12" x14ac:dyDescent="0.35">
      <c r="K470" s="41"/>
      <c r="L470" s="41"/>
    </row>
    <row r="471" spans="11:12" x14ac:dyDescent="0.35">
      <c r="K471" s="41"/>
      <c r="L471" s="41"/>
    </row>
    <row r="472" spans="11:12" x14ac:dyDescent="0.35">
      <c r="K472" s="41"/>
      <c r="L472" s="41"/>
    </row>
    <row r="473" spans="11:12" x14ac:dyDescent="0.35">
      <c r="K473" s="41"/>
      <c r="L473" s="41"/>
    </row>
    <row r="474" spans="11:12" x14ac:dyDescent="0.35">
      <c r="K474" s="41"/>
      <c r="L474" s="41"/>
    </row>
    <row r="475" spans="11:12" x14ac:dyDescent="0.35">
      <c r="K475" s="41"/>
      <c r="L475" s="41"/>
    </row>
    <row r="476" spans="11:12" x14ac:dyDescent="0.35">
      <c r="K476" s="41"/>
      <c r="L476" s="41"/>
    </row>
    <row r="477" spans="11:12" x14ac:dyDescent="0.35">
      <c r="K477" s="41"/>
      <c r="L477" s="41"/>
    </row>
    <row r="478" spans="11:12" x14ac:dyDescent="0.35">
      <c r="K478" s="41"/>
      <c r="L478" s="41"/>
    </row>
    <row r="479" spans="11:12" x14ac:dyDescent="0.35">
      <c r="K479" s="41"/>
      <c r="L479" s="41"/>
    </row>
    <row r="480" spans="11:12" x14ac:dyDescent="0.35">
      <c r="K480" s="41"/>
      <c r="L480" s="41"/>
    </row>
    <row r="481" spans="11:12" x14ac:dyDescent="0.35">
      <c r="K481" s="41"/>
      <c r="L481" s="41"/>
    </row>
    <row r="482" spans="11:12" x14ac:dyDescent="0.35">
      <c r="K482" s="41"/>
      <c r="L482" s="41"/>
    </row>
    <row r="483" spans="11:12" x14ac:dyDescent="0.35">
      <c r="K483" s="41"/>
      <c r="L483" s="41"/>
    </row>
    <row r="484" spans="11:12" x14ac:dyDescent="0.35">
      <c r="K484" s="41"/>
      <c r="L484" s="41"/>
    </row>
    <row r="485" spans="11:12" x14ac:dyDescent="0.35">
      <c r="K485" s="41"/>
      <c r="L485" s="41"/>
    </row>
    <row r="486" spans="11:12" x14ac:dyDescent="0.35">
      <c r="K486" s="41"/>
      <c r="L486" s="41"/>
    </row>
    <row r="487" spans="11:12" x14ac:dyDescent="0.35">
      <c r="K487" s="41"/>
      <c r="L487" s="41"/>
    </row>
    <row r="488" spans="11:12" x14ac:dyDescent="0.35">
      <c r="K488" s="41"/>
      <c r="L488" s="41"/>
    </row>
    <row r="489" spans="11:12" x14ac:dyDescent="0.35">
      <c r="K489" s="41"/>
      <c r="L489" s="41"/>
    </row>
    <row r="490" spans="11:12" x14ac:dyDescent="0.35">
      <c r="K490" s="41"/>
      <c r="L490" s="41"/>
    </row>
    <row r="491" spans="11:12" x14ac:dyDescent="0.35">
      <c r="K491" s="41"/>
      <c r="L491" s="41"/>
    </row>
    <row r="492" spans="11:12" x14ac:dyDescent="0.35">
      <c r="K492" s="41"/>
      <c r="L492" s="41"/>
    </row>
    <row r="493" spans="11:12" x14ac:dyDescent="0.35">
      <c r="K493" s="41"/>
      <c r="L493" s="41"/>
    </row>
    <row r="494" spans="11:12" x14ac:dyDescent="0.35">
      <c r="K494" s="41"/>
      <c r="L494" s="41"/>
    </row>
    <row r="495" spans="11:12" x14ac:dyDescent="0.35">
      <c r="K495" s="41"/>
      <c r="L495" s="41"/>
    </row>
    <row r="496" spans="11:12" x14ac:dyDescent="0.35">
      <c r="K496" s="41"/>
      <c r="L496" s="41"/>
    </row>
    <row r="497" spans="11:12" x14ac:dyDescent="0.35">
      <c r="K497" s="41"/>
      <c r="L497" s="41"/>
    </row>
    <row r="498" spans="11:12" x14ac:dyDescent="0.35">
      <c r="K498" s="41"/>
      <c r="L498" s="41"/>
    </row>
    <row r="499" spans="11:12" x14ac:dyDescent="0.35">
      <c r="K499" s="41"/>
      <c r="L499" s="41"/>
    </row>
    <row r="500" spans="11:12" x14ac:dyDescent="0.35">
      <c r="K500" s="41"/>
      <c r="L500" s="41"/>
    </row>
    <row r="501" spans="11:12" x14ac:dyDescent="0.35">
      <c r="K501" s="41"/>
      <c r="L501" s="41"/>
    </row>
    <row r="502" spans="11:12" x14ac:dyDescent="0.35">
      <c r="K502" s="41"/>
      <c r="L502" s="41"/>
    </row>
    <row r="503" spans="11:12" x14ac:dyDescent="0.35">
      <c r="K503" s="41"/>
      <c r="L503" s="41"/>
    </row>
    <row r="504" spans="11:12" x14ac:dyDescent="0.35">
      <c r="K504" s="41"/>
      <c r="L504" s="41"/>
    </row>
    <row r="505" spans="11:12" x14ac:dyDescent="0.35">
      <c r="K505" s="41"/>
      <c r="L505" s="41"/>
    </row>
    <row r="506" spans="11:12" x14ac:dyDescent="0.35">
      <c r="K506" s="41"/>
      <c r="L506" s="41"/>
    </row>
    <row r="507" spans="11:12" x14ac:dyDescent="0.35">
      <c r="K507" s="41"/>
      <c r="L507" s="41"/>
    </row>
    <row r="508" spans="11:12" x14ac:dyDescent="0.35">
      <c r="K508" s="41"/>
      <c r="L508" s="41"/>
    </row>
    <row r="509" spans="11:12" x14ac:dyDescent="0.35">
      <c r="K509" s="41"/>
      <c r="L509" s="41"/>
    </row>
    <row r="510" spans="11:12" x14ac:dyDescent="0.35">
      <c r="K510" s="41"/>
      <c r="L510" s="41"/>
    </row>
    <row r="511" spans="11:12" x14ac:dyDescent="0.35">
      <c r="K511" s="41"/>
      <c r="L511" s="41"/>
    </row>
    <row r="512" spans="11:12" x14ac:dyDescent="0.35">
      <c r="K512" s="41"/>
      <c r="L512" s="41"/>
    </row>
    <row r="513" spans="11:12" x14ac:dyDescent="0.35">
      <c r="K513" s="41"/>
      <c r="L513" s="41"/>
    </row>
    <row r="514" spans="11:12" x14ac:dyDescent="0.35">
      <c r="K514" s="41"/>
      <c r="L514" s="41"/>
    </row>
    <row r="515" spans="11:12" x14ac:dyDescent="0.35">
      <c r="K515" s="41"/>
      <c r="L515" s="41"/>
    </row>
    <row r="516" spans="11:12" x14ac:dyDescent="0.35">
      <c r="K516" s="41"/>
      <c r="L516" s="41"/>
    </row>
    <row r="517" spans="11:12" x14ac:dyDescent="0.35">
      <c r="K517" s="41"/>
      <c r="L517" s="41"/>
    </row>
    <row r="518" spans="11:12" x14ac:dyDescent="0.35">
      <c r="K518" s="41"/>
      <c r="L518" s="41"/>
    </row>
    <row r="519" spans="11:12" x14ac:dyDescent="0.35">
      <c r="K519" s="41"/>
      <c r="L519" s="41"/>
    </row>
    <row r="520" spans="11:12" x14ac:dyDescent="0.35">
      <c r="K520" s="41"/>
      <c r="L520" s="41"/>
    </row>
    <row r="521" spans="11:12" x14ac:dyDescent="0.35">
      <c r="K521" s="41"/>
      <c r="L521" s="41"/>
    </row>
    <row r="522" spans="11:12" x14ac:dyDescent="0.35">
      <c r="K522" s="41"/>
      <c r="L522" s="41"/>
    </row>
    <row r="523" spans="11:12" x14ac:dyDescent="0.35">
      <c r="K523" s="41"/>
      <c r="L523" s="41"/>
    </row>
    <row r="524" spans="11:12" x14ac:dyDescent="0.35">
      <c r="K524" s="41"/>
      <c r="L524" s="41"/>
    </row>
    <row r="525" spans="11:12" x14ac:dyDescent="0.35">
      <c r="K525" s="41"/>
      <c r="L525" s="41"/>
    </row>
    <row r="526" spans="11:12" x14ac:dyDescent="0.35">
      <c r="K526" s="41"/>
      <c r="L526" s="41"/>
    </row>
    <row r="527" spans="11:12" x14ac:dyDescent="0.35">
      <c r="K527" s="41"/>
      <c r="L527" s="41"/>
    </row>
    <row r="528" spans="11:12" x14ac:dyDescent="0.35">
      <c r="K528" s="41"/>
      <c r="L528" s="41"/>
    </row>
    <row r="529" spans="11:12" x14ac:dyDescent="0.35">
      <c r="K529" s="41"/>
      <c r="L529" s="41"/>
    </row>
    <row r="530" spans="11:12" x14ac:dyDescent="0.35">
      <c r="K530" s="41"/>
      <c r="L530" s="41"/>
    </row>
    <row r="531" spans="11:12" x14ac:dyDescent="0.35">
      <c r="K531" s="41"/>
      <c r="L531" s="41"/>
    </row>
    <row r="532" spans="11:12" x14ac:dyDescent="0.35">
      <c r="K532" s="41"/>
      <c r="L532" s="41"/>
    </row>
    <row r="533" spans="11:12" x14ac:dyDescent="0.35">
      <c r="K533" s="41"/>
      <c r="L533" s="41"/>
    </row>
    <row r="534" spans="11:12" x14ac:dyDescent="0.35">
      <c r="K534" s="41"/>
      <c r="L534" s="41"/>
    </row>
    <row r="535" spans="11:12" x14ac:dyDescent="0.35">
      <c r="K535" s="41"/>
      <c r="L535" s="41"/>
    </row>
    <row r="536" spans="11:12" x14ac:dyDescent="0.35">
      <c r="K536" s="41"/>
      <c r="L536" s="41"/>
    </row>
    <row r="537" spans="11:12" x14ac:dyDescent="0.35">
      <c r="K537" s="41"/>
      <c r="L537" s="41"/>
    </row>
    <row r="538" spans="11:12" x14ac:dyDescent="0.35">
      <c r="K538" s="41"/>
      <c r="L538" s="41"/>
    </row>
    <row r="539" spans="11:12" x14ac:dyDescent="0.35">
      <c r="K539" s="41"/>
      <c r="L539" s="41"/>
    </row>
    <row r="540" spans="11:12" x14ac:dyDescent="0.35">
      <c r="K540" s="41"/>
      <c r="L540" s="41"/>
    </row>
    <row r="541" spans="11:12" x14ac:dyDescent="0.35">
      <c r="K541" s="41"/>
      <c r="L541" s="41"/>
    </row>
    <row r="542" spans="11:12" x14ac:dyDescent="0.35">
      <c r="K542" s="41"/>
      <c r="L542" s="41"/>
    </row>
    <row r="543" spans="11:12" x14ac:dyDescent="0.35">
      <c r="K543" s="41"/>
      <c r="L543" s="41"/>
    </row>
    <row r="544" spans="11:12" x14ac:dyDescent="0.35">
      <c r="K544" s="41"/>
      <c r="L544" s="41"/>
    </row>
    <row r="545" spans="11:12" x14ac:dyDescent="0.35">
      <c r="K545" s="41"/>
      <c r="L545" s="41"/>
    </row>
    <row r="546" spans="11:12" x14ac:dyDescent="0.35">
      <c r="K546" s="41"/>
      <c r="L546" s="41"/>
    </row>
    <row r="547" spans="11:12" x14ac:dyDescent="0.35">
      <c r="K547" s="41"/>
      <c r="L547" s="41"/>
    </row>
    <row r="548" spans="11:12" x14ac:dyDescent="0.35">
      <c r="K548" s="41"/>
      <c r="L548" s="41"/>
    </row>
    <row r="549" spans="11:12" x14ac:dyDescent="0.35">
      <c r="K549" s="41"/>
      <c r="L549" s="41"/>
    </row>
    <row r="550" spans="11:12" x14ac:dyDescent="0.35">
      <c r="K550" s="41"/>
      <c r="L550" s="41"/>
    </row>
    <row r="551" spans="11:12" x14ac:dyDescent="0.35">
      <c r="K551" s="41"/>
      <c r="L551" s="41"/>
    </row>
    <row r="552" spans="11:12" x14ac:dyDescent="0.35">
      <c r="K552" s="41"/>
      <c r="L552" s="41"/>
    </row>
    <row r="553" spans="11:12" x14ac:dyDescent="0.35">
      <c r="K553" s="41"/>
      <c r="L553" s="41"/>
    </row>
    <row r="554" spans="11:12" x14ac:dyDescent="0.35">
      <c r="K554" s="41"/>
      <c r="L554" s="41"/>
    </row>
    <row r="555" spans="11:12" x14ac:dyDescent="0.35">
      <c r="K555" s="41"/>
      <c r="L555" s="41"/>
    </row>
    <row r="556" spans="11:12" x14ac:dyDescent="0.35">
      <c r="K556" s="41"/>
      <c r="L556" s="41"/>
    </row>
    <row r="557" spans="11:12" x14ac:dyDescent="0.35">
      <c r="K557" s="41"/>
      <c r="L557" s="41"/>
    </row>
    <row r="558" spans="11:12" x14ac:dyDescent="0.35">
      <c r="K558" s="41"/>
      <c r="L558" s="41"/>
    </row>
    <row r="559" spans="11:12" x14ac:dyDescent="0.35">
      <c r="K559" s="41"/>
      <c r="L559" s="41"/>
    </row>
    <row r="560" spans="11:12" x14ac:dyDescent="0.35">
      <c r="K560" s="41"/>
      <c r="L560" s="41"/>
    </row>
    <row r="561" spans="11:12" x14ac:dyDescent="0.35">
      <c r="K561" s="41"/>
      <c r="L561" s="41"/>
    </row>
    <row r="562" spans="11:12" x14ac:dyDescent="0.35">
      <c r="K562" s="41"/>
      <c r="L562" s="41"/>
    </row>
    <row r="563" spans="11:12" x14ac:dyDescent="0.35">
      <c r="K563" s="41"/>
      <c r="L563" s="41"/>
    </row>
    <row r="564" spans="11:12" x14ac:dyDescent="0.35">
      <c r="K564" s="41"/>
      <c r="L564" s="41"/>
    </row>
    <row r="565" spans="11:12" x14ac:dyDescent="0.35">
      <c r="K565" s="41"/>
      <c r="L565" s="41"/>
    </row>
    <row r="566" spans="11:12" x14ac:dyDescent="0.35">
      <c r="K566" s="41"/>
      <c r="L566" s="41"/>
    </row>
    <row r="567" spans="11:12" x14ac:dyDescent="0.35">
      <c r="K567" s="41"/>
      <c r="L567" s="41"/>
    </row>
    <row r="568" spans="11:12" x14ac:dyDescent="0.35">
      <c r="K568" s="41"/>
      <c r="L568" s="41"/>
    </row>
    <row r="569" spans="11:12" x14ac:dyDescent="0.35">
      <c r="K569" s="41"/>
      <c r="L569" s="41"/>
    </row>
    <row r="570" spans="11:12" x14ac:dyDescent="0.35">
      <c r="K570" s="41"/>
      <c r="L570" s="41"/>
    </row>
    <row r="571" spans="11:12" x14ac:dyDescent="0.35">
      <c r="K571" s="41"/>
      <c r="L571" s="41"/>
    </row>
    <row r="572" spans="11:12" x14ac:dyDescent="0.35">
      <c r="K572" s="41"/>
      <c r="L572" s="41"/>
    </row>
    <row r="573" spans="11:12" x14ac:dyDescent="0.35">
      <c r="K573" s="41"/>
      <c r="L573" s="41"/>
    </row>
    <row r="574" spans="11:12" x14ac:dyDescent="0.35">
      <c r="K574" s="41"/>
      <c r="L574" s="41"/>
    </row>
    <row r="575" spans="11:12" x14ac:dyDescent="0.35">
      <c r="K575" s="41"/>
      <c r="L575" s="41"/>
    </row>
    <row r="576" spans="11:12" x14ac:dyDescent="0.35">
      <c r="K576" s="41"/>
      <c r="L576" s="41"/>
    </row>
    <row r="577" spans="11:12" x14ac:dyDescent="0.35">
      <c r="K577" s="41"/>
      <c r="L577" s="41"/>
    </row>
    <row r="578" spans="11:12" x14ac:dyDescent="0.35">
      <c r="K578" s="41"/>
      <c r="L578" s="41"/>
    </row>
    <row r="579" spans="11:12" x14ac:dyDescent="0.35">
      <c r="K579" s="41"/>
      <c r="L579" s="41"/>
    </row>
    <row r="580" spans="11:12" x14ac:dyDescent="0.35">
      <c r="K580" s="41"/>
      <c r="L580" s="41"/>
    </row>
    <row r="581" spans="11:12" x14ac:dyDescent="0.35">
      <c r="K581" s="41"/>
      <c r="L581" s="41"/>
    </row>
    <row r="582" spans="11:12" x14ac:dyDescent="0.35">
      <c r="K582" s="41"/>
      <c r="L582" s="41"/>
    </row>
    <row r="583" spans="11:12" x14ac:dyDescent="0.35">
      <c r="K583" s="41"/>
      <c r="L583" s="41"/>
    </row>
    <row r="584" spans="11:12" x14ac:dyDescent="0.35">
      <c r="K584" s="41"/>
      <c r="L584" s="41"/>
    </row>
    <row r="585" spans="11:12" x14ac:dyDescent="0.35">
      <c r="K585" s="41"/>
      <c r="L585" s="41"/>
    </row>
    <row r="586" spans="11:12" x14ac:dyDescent="0.35">
      <c r="K586" s="41"/>
      <c r="L586" s="41"/>
    </row>
    <row r="587" spans="11:12" x14ac:dyDescent="0.35">
      <c r="K587" s="41"/>
      <c r="L587" s="41"/>
    </row>
    <row r="588" spans="11:12" x14ac:dyDescent="0.35">
      <c r="K588" s="41"/>
      <c r="L588" s="41"/>
    </row>
    <row r="589" spans="11:12" x14ac:dyDescent="0.35">
      <c r="K589" s="41"/>
      <c r="L589" s="41"/>
    </row>
    <row r="590" spans="11:12" x14ac:dyDescent="0.35">
      <c r="K590" s="41"/>
      <c r="L590" s="41"/>
    </row>
    <row r="591" spans="11:12" x14ac:dyDescent="0.35">
      <c r="K591" s="41"/>
      <c r="L591" s="41"/>
    </row>
    <row r="592" spans="11:12" x14ac:dyDescent="0.35">
      <c r="K592" s="41"/>
      <c r="L592" s="41"/>
    </row>
    <row r="593" spans="11:12" x14ac:dyDescent="0.35">
      <c r="K593" s="41"/>
      <c r="L593" s="41"/>
    </row>
    <row r="594" spans="11:12" x14ac:dyDescent="0.35">
      <c r="K594" s="41"/>
      <c r="L594" s="41"/>
    </row>
    <row r="595" spans="11:12" x14ac:dyDescent="0.35">
      <c r="K595" s="41"/>
      <c r="L595" s="41"/>
    </row>
    <row r="596" spans="11:12" x14ac:dyDescent="0.35">
      <c r="K596" s="41"/>
      <c r="L596" s="41"/>
    </row>
    <row r="597" spans="11:12" x14ac:dyDescent="0.35">
      <c r="K597" s="41"/>
      <c r="L597" s="41"/>
    </row>
    <row r="598" spans="11:12" x14ac:dyDescent="0.35">
      <c r="K598" s="41"/>
      <c r="L598" s="41"/>
    </row>
    <row r="599" spans="11:12" x14ac:dyDescent="0.35">
      <c r="K599" s="41"/>
      <c r="L599" s="41"/>
    </row>
    <row r="600" spans="11:12" x14ac:dyDescent="0.35">
      <c r="K600" s="41"/>
      <c r="L600" s="41"/>
    </row>
    <row r="601" spans="11:12" x14ac:dyDescent="0.35">
      <c r="K601" s="41"/>
      <c r="L601" s="41"/>
    </row>
    <row r="602" spans="11:12" x14ac:dyDescent="0.35">
      <c r="K602" s="41"/>
      <c r="L602" s="41"/>
    </row>
    <row r="603" spans="11:12" x14ac:dyDescent="0.35">
      <c r="K603" s="41"/>
      <c r="L603" s="41"/>
    </row>
    <row r="604" spans="11:12" x14ac:dyDescent="0.35">
      <c r="K604" s="41"/>
      <c r="L604" s="41"/>
    </row>
    <row r="605" spans="11:12" x14ac:dyDescent="0.35">
      <c r="K605" s="41"/>
      <c r="L605" s="41"/>
    </row>
    <row r="606" spans="11:12" x14ac:dyDescent="0.35">
      <c r="K606" s="41"/>
      <c r="L606" s="41"/>
    </row>
    <row r="607" spans="11:12" x14ac:dyDescent="0.35">
      <c r="K607" s="41"/>
      <c r="L607" s="41"/>
    </row>
    <row r="608" spans="11:12" x14ac:dyDescent="0.35">
      <c r="K608" s="41"/>
      <c r="L608" s="41"/>
    </row>
    <row r="609" spans="11:12" x14ac:dyDescent="0.35">
      <c r="K609" s="41"/>
      <c r="L609" s="41"/>
    </row>
    <row r="610" spans="11:12" x14ac:dyDescent="0.35">
      <c r="K610" s="41"/>
      <c r="L610" s="41"/>
    </row>
    <row r="611" spans="11:12" x14ac:dyDescent="0.35">
      <c r="K611" s="41"/>
      <c r="L611" s="41"/>
    </row>
    <row r="612" spans="11:12" x14ac:dyDescent="0.35">
      <c r="K612" s="41"/>
      <c r="L612" s="41"/>
    </row>
    <row r="613" spans="11:12" x14ac:dyDescent="0.35">
      <c r="K613" s="41"/>
      <c r="L613" s="41"/>
    </row>
    <row r="614" spans="11:12" x14ac:dyDescent="0.35">
      <c r="K614" s="41"/>
      <c r="L614" s="41"/>
    </row>
    <row r="615" spans="11:12" x14ac:dyDescent="0.35">
      <c r="K615" s="41"/>
      <c r="L615" s="41"/>
    </row>
    <row r="616" spans="11:12" x14ac:dyDescent="0.35">
      <c r="K616" s="41"/>
      <c r="L616" s="41"/>
    </row>
    <row r="617" spans="11:12" x14ac:dyDescent="0.35">
      <c r="K617" s="41"/>
      <c r="L617" s="41"/>
    </row>
    <row r="618" spans="11:12" x14ac:dyDescent="0.35">
      <c r="K618" s="41"/>
      <c r="L618" s="41"/>
    </row>
    <row r="619" spans="11:12" x14ac:dyDescent="0.35">
      <c r="K619" s="41"/>
      <c r="L619" s="41"/>
    </row>
    <row r="620" spans="11:12" x14ac:dyDescent="0.35">
      <c r="K620" s="41"/>
      <c r="L620" s="41"/>
    </row>
    <row r="621" spans="11:12" x14ac:dyDescent="0.35">
      <c r="K621" s="41"/>
      <c r="L621" s="41"/>
    </row>
    <row r="622" spans="11:12" x14ac:dyDescent="0.35">
      <c r="K622" s="41"/>
      <c r="L622" s="41"/>
    </row>
    <row r="623" spans="11:12" x14ac:dyDescent="0.35">
      <c r="K623" s="41"/>
      <c r="L623" s="41"/>
    </row>
    <row r="624" spans="11:12" x14ac:dyDescent="0.35">
      <c r="K624" s="41"/>
      <c r="L624" s="41"/>
    </row>
    <row r="625" spans="11:12" x14ac:dyDescent="0.35">
      <c r="K625" s="41"/>
      <c r="L625" s="41"/>
    </row>
    <row r="626" spans="11:12" x14ac:dyDescent="0.35">
      <c r="K626" s="41"/>
      <c r="L626" s="41"/>
    </row>
    <row r="627" spans="11:12" x14ac:dyDescent="0.35">
      <c r="K627" s="41"/>
      <c r="L627" s="41"/>
    </row>
    <row r="628" spans="11:12" x14ac:dyDescent="0.35">
      <c r="K628" s="41"/>
      <c r="L628" s="41"/>
    </row>
    <row r="629" spans="11:12" x14ac:dyDescent="0.35">
      <c r="K629" s="41"/>
      <c r="L629" s="41"/>
    </row>
    <row r="630" spans="11:12" x14ac:dyDescent="0.35">
      <c r="K630" s="41"/>
      <c r="L630" s="41"/>
    </row>
    <row r="631" spans="11:12" x14ac:dyDescent="0.35">
      <c r="K631" s="41"/>
      <c r="L631" s="41"/>
    </row>
    <row r="632" spans="11:12" x14ac:dyDescent="0.35">
      <c r="K632" s="41"/>
      <c r="L632" s="41"/>
    </row>
    <row r="633" spans="11:12" x14ac:dyDescent="0.35">
      <c r="K633" s="41"/>
      <c r="L633" s="41"/>
    </row>
    <row r="634" spans="11:12" x14ac:dyDescent="0.35">
      <c r="K634" s="41"/>
      <c r="L634" s="41"/>
    </row>
    <row r="635" spans="11:12" x14ac:dyDescent="0.35">
      <c r="K635" s="41"/>
      <c r="L635" s="41"/>
    </row>
    <row r="636" spans="11:12" x14ac:dyDescent="0.35">
      <c r="K636" s="41"/>
      <c r="L636" s="41"/>
    </row>
    <row r="637" spans="11:12" x14ac:dyDescent="0.35">
      <c r="K637" s="41"/>
      <c r="L637" s="41"/>
    </row>
    <row r="638" spans="11:12" x14ac:dyDescent="0.35">
      <c r="K638" s="41"/>
      <c r="L638" s="41"/>
    </row>
    <row r="639" spans="11:12" x14ac:dyDescent="0.35">
      <c r="K639" s="41"/>
      <c r="L639" s="41"/>
    </row>
    <row r="640" spans="11:12" x14ac:dyDescent="0.35">
      <c r="K640" s="41"/>
      <c r="L640" s="41"/>
    </row>
    <row r="641" spans="11:12" x14ac:dyDescent="0.35">
      <c r="K641" s="41"/>
      <c r="L641" s="41"/>
    </row>
    <row r="642" spans="11:12" x14ac:dyDescent="0.35">
      <c r="K642" s="41"/>
      <c r="L642" s="41"/>
    </row>
    <row r="643" spans="11:12" x14ac:dyDescent="0.35">
      <c r="K643" s="41"/>
      <c r="L643" s="41"/>
    </row>
    <row r="644" spans="11:12" x14ac:dyDescent="0.35">
      <c r="K644" s="41"/>
      <c r="L644" s="41"/>
    </row>
    <row r="645" spans="11:12" x14ac:dyDescent="0.35">
      <c r="K645" s="41"/>
      <c r="L645" s="41"/>
    </row>
    <row r="646" spans="11:12" x14ac:dyDescent="0.35">
      <c r="K646" s="41"/>
      <c r="L646" s="41"/>
    </row>
    <row r="647" spans="11:12" x14ac:dyDescent="0.35">
      <c r="K647" s="41"/>
      <c r="L647" s="41"/>
    </row>
    <row r="648" spans="11:12" x14ac:dyDescent="0.35">
      <c r="K648" s="41"/>
      <c r="L648" s="41"/>
    </row>
    <row r="649" spans="11:12" x14ac:dyDescent="0.35">
      <c r="K649" s="41"/>
      <c r="L649" s="41"/>
    </row>
    <row r="650" spans="11:12" x14ac:dyDescent="0.35">
      <c r="K650" s="41"/>
      <c r="L650" s="41"/>
    </row>
    <row r="651" spans="11:12" x14ac:dyDescent="0.35">
      <c r="K651" s="41"/>
      <c r="L651" s="41"/>
    </row>
    <row r="652" spans="11:12" x14ac:dyDescent="0.35">
      <c r="K652" s="41"/>
      <c r="L652" s="41"/>
    </row>
    <row r="653" spans="11:12" x14ac:dyDescent="0.35">
      <c r="K653" s="41"/>
      <c r="L653" s="41"/>
    </row>
    <row r="654" spans="11:12" x14ac:dyDescent="0.35">
      <c r="K654" s="41"/>
      <c r="L654" s="41"/>
    </row>
    <row r="655" spans="11:12" x14ac:dyDescent="0.35">
      <c r="K655" s="41"/>
      <c r="L655" s="41"/>
    </row>
    <row r="656" spans="11:12" x14ac:dyDescent="0.35">
      <c r="K656" s="41"/>
      <c r="L656" s="41"/>
    </row>
    <row r="657" spans="11:12" x14ac:dyDescent="0.35">
      <c r="K657" s="41"/>
      <c r="L657" s="41"/>
    </row>
    <row r="658" spans="11:12" x14ac:dyDescent="0.35">
      <c r="K658" s="41"/>
      <c r="L658" s="41"/>
    </row>
    <row r="659" spans="11:12" x14ac:dyDescent="0.35">
      <c r="K659" s="41"/>
      <c r="L659" s="41"/>
    </row>
    <row r="660" spans="11:12" x14ac:dyDescent="0.35">
      <c r="K660" s="41"/>
      <c r="L660" s="41"/>
    </row>
    <row r="661" spans="11:12" x14ac:dyDescent="0.35">
      <c r="K661" s="41"/>
      <c r="L661" s="41"/>
    </row>
    <row r="662" spans="11:12" x14ac:dyDescent="0.35">
      <c r="K662" s="41"/>
      <c r="L662" s="41"/>
    </row>
    <row r="663" spans="11:12" x14ac:dyDescent="0.35">
      <c r="K663" s="41"/>
      <c r="L663" s="41"/>
    </row>
    <row r="664" spans="11:12" x14ac:dyDescent="0.35">
      <c r="K664" s="41"/>
      <c r="L664" s="41"/>
    </row>
    <row r="665" spans="11:12" x14ac:dyDescent="0.35">
      <c r="K665" s="41"/>
      <c r="L665" s="41"/>
    </row>
    <row r="666" spans="11:12" x14ac:dyDescent="0.35">
      <c r="K666" s="41"/>
      <c r="L666" s="41"/>
    </row>
    <row r="667" spans="11:12" x14ac:dyDescent="0.35">
      <c r="K667" s="41"/>
      <c r="L667" s="41"/>
    </row>
    <row r="668" spans="11:12" x14ac:dyDescent="0.35">
      <c r="K668" s="41"/>
      <c r="L668" s="41"/>
    </row>
    <row r="669" spans="11:12" x14ac:dyDescent="0.35">
      <c r="K669" s="41"/>
      <c r="L669" s="41"/>
    </row>
    <row r="670" spans="11:12" x14ac:dyDescent="0.35">
      <c r="K670" s="41"/>
      <c r="L670" s="41"/>
    </row>
    <row r="671" spans="11:12" x14ac:dyDescent="0.35">
      <c r="K671" s="41"/>
      <c r="L671" s="41"/>
    </row>
    <row r="672" spans="11:12" x14ac:dyDescent="0.35">
      <c r="K672" s="41"/>
      <c r="L672" s="41"/>
    </row>
    <row r="673" spans="11:12" x14ac:dyDescent="0.35">
      <c r="K673" s="41"/>
      <c r="L673" s="41"/>
    </row>
    <row r="674" spans="11:12" x14ac:dyDescent="0.35">
      <c r="K674" s="41"/>
      <c r="L674" s="41"/>
    </row>
    <row r="675" spans="11:12" x14ac:dyDescent="0.35">
      <c r="K675" s="41"/>
      <c r="L675" s="41"/>
    </row>
    <row r="676" spans="11:12" x14ac:dyDescent="0.35">
      <c r="K676" s="41"/>
      <c r="L676" s="41"/>
    </row>
    <row r="677" spans="11:12" x14ac:dyDescent="0.35">
      <c r="K677" s="41"/>
      <c r="L677" s="41"/>
    </row>
    <row r="678" spans="11:12" x14ac:dyDescent="0.35">
      <c r="K678" s="41"/>
      <c r="L678" s="41"/>
    </row>
    <row r="679" spans="11:12" x14ac:dyDescent="0.35">
      <c r="K679" s="41"/>
      <c r="L679" s="41"/>
    </row>
    <row r="680" spans="11:12" x14ac:dyDescent="0.35">
      <c r="K680" s="41"/>
      <c r="L680" s="41"/>
    </row>
    <row r="681" spans="11:12" x14ac:dyDescent="0.35">
      <c r="K681" s="41"/>
      <c r="L681" s="41"/>
    </row>
    <row r="682" spans="11:12" x14ac:dyDescent="0.35">
      <c r="K682" s="41"/>
      <c r="L682" s="41"/>
    </row>
    <row r="683" spans="11:12" x14ac:dyDescent="0.35">
      <c r="K683" s="41"/>
      <c r="L683" s="41"/>
    </row>
    <row r="684" spans="11:12" x14ac:dyDescent="0.35">
      <c r="K684" s="41"/>
      <c r="L684" s="41"/>
    </row>
    <row r="685" spans="11:12" x14ac:dyDescent="0.35">
      <c r="K685" s="41"/>
      <c r="L685" s="41"/>
    </row>
    <row r="686" spans="11:12" x14ac:dyDescent="0.35">
      <c r="K686" s="41"/>
      <c r="L686" s="41"/>
    </row>
    <row r="687" spans="11:12" x14ac:dyDescent="0.35">
      <c r="K687" s="41"/>
      <c r="L687" s="41"/>
    </row>
    <row r="688" spans="11:12" x14ac:dyDescent="0.35">
      <c r="K688" s="41"/>
      <c r="L688" s="41"/>
    </row>
    <row r="689" spans="11:12" x14ac:dyDescent="0.35">
      <c r="K689" s="41"/>
      <c r="L689" s="41"/>
    </row>
    <row r="690" spans="11:12" x14ac:dyDescent="0.35">
      <c r="K690" s="41"/>
      <c r="L690" s="41"/>
    </row>
    <row r="691" spans="11:12" x14ac:dyDescent="0.35">
      <c r="K691" s="41"/>
      <c r="L691" s="41"/>
    </row>
    <row r="692" spans="11:12" x14ac:dyDescent="0.35">
      <c r="K692" s="41"/>
      <c r="L692" s="41"/>
    </row>
    <row r="693" spans="11:12" x14ac:dyDescent="0.35">
      <c r="K693" s="41"/>
      <c r="L693" s="41"/>
    </row>
    <row r="694" spans="11:12" x14ac:dyDescent="0.35">
      <c r="K694" s="41"/>
      <c r="L694" s="41"/>
    </row>
    <row r="695" spans="11:12" x14ac:dyDescent="0.35">
      <c r="K695" s="41"/>
      <c r="L695" s="41"/>
    </row>
    <row r="696" spans="11:12" x14ac:dyDescent="0.35">
      <c r="K696" s="41"/>
      <c r="L696" s="41"/>
    </row>
    <row r="697" spans="11:12" x14ac:dyDescent="0.35">
      <c r="K697" s="41"/>
      <c r="L697" s="41"/>
    </row>
    <row r="698" spans="11:12" x14ac:dyDescent="0.35">
      <c r="K698" s="41"/>
      <c r="L698" s="41"/>
    </row>
    <row r="699" spans="11:12" x14ac:dyDescent="0.35">
      <c r="K699" s="41"/>
      <c r="L699" s="41"/>
    </row>
    <row r="700" spans="11:12" x14ac:dyDescent="0.35">
      <c r="K700" s="41"/>
      <c r="L700" s="41"/>
    </row>
    <row r="701" spans="11:12" x14ac:dyDescent="0.35">
      <c r="K701" s="41"/>
      <c r="L701" s="41"/>
    </row>
    <row r="702" spans="11:12" x14ac:dyDescent="0.35">
      <c r="K702" s="41"/>
      <c r="L702" s="41"/>
    </row>
    <row r="703" spans="11:12" x14ac:dyDescent="0.35">
      <c r="K703" s="41"/>
      <c r="L703" s="41"/>
    </row>
    <row r="704" spans="11:12" x14ac:dyDescent="0.35">
      <c r="K704" s="41"/>
      <c r="L704" s="41"/>
    </row>
    <row r="705" spans="11:12" x14ac:dyDescent="0.35">
      <c r="K705" s="41"/>
      <c r="L705" s="41"/>
    </row>
    <row r="706" spans="11:12" x14ac:dyDescent="0.35">
      <c r="K706" s="41"/>
      <c r="L706" s="41"/>
    </row>
    <row r="707" spans="11:12" x14ac:dyDescent="0.35">
      <c r="K707" s="41"/>
      <c r="L707" s="41"/>
    </row>
    <row r="708" spans="11:12" x14ac:dyDescent="0.35">
      <c r="K708" s="41"/>
      <c r="L708" s="41"/>
    </row>
    <row r="709" spans="11:12" x14ac:dyDescent="0.35">
      <c r="K709" s="41"/>
      <c r="L709" s="41"/>
    </row>
    <row r="710" spans="11:12" x14ac:dyDescent="0.35">
      <c r="K710" s="41"/>
      <c r="L710" s="41"/>
    </row>
    <row r="711" spans="11:12" x14ac:dyDescent="0.35">
      <c r="K711" s="41"/>
      <c r="L711" s="41"/>
    </row>
    <row r="712" spans="11:12" x14ac:dyDescent="0.35">
      <c r="K712" s="41"/>
      <c r="L712" s="41"/>
    </row>
    <row r="713" spans="11:12" x14ac:dyDescent="0.35">
      <c r="K713" s="41"/>
      <c r="L713" s="41"/>
    </row>
    <row r="714" spans="11:12" x14ac:dyDescent="0.35">
      <c r="K714" s="41"/>
      <c r="L714" s="41"/>
    </row>
    <row r="715" spans="11:12" x14ac:dyDescent="0.35">
      <c r="K715" s="41"/>
      <c r="L715" s="41"/>
    </row>
    <row r="716" spans="11:12" x14ac:dyDescent="0.35">
      <c r="K716" s="41"/>
      <c r="L716" s="41"/>
    </row>
    <row r="717" spans="11:12" x14ac:dyDescent="0.35">
      <c r="K717" s="41"/>
      <c r="L717" s="41"/>
    </row>
    <row r="718" spans="11:12" x14ac:dyDescent="0.35">
      <c r="K718" s="41"/>
      <c r="L718" s="41"/>
    </row>
    <row r="719" spans="11:12" x14ac:dyDescent="0.35">
      <c r="K719" s="41"/>
      <c r="L719" s="41"/>
    </row>
    <row r="720" spans="11:12" x14ac:dyDescent="0.35">
      <c r="K720" s="41"/>
      <c r="L720" s="41"/>
    </row>
    <row r="721" spans="11:12" x14ac:dyDescent="0.35">
      <c r="K721" s="41"/>
      <c r="L721" s="41"/>
    </row>
    <row r="722" spans="11:12" x14ac:dyDescent="0.35">
      <c r="K722" s="41"/>
      <c r="L722" s="41"/>
    </row>
    <row r="723" spans="11:12" x14ac:dyDescent="0.35">
      <c r="K723" s="41"/>
      <c r="L723" s="41"/>
    </row>
    <row r="724" spans="11:12" x14ac:dyDescent="0.35">
      <c r="K724" s="41"/>
      <c r="L724" s="41"/>
    </row>
    <row r="725" spans="11:12" x14ac:dyDescent="0.35">
      <c r="K725" s="41"/>
      <c r="L725" s="41"/>
    </row>
    <row r="726" spans="11:12" x14ac:dyDescent="0.35">
      <c r="K726" s="41"/>
      <c r="L726" s="41"/>
    </row>
    <row r="727" spans="11:12" x14ac:dyDescent="0.35">
      <c r="K727" s="41"/>
      <c r="L727" s="41"/>
    </row>
    <row r="728" spans="11:12" x14ac:dyDescent="0.35">
      <c r="K728" s="41"/>
      <c r="L728" s="41"/>
    </row>
    <row r="729" spans="11:12" x14ac:dyDescent="0.35">
      <c r="K729" s="41"/>
      <c r="L729" s="41"/>
    </row>
    <row r="730" spans="11:12" x14ac:dyDescent="0.35">
      <c r="K730" s="41"/>
      <c r="L730" s="41"/>
    </row>
    <row r="731" spans="11:12" x14ac:dyDescent="0.35">
      <c r="K731" s="41"/>
      <c r="L731" s="41"/>
    </row>
    <row r="732" spans="11:12" x14ac:dyDescent="0.35">
      <c r="K732" s="41"/>
      <c r="L732" s="41"/>
    </row>
    <row r="733" spans="11:12" x14ac:dyDescent="0.35">
      <c r="K733" s="41"/>
      <c r="L733" s="41"/>
    </row>
    <row r="734" spans="11:12" x14ac:dyDescent="0.35">
      <c r="K734" s="41"/>
      <c r="L734" s="41"/>
    </row>
    <row r="735" spans="11:12" x14ac:dyDescent="0.35">
      <c r="K735" s="41"/>
      <c r="L735" s="41"/>
    </row>
    <row r="736" spans="11:12" x14ac:dyDescent="0.35">
      <c r="K736" s="41"/>
      <c r="L736" s="41"/>
    </row>
    <row r="737" spans="11:12" x14ac:dyDescent="0.35">
      <c r="K737" s="41"/>
      <c r="L737" s="41"/>
    </row>
    <row r="738" spans="11:12" x14ac:dyDescent="0.35">
      <c r="K738" s="41"/>
      <c r="L738" s="41"/>
    </row>
    <row r="739" spans="11:12" x14ac:dyDescent="0.35">
      <c r="K739" s="41"/>
      <c r="L739" s="41"/>
    </row>
    <row r="740" spans="11:12" x14ac:dyDescent="0.35">
      <c r="K740" s="41"/>
      <c r="L740" s="41"/>
    </row>
    <row r="741" spans="11:12" x14ac:dyDescent="0.35">
      <c r="K741" s="41"/>
      <c r="L741" s="41"/>
    </row>
    <row r="742" spans="11:12" x14ac:dyDescent="0.35">
      <c r="K742" s="41"/>
      <c r="L742" s="41"/>
    </row>
    <row r="743" spans="11:12" x14ac:dyDescent="0.35">
      <c r="K743" s="41"/>
      <c r="L743" s="41"/>
    </row>
    <row r="744" spans="11:12" x14ac:dyDescent="0.35">
      <c r="K744" s="41"/>
      <c r="L744" s="41"/>
    </row>
    <row r="745" spans="11:12" x14ac:dyDescent="0.35">
      <c r="K745" s="41"/>
      <c r="L745" s="41"/>
    </row>
    <row r="746" spans="11:12" x14ac:dyDescent="0.35">
      <c r="K746" s="41"/>
      <c r="L746" s="41"/>
    </row>
    <row r="747" spans="11:12" x14ac:dyDescent="0.35">
      <c r="K747" s="41"/>
      <c r="L747" s="41"/>
    </row>
    <row r="748" spans="11:12" x14ac:dyDescent="0.35">
      <c r="K748" s="41"/>
      <c r="L748" s="41"/>
    </row>
    <row r="749" spans="11:12" x14ac:dyDescent="0.35">
      <c r="K749" s="41"/>
      <c r="L749" s="41"/>
    </row>
    <row r="750" spans="11:12" x14ac:dyDescent="0.35">
      <c r="K750" s="41"/>
      <c r="L750" s="41"/>
    </row>
    <row r="751" spans="11:12" x14ac:dyDescent="0.35">
      <c r="K751" s="41"/>
      <c r="L751" s="41"/>
    </row>
    <row r="752" spans="11:12" x14ac:dyDescent="0.35">
      <c r="K752" s="41"/>
      <c r="L752" s="41"/>
    </row>
    <row r="753" spans="11:12" x14ac:dyDescent="0.35">
      <c r="K753" s="41"/>
      <c r="L753" s="41"/>
    </row>
    <row r="754" spans="11:12" x14ac:dyDescent="0.35">
      <c r="K754" s="41"/>
      <c r="L754" s="41"/>
    </row>
    <row r="755" spans="11:12" x14ac:dyDescent="0.35">
      <c r="K755" s="41"/>
      <c r="L755" s="41"/>
    </row>
    <row r="756" spans="11:12" x14ac:dyDescent="0.35">
      <c r="K756" s="41"/>
      <c r="L756" s="41"/>
    </row>
    <row r="757" spans="11:12" x14ac:dyDescent="0.35">
      <c r="K757" s="41"/>
      <c r="L757" s="41"/>
    </row>
    <row r="758" spans="11:12" x14ac:dyDescent="0.35">
      <c r="K758" s="41"/>
      <c r="L758" s="41"/>
    </row>
    <row r="759" spans="11:12" x14ac:dyDescent="0.35">
      <c r="K759" s="41"/>
      <c r="L759" s="41"/>
    </row>
    <row r="760" spans="11:12" x14ac:dyDescent="0.35">
      <c r="K760" s="41"/>
      <c r="L760" s="41"/>
    </row>
    <row r="761" spans="11:12" x14ac:dyDescent="0.35">
      <c r="K761" s="41"/>
      <c r="L761" s="41"/>
    </row>
    <row r="762" spans="11:12" x14ac:dyDescent="0.35">
      <c r="K762" s="41"/>
      <c r="L762" s="41"/>
    </row>
    <row r="763" spans="11:12" x14ac:dyDescent="0.35">
      <c r="K763" s="41"/>
      <c r="L763" s="41"/>
    </row>
    <row r="764" spans="11:12" x14ac:dyDescent="0.35">
      <c r="K764" s="41"/>
      <c r="L764" s="41"/>
    </row>
    <row r="765" spans="11:12" x14ac:dyDescent="0.35">
      <c r="K765" s="41"/>
      <c r="L765" s="41"/>
    </row>
    <row r="766" spans="11:12" x14ac:dyDescent="0.35">
      <c r="K766" s="41"/>
      <c r="L766" s="41"/>
    </row>
    <row r="767" spans="11:12" x14ac:dyDescent="0.35">
      <c r="K767" s="41"/>
      <c r="L767" s="41"/>
    </row>
    <row r="768" spans="11:12" x14ac:dyDescent="0.35">
      <c r="K768" s="41"/>
      <c r="L768" s="41"/>
    </row>
    <row r="769" spans="11:12" x14ac:dyDescent="0.35">
      <c r="K769" s="41"/>
      <c r="L769" s="41"/>
    </row>
    <row r="770" spans="11:12" x14ac:dyDescent="0.35">
      <c r="K770" s="41"/>
      <c r="L770" s="41"/>
    </row>
    <row r="771" spans="11:12" x14ac:dyDescent="0.35">
      <c r="K771" s="41"/>
      <c r="L771" s="41"/>
    </row>
    <row r="772" spans="11:12" x14ac:dyDescent="0.35">
      <c r="K772" s="41"/>
      <c r="L772" s="41"/>
    </row>
    <row r="773" spans="11:12" x14ac:dyDescent="0.35">
      <c r="K773" s="41"/>
      <c r="L773" s="41"/>
    </row>
    <row r="774" spans="11:12" x14ac:dyDescent="0.35">
      <c r="K774" s="41"/>
      <c r="L774" s="41"/>
    </row>
    <row r="775" spans="11:12" x14ac:dyDescent="0.35">
      <c r="K775" s="41"/>
      <c r="L775" s="41"/>
    </row>
    <row r="776" spans="11:12" x14ac:dyDescent="0.35">
      <c r="K776" s="41"/>
      <c r="L776" s="41"/>
    </row>
    <row r="777" spans="11:12" x14ac:dyDescent="0.35">
      <c r="K777" s="41"/>
      <c r="L777" s="41"/>
    </row>
    <row r="778" spans="11:12" x14ac:dyDescent="0.35">
      <c r="K778" s="41"/>
      <c r="L778" s="41"/>
    </row>
    <row r="779" spans="11:12" x14ac:dyDescent="0.35">
      <c r="K779" s="41"/>
      <c r="L779" s="41"/>
    </row>
    <row r="780" spans="11:12" x14ac:dyDescent="0.35">
      <c r="K780" s="41"/>
      <c r="L780" s="41"/>
    </row>
    <row r="781" spans="11:12" x14ac:dyDescent="0.35">
      <c r="K781" s="41"/>
      <c r="L781" s="41"/>
    </row>
    <row r="782" spans="11:12" x14ac:dyDescent="0.35">
      <c r="K782" s="41"/>
      <c r="L782" s="41"/>
    </row>
    <row r="783" spans="11:12" x14ac:dyDescent="0.35">
      <c r="K783" s="41"/>
      <c r="L783" s="41"/>
    </row>
    <row r="784" spans="11:12" x14ac:dyDescent="0.35">
      <c r="K784" s="41"/>
      <c r="L784" s="41"/>
    </row>
    <row r="785" spans="11:12" x14ac:dyDescent="0.35">
      <c r="K785" s="41"/>
      <c r="L785" s="41"/>
    </row>
    <row r="786" spans="11:12" x14ac:dyDescent="0.35">
      <c r="K786" s="41"/>
      <c r="L786" s="41"/>
    </row>
    <row r="787" spans="11:12" x14ac:dyDescent="0.35">
      <c r="K787" s="41"/>
      <c r="L787" s="41"/>
    </row>
    <row r="788" spans="11:12" x14ac:dyDescent="0.35">
      <c r="K788" s="41"/>
      <c r="L788" s="41"/>
    </row>
    <row r="789" spans="11:12" x14ac:dyDescent="0.35">
      <c r="K789" s="41"/>
      <c r="L789" s="41"/>
    </row>
    <row r="790" spans="11:12" x14ac:dyDescent="0.35">
      <c r="K790" s="41"/>
      <c r="L790" s="41"/>
    </row>
    <row r="791" spans="11:12" x14ac:dyDescent="0.35">
      <c r="K791" s="41"/>
      <c r="L791" s="41"/>
    </row>
    <row r="792" spans="11:12" x14ac:dyDescent="0.35">
      <c r="K792" s="41"/>
      <c r="L792" s="41"/>
    </row>
    <row r="793" spans="11:12" x14ac:dyDescent="0.35">
      <c r="K793" s="41"/>
      <c r="L793" s="41"/>
    </row>
    <row r="794" spans="11:12" x14ac:dyDescent="0.35">
      <c r="K794" s="41"/>
      <c r="L794" s="41"/>
    </row>
    <row r="795" spans="11:12" x14ac:dyDescent="0.35">
      <c r="K795" s="41"/>
      <c r="L795" s="41"/>
    </row>
    <row r="796" spans="11:12" x14ac:dyDescent="0.35">
      <c r="K796" s="41"/>
      <c r="L796" s="41"/>
    </row>
    <row r="797" spans="11:12" x14ac:dyDescent="0.35">
      <c r="K797" s="41"/>
      <c r="L797" s="41"/>
    </row>
    <row r="798" spans="11:12" x14ac:dyDescent="0.35">
      <c r="K798" s="41"/>
      <c r="L798" s="41"/>
    </row>
    <row r="799" spans="11:12" x14ac:dyDescent="0.35">
      <c r="K799" s="41"/>
      <c r="L799" s="41"/>
    </row>
    <row r="800" spans="11:12" x14ac:dyDescent="0.35">
      <c r="K800" s="41"/>
      <c r="L800" s="41"/>
    </row>
    <row r="801" spans="11:12" x14ac:dyDescent="0.35">
      <c r="K801" s="41"/>
      <c r="L801" s="41"/>
    </row>
    <row r="802" spans="11:12" x14ac:dyDescent="0.35">
      <c r="K802" s="41"/>
      <c r="L802" s="41"/>
    </row>
    <row r="803" spans="11:12" x14ac:dyDescent="0.35">
      <c r="K803" s="41"/>
      <c r="L803" s="41"/>
    </row>
    <row r="804" spans="11:12" x14ac:dyDescent="0.35">
      <c r="K804" s="41"/>
      <c r="L804" s="41"/>
    </row>
    <row r="805" spans="11:12" x14ac:dyDescent="0.35">
      <c r="K805" s="41"/>
      <c r="L805" s="41"/>
    </row>
    <row r="806" spans="11:12" x14ac:dyDescent="0.35">
      <c r="K806" s="41"/>
      <c r="L806" s="41"/>
    </row>
    <row r="807" spans="11:12" x14ac:dyDescent="0.35">
      <c r="K807" s="41"/>
      <c r="L807" s="41"/>
    </row>
    <row r="808" spans="11:12" x14ac:dyDescent="0.35">
      <c r="K808" s="41"/>
      <c r="L808" s="41"/>
    </row>
    <row r="809" spans="11:12" x14ac:dyDescent="0.35">
      <c r="K809" s="41"/>
      <c r="L809" s="41"/>
    </row>
    <row r="810" spans="11:12" x14ac:dyDescent="0.35">
      <c r="K810" s="41"/>
      <c r="L810" s="41"/>
    </row>
    <row r="811" spans="11:12" x14ac:dyDescent="0.35">
      <c r="K811" s="41"/>
      <c r="L811" s="41"/>
    </row>
    <row r="812" spans="11:12" x14ac:dyDescent="0.35">
      <c r="K812" s="41"/>
      <c r="L812" s="41"/>
    </row>
    <row r="813" spans="11:12" x14ac:dyDescent="0.35">
      <c r="K813" s="41"/>
      <c r="L813" s="41"/>
    </row>
    <row r="814" spans="11:12" x14ac:dyDescent="0.35">
      <c r="K814" s="41"/>
      <c r="L814" s="41"/>
    </row>
    <row r="815" spans="11:12" x14ac:dyDescent="0.35">
      <c r="K815" s="41"/>
      <c r="L815" s="41"/>
    </row>
    <row r="816" spans="11:12" x14ac:dyDescent="0.35">
      <c r="K816" s="41"/>
      <c r="L816" s="41"/>
    </row>
    <row r="817" spans="11:12" x14ac:dyDescent="0.35">
      <c r="K817" s="41"/>
      <c r="L817" s="41"/>
    </row>
    <row r="818" spans="11:12" x14ac:dyDescent="0.35">
      <c r="K818" s="41"/>
      <c r="L818" s="41"/>
    </row>
    <row r="819" spans="11:12" x14ac:dyDescent="0.35">
      <c r="K819" s="41"/>
      <c r="L819" s="41"/>
    </row>
    <row r="820" spans="11:12" x14ac:dyDescent="0.35">
      <c r="K820" s="41"/>
      <c r="L820" s="41"/>
    </row>
    <row r="821" spans="11:12" x14ac:dyDescent="0.35">
      <c r="K821" s="41"/>
      <c r="L821" s="41"/>
    </row>
    <row r="822" spans="11:12" x14ac:dyDescent="0.35">
      <c r="K822" s="41"/>
      <c r="L822" s="41"/>
    </row>
    <row r="823" spans="11:12" x14ac:dyDescent="0.35">
      <c r="K823" s="41"/>
      <c r="L823" s="41"/>
    </row>
    <row r="824" spans="11:12" x14ac:dyDescent="0.35">
      <c r="K824" s="41"/>
      <c r="L824" s="41"/>
    </row>
    <row r="825" spans="11:12" x14ac:dyDescent="0.35">
      <c r="K825" s="41"/>
      <c r="L825" s="41"/>
    </row>
    <row r="826" spans="11:12" x14ac:dyDescent="0.35">
      <c r="K826" s="41"/>
      <c r="L826" s="41"/>
    </row>
    <row r="827" spans="11:12" x14ac:dyDescent="0.35">
      <c r="K827" s="41"/>
      <c r="L827" s="41"/>
    </row>
    <row r="828" spans="11:12" x14ac:dyDescent="0.35">
      <c r="K828" s="41"/>
      <c r="L828" s="41"/>
    </row>
    <row r="829" spans="11:12" x14ac:dyDescent="0.35">
      <c r="K829" s="41"/>
      <c r="L829" s="41"/>
    </row>
    <row r="830" spans="11:12" x14ac:dyDescent="0.35">
      <c r="K830" s="41"/>
      <c r="L830" s="41"/>
    </row>
    <row r="831" spans="11:12" x14ac:dyDescent="0.35">
      <c r="K831" s="41"/>
      <c r="L831" s="41"/>
    </row>
    <row r="832" spans="11:12" x14ac:dyDescent="0.35">
      <c r="K832" s="41"/>
      <c r="L832" s="41"/>
    </row>
    <row r="833" spans="11:12" x14ac:dyDescent="0.35">
      <c r="K833" s="41"/>
      <c r="L833" s="41"/>
    </row>
    <row r="834" spans="11:12" x14ac:dyDescent="0.35">
      <c r="K834" s="41"/>
      <c r="L834" s="41"/>
    </row>
    <row r="835" spans="11:12" x14ac:dyDescent="0.35">
      <c r="K835" s="41"/>
      <c r="L835" s="41"/>
    </row>
    <row r="836" spans="11:12" x14ac:dyDescent="0.35">
      <c r="K836" s="41"/>
      <c r="L836" s="41"/>
    </row>
    <row r="837" spans="11:12" x14ac:dyDescent="0.35">
      <c r="K837" s="41"/>
      <c r="L837" s="41"/>
    </row>
    <row r="838" spans="11:12" x14ac:dyDescent="0.35">
      <c r="K838" s="41"/>
      <c r="L838" s="41"/>
    </row>
    <row r="839" spans="11:12" x14ac:dyDescent="0.35">
      <c r="K839" s="41"/>
      <c r="L839" s="41"/>
    </row>
    <row r="840" spans="11:12" x14ac:dyDescent="0.35">
      <c r="K840" s="41"/>
      <c r="L840" s="41"/>
    </row>
    <row r="841" spans="11:12" x14ac:dyDescent="0.35">
      <c r="K841" s="41"/>
      <c r="L841" s="41"/>
    </row>
    <row r="842" spans="11:12" x14ac:dyDescent="0.35">
      <c r="K842" s="41"/>
      <c r="L842" s="41"/>
    </row>
    <row r="843" spans="11:12" x14ac:dyDescent="0.35">
      <c r="K843" s="41"/>
      <c r="L843" s="41"/>
    </row>
    <row r="844" spans="11:12" x14ac:dyDescent="0.35">
      <c r="K844" s="41"/>
      <c r="L844" s="41"/>
    </row>
    <row r="845" spans="11:12" x14ac:dyDescent="0.35">
      <c r="K845" s="41"/>
      <c r="L845" s="41"/>
    </row>
    <row r="846" spans="11:12" x14ac:dyDescent="0.35">
      <c r="K846" s="41"/>
      <c r="L846" s="41"/>
    </row>
    <row r="847" spans="11:12" x14ac:dyDescent="0.35">
      <c r="K847" s="41"/>
      <c r="L847" s="41"/>
    </row>
    <row r="848" spans="11:12" x14ac:dyDescent="0.35">
      <c r="K848" s="41"/>
      <c r="L848" s="41"/>
    </row>
    <row r="849" spans="11:12" x14ac:dyDescent="0.35">
      <c r="K849" s="41"/>
      <c r="L849" s="41"/>
    </row>
    <row r="850" spans="11:12" x14ac:dyDescent="0.35">
      <c r="K850" s="41"/>
      <c r="L850" s="41"/>
    </row>
    <row r="851" spans="11:12" x14ac:dyDescent="0.35">
      <c r="K851" s="41"/>
      <c r="L851" s="41"/>
    </row>
    <row r="852" spans="11:12" x14ac:dyDescent="0.35">
      <c r="K852" s="41"/>
      <c r="L852" s="41"/>
    </row>
    <row r="853" spans="11:12" x14ac:dyDescent="0.35">
      <c r="K853" s="41"/>
      <c r="L853" s="41"/>
    </row>
    <row r="854" spans="11:12" x14ac:dyDescent="0.35">
      <c r="K854" s="41"/>
      <c r="L854" s="41"/>
    </row>
    <row r="855" spans="11:12" x14ac:dyDescent="0.35">
      <c r="K855" s="41"/>
      <c r="L855" s="41"/>
    </row>
    <row r="856" spans="11:12" x14ac:dyDescent="0.35">
      <c r="K856" s="41"/>
      <c r="L856" s="41"/>
    </row>
    <row r="857" spans="11:12" x14ac:dyDescent="0.35">
      <c r="K857" s="41"/>
      <c r="L857" s="41"/>
    </row>
    <row r="858" spans="11:12" x14ac:dyDescent="0.35">
      <c r="K858" s="41"/>
      <c r="L858" s="41"/>
    </row>
    <row r="859" spans="11:12" x14ac:dyDescent="0.35">
      <c r="K859" s="41"/>
      <c r="L859" s="41"/>
    </row>
    <row r="860" spans="11:12" x14ac:dyDescent="0.35">
      <c r="K860" s="41"/>
      <c r="L860" s="41"/>
    </row>
    <row r="861" spans="11:12" x14ac:dyDescent="0.35">
      <c r="K861" s="41"/>
      <c r="L861" s="41"/>
    </row>
    <row r="862" spans="11:12" x14ac:dyDescent="0.35">
      <c r="K862" s="41"/>
      <c r="L862" s="41"/>
    </row>
    <row r="863" spans="11:12" x14ac:dyDescent="0.35">
      <c r="K863" s="41"/>
      <c r="L863" s="41"/>
    </row>
    <row r="864" spans="11:12" x14ac:dyDescent="0.35">
      <c r="K864" s="41"/>
      <c r="L864" s="41"/>
    </row>
    <row r="865" spans="11:12" x14ac:dyDescent="0.35">
      <c r="K865" s="41"/>
      <c r="L865" s="41"/>
    </row>
    <row r="866" spans="11:12" x14ac:dyDescent="0.35">
      <c r="K866" s="41"/>
      <c r="L866" s="41"/>
    </row>
    <row r="867" spans="11:12" x14ac:dyDescent="0.35">
      <c r="K867" s="41"/>
      <c r="L867" s="41"/>
    </row>
    <row r="868" spans="11:12" x14ac:dyDescent="0.35">
      <c r="K868" s="41"/>
      <c r="L868" s="41"/>
    </row>
    <row r="869" spans="11:12" x14ac:dyDescent="0.35">
      <c r="K869" s="41"/>
      <c r="L869" s="41"/>
    </row>
    <row r="870" spans="11:12" x14ac:dyDescent="0.35">
      <c r="K870" s="41"/>
      <c r="L870" s="41"/>
    </row>
    <row r="871" spans="11:12" x14ac:dyDescent="0.35">
      <c r="K871" s="41"/>
      <c r="L871" s="41"/>
    </row>
    <row r="872" spans="11:12" x14ac:dyDescent="0.35">
      <c r="K872" s="41"/>
      <c r="L872" s="41"/>
    </row>
    <row r="873" spans="11:12" x14ac:dyDescent="0.35">
      <c r="K873" s="41"/>
      <c r="L873" s="41"/>
    </row>
    <row r="874" spans="11:12" x14ac:dyDescent="0.35">
      <c r="K874" s="41"/>
      <c r="L874" s="41"/>
    </row>
    <row r="875" spans="11:12" x14ac:dyDescent="0.35">
      <c r="K875" s="41"/>
      <c r="L875" s="41"/>
    </row>
    <row r="876" spans="11:12" x14ac:dyDescent="0.35">
      <c r="K876" s="41"/>
      <c r="L876" s="41"/>
    </row>
    <row r="877" spans="11:12" x14ac:dyDescent="0.35">
      <c r="K877" s="41"/>
      <c r="L877" s="41"/>
    </row>
    <row r="878" spans="11:12" x14ac:dyDescent="0.35">
      <c r="K878" s="41"/>
      <c r="L878" s="41"/>
    </row>
    <row r="879" spans="11:12" x14ac:dyDescent="0.35">
      <c r="K879" s="41"/>
      <c r="L879" s="41"/>
    </row>
    <row r="880" spans="11:12" x14ac:dyDescent="0.35">
      <c r="K880" s="41"/>
      <c r="L880" s="41"/>
    </row>
    <row r="881" spans="11:12" x14ac:dyDescent="0.35">
      <c r="K881" s="41"/>
      <c r="L881" s="41"/>
    </row>
    <row r="882" spans="11:12" x14ac:dyDescent="0.35">
      <c r="K882" s="41"/>
      <c r="L882" s="41"/>
    </row>
    <row r="883" spans="11:12" x14ac:dyDescent="0.35">
      <c r="K883" s="41"/>
      <c r="L883" s="41"/>
    </row>
    <row r="884" spans="11:12" x14ac:dyDescent="0.35">
      <c r="K884" s="41"/>
      <c r="L884" s="41"/>
    </row>
    <row r="885" spans="11:12" x14ac:dyDescent="0.35">
      <c r="K885" s="41"/>
      <c r="L885" s="41"/>
    </row>
    <row r="886" spans="11:12" x14ac:dyDescent="0.35">
      <c r="K886" s="41"/>
      <c r="L886" s="41"/>
    </row>
    <row r="887" spans="11:12" x14ac:dyDescent="0.35">
      <c r="K887" s="41"/>
      <c r="L887" s="41"/>
    </row>
    <row r="888" spans="11:12" x14ac:dyDescent="0.35">
      <c r="K888" s="41"/>
      <c r="L888" s="41"/>
    </row>
    <row r="889" spans="11:12" x14ac:dyDescent="0.35">
      <c r="K889" s="41"/>
      <c r="L889" s="41"/>
    </row>
    <row r="890" spans="11:12" x14ac:dyDescent="0.35">
      <c r="K890" s="41"/>
      <c r="L890" s="41"/>
    </row>
    <row r="891" spans="11:12" x14ac:dyDescent="0.35">
      <c r="K891" s="41"/>
      <c r="L891" s="41"/>
    </row>
    <row r="892" spans="11:12" x14ac:dyDescent="0.35">
      <c r="K892" s="41"/>
      <c r="L892" s="41"/>
    </row>
    <row r="893" spans="11:12" x14ac:dyDescent="0.35">
      <c r="K893" s="41"/>
      <c r="L893" s="41"/>
    </row>
    <row r="894" spans="11:12" x14ac:dyDescent="0.35">
      <c r="K894" s="41"/>
      <c r="L894" s="41"/>
    </row>
    <row r="895" spans="11:12" x14ac:dyDescent="0.35">
      <c r="K895" s="41"/>
      <c r="L895" s="41"/>
    </row>
    <row r="896" spans="11:12" x14ac:dyDescent="0.35">
      <c r="K896" s="41"/>
      <c r="L896" s="41"/>
    </row>
    <row r="897" spans="11:12" x14ac:dyDescent="0.35">
      <c r="K897" s="41"/>
      <c r="L897" s="41"/>
    </row>
    <row r="898" spans="11:12" x14ac:dyDescent="0.35">
      <c r="K898" s="41"/>
      <c r="L898" s="41"/>
    </row>
    <row r="899" spans="11:12" x14ac:dyDescent="0.35">
      <c r="K899" s="41"/>
      <c r="L899" s="41"/>
    </row>
    <row r="900" spans="11:12" x14ac:dyDescent="0.35">
      <c r="K900" s="41"/>
      <c r="L900" s="41"/>
    </row>
    <row r="901" spans="11:12" x14ac:dyDescent="0.35">
      <c r="K901" s="41"/>
      <c r="L901" s="41"/>
    </row>
    <row r="902" spans="11:12" x14ac:dyDescent="0.35">
      <c r="K902" s="41"/>
      <c r="L902" s="41"/>
    </row>
    <row r="903" spans="11:12" x14ac:dyDescent="0.35">
      <c r="K903" s="41"/>
      <c r="L903" s="41"/>
    </row>
    <row r="904" spans="11:12" x14ac:dyDescent="0.35">
      <c r="K904" s="41"/>
      <c r="L904" s="41"/>
    </row>
    <row r="905" spans="11:12" x14ac:dyDescent="0.35">
      <c r="K905" s="41"/>
      <c r="L905" s="41"/>
    </row>
    <row r="906" spans="11:12" x14ac:dyDescent="0.35">
      <c r="K906" s="41"/>
      <c r="L906" s="41"/>
    </row>
    <row r="907" spans="11:12" x14ac:dyDescent="0.35">
      <c r="K907" s="41"/>
      <c r="L907" s="41"/>
    </row>
    <row r="908" spans="11:12" x14ac:dyDescent="0.35">
      <c r="K908" s="41"/>
      <c r="L908" s="41"/>
    </row>
    <row r="909" spans="11:12" x14ac:dyDescent="0.35">
      <c r="K909" s="41"/>
      <c r="L909" s="41"/>
    </row>
    <row r="910" spans="11:12" x14ac:dyDescent="0.35">
      <c r="K910" s="41"/>
      <c r="L910" s="41"/>
    </row>
    <row r="911" spans="11:12" x14ac:dyDescent="0.35">
      <c r="K911" s="41"/>
      <c r="L911" s="41"/>
    </row>
    <row r="912" spans="11:12" x14ac:dyDescent="0.35">
      <c r="K912" s="41"/>
      <c r="L912" s="41"/>
    </row>
    <row r="913" spans="11:12" x14ac:dyDescent="0.35">
      <c r="K913" s="41"/>
      <c r="L913" s="41"/>
    </row>
    <row r="914" spans="11:12" x14ac:dyDescent="0.35">
      <c r="K914" s="41"/>
      <c r="L914" s="41"/>
    </row>
    <row r="915" spans="11:12" x14ac:dyDescent="0.35">
      <c r="K915" s="41"/>
      <c r="L915" s="41"/>
    </row>
    <row r="916" spans="11:12" x14ac:dyDescent="0.35">
      <c r="K916" s="41"/>
      <c r="L916" s="41"/>
    </row>
    <row r="917" spans="11:12" x14ac:dyDescent="0.35">
      <c r="K917" s="41"/>
      <c r="L917" s="41"/>
    </row>
    <row r="918" spans="11:12" x14ac:dyDescent="0.35">
      <c r="K918" s="41"/>
      <c r="L918" s="41"/>
    </row>
    <row r="919" spans="11:12" x14ac:dyDescent="0.35">
      <c r="K919" s="41"/>
      <c r="L919" s="41"/>
    </row>
    <row r="920" spans="11:12" x14ac:dyDescent="0.35">
      <c r="K920" s="41"/>
      <c r="L920" s="41"/>
    </row>
    <row r="921" spans="11:12" x14ac:dyDescent="0.35">
      <c r="K921" s="41"/>
      <c r="L921" s="41"/>
    </row>
    <row r="922" spans="11:12" x14ac:dyDescent="0.35">
      <c r="K922" s="41"/>
      <c r="L922" s="41"/>
    </row>
    <row r="923" spans="11:12" x14ac:dyDescent="0.35">
      <c r="K923" s="41"/>
      <c r="L923" s="41"/>
    </row>
    <row r="924" spans="11:12" x14ac:dyDescent="0.35">
      <c r="K924" s="41"/>
      <c r="L924" s="41"/>
    </row>
    <row r="925" spans="11:12" x14ac:dyDescent="0.35">
      <c r="K925" s="41"/>
      <c r="L925" s="41"/>
    </row>
    <row r="926" spans="11:12" x14ac:dyDescent="0.35">
      <c r="K926" s="41"/>
      <c r="L926" s="41"/>
    </row>
    <row r="927" spans="11:12" x14ac:dyDescent="0.35">
      <c r="K927" s="41"/>
      <c r="L927" s="41"/>
    </row>
    <row r="928" spans="11:12" x14ac:dyDescent="0.35">
      <c r="K928" s="41"/>
      <c r="L928" s="41"/>
    </row>
    <row r="929" spans="11:12" x14ac:dyDescent="0.35">
      <c r="K929" s="41"/>
      <c r="L929" s="41"/>
    </row>
    <row r="930" spans="11:12" x14ac:dyDescent="0.35">
      <c r="K930" s="41"/>
      <c r="L930" s="41"/>
    </row>
    <row r="931" spans="11:12" x14ac:dyDescent="0.35">
      <c r="K931" s="41"/>
      <c r="L931" s="41"/>
    </row>
    <row r="932" spans="11:12" x14ac:dyDescent="0.35">
      <c r="K932" s="41"/>
      <c r="L932" s="41"/>
    </row>
    <row r="933" spans="11:12" x14ac:dyDescent="0.35">
      <c r="K933" s="41"/>
      <c r="L933" s="41"/>
    </row>
    <row r="934" spans="11:12" x14ac:dyDescent="0.35">
      <c r="K934" s="41"/>
      <c r="L934" s="41"/>
    </row>
    <row r="935" spans="11:12" x14ac:dyDescent="0.35">
      <c r="K935" s="41"/>
      <c r="L935" s="41"/>
    </row>
    <row r="936" spans="11:12" x14ac:dyDescent="0.35">
      <c r="K936" s="41"/>
      <c r="L936" s="41"/>
    </row>
    <row r="937" spans="11:12" x14ac:dyDescent="0.35">
      <c r="K937" s="41"/>
      <c r="L937" s="41"/>
    </row>
    <row r="938" spans="11:12" x14ac:dyDescent="0.35">
      <c r="K938" s="41"/>
      <c r="L938" s="41"/>
    </row>
    <row r="939" spans="11:12" x14ac:dyDescent="0.35">
      <c r="K939" s="41"/>
      <c r="L939" s="41"/>
    </row>
    <row r="940" spans="11:12" x14ac:dyDescent="0.35">
      <c r="K940" s="41"/>
      <c r="L940" s="41"/>
    </row>
    <row r="941" spans="11:12" x14ac:dyDescent="0.35">
      <c r="K941" s="41"/>
      <c r="L941" s="41"/>
    </row>
    <row r="942" spans="11:12" x14ac:dyDescent="0.35">
      <c r="K942" s="41"/>
      <c r="L942" s="41"/>
    </row>
    <row r="943" spans="11:12" x14ac:dyDescent="0.35">
      <c r="K943" s="41"/>
      <c r="L943" s="41"/>
    </row>
    <row r="944" spans="11:12" x14ac:dyDescent="0.35">
      <c r="K944" s="41"/>
      <c r="L944" s="41"/>
    </row>
    <row r="945" spans="11:12" x14ac:dyDescent="0.35">
      <c r="K945" s="41"/>
      <c r="L945" s="41"/>
    </row>
    <row r="946" spans="11:12" x14ac:dyDescent="0.35">
      <c r="K946" s="41"/>
      <c r="L946" s="41"/>
    </row>
    <row r="947" spans="11:12" x14ac:dyDescent="0.35">
      <c r="K947" s="41"/>
      <c r="L947" s="41"/>
    </row>
    <row r="948" spans="11:12" x14ac:dyDescent="0.35">
      <c r="K948" s="41"/>
      <c r="L948" s="41"/>
    </row>
    <row r="949" spans="11:12" x14ac:dyDescent="0.35">
      <c r="K949" s="41"/>
      <c r="L949" s="41"/>
    </row>
    <row r="950" spans="11:12" x14ac:dyDescent="0.35">
      <c r="K950" s="41"/>
      <c r="L950" s="41"/>
    </row>
    <row r="951" spans="11:12" x14ac:dyDescent="0.35">
      <c r="K951" s="41"/>
      <c r="L951" s="41"/>
    </row>
    <row r="952" spans="11:12" x14ac:dyDescent="0.35">
      <c r="K952" s="41"/>
      <c r="L952" s="41"/>
    </row>
    <row r="953" spans="11:12" x14ac:dyDescent="0.35">
      <c r="K953" s="41"/>
      <c r="L953" s="41"/>
    </row>
    <row r="954" spans="11:12" x14ac:dyDescent="0.35">
      <c r="K954" s="41"/>
      <c r="L954" s="41"/>
    </row>
    <row r="955" spans="11:12" x14ac:dyDescent="0.35">
      <c r="K955" s="41"/>
      <c r="L955" s="41"/>
    </row>
    <row r="956" spans="11:12" x14ac:dyDescent="0.35">
      <c r="K956" s="41"/>
      <c r="L956" s="41"/>
    </row>
    <row r="957" spans="11:12" x14ac:dyDescent="0.35">
      <c r="K957" s="41"/>
      <c r="L957" s="41"/>
    </row>
    <row r="958" spans="11:12" x14ac:dyDescent="0.35">
      <c r="K958" s="41"/>
      <c r="L958" s="41"/>
    </row>
    <row r="959" spans="11:12" x14ac:dyDescent="0.35">
      <c r="K959" s="41"/>
      <c r="L959" s="41"/>
    </row>
    <row r="960" spans="11:12" x14ac:dyDescent="0.35">
      <c r="K960" s="41"/>
      <c r="L960" s="41"/>
    </row>
    <row r="961" spans="11:12" x14ac:dyDescent="0.35">
      <c r="K961" s="41"/>
      <c r="L961" s="41"/>
    </row>
    <row r="962" spans="11:12" x14ac:dyDescent="0.35">
      <c r="K962" s="41"/>
      <c r="L962" s="41"/>
    </row>
    <row r="963" spans="11:12" x14ac:dyDescent="0.35">
      <c r="K963" s="41"/>
      <c r="L963" s="41"/>
    </row>
    <row r="964" spans="11:12" x14ac:dyDescent="0.35">
      <c r="K964" s="41"/>
      <c r="L964" s="41"/>
    </row>
    <row r="965" spans="11:12" x14ac:dyDescent="0.35">
      <c r="K965" s="41"/>
      <c r="L965" s="41"/>
    </row>
    <row r="966" spans="11:12" x14ac:dyDescent="0.35">
      <c r="K966" s="41"/>
      <c r="L966" s="41"/>
    </row>
    <row r="967" spans="11:12" x14ac:dyDescent="0.35">
      <c r="K967" s="41"/>
      <c r="L967" s="41"/>
    </row>
    <row r="968" spans="11:12" x14ac:dyDescent="0.35">
      <c r="K968" s="41"/>
      <c r="L968" s="41"/>
    </row>
    <row r="969" spans="11:12" x14ac:dyDescent="0.35">
      <c r="K969" s="41"/>
      <c r="L969" s="41"/>
    </row>
    <row r="970" spans="11:12" x14ac:dyDescent="0.35">
      <c r="K970" s="41"/>
      <c r="L970" s="41"/>
    </row>
    <row r="971" spans="11:12" x14ac:dyDescent="0.35">
      <c r="K971" s="41"/>
      <c r="L971" s="41"/>
    </row>
    <row r="972" spans="11:12" x14ac:dyDescent="0.35">
      <c r="K972" s="41"/>
      <c r="L972" s="41"/>
    </row>
    <row r="973" spans="11:12" x14ac:dyDescent="0.35">
      <c r="K973" s="41"/>
      <c r="L973" s="41"/>
    </row>
    <row r="974" spans="11:12" x14ac:dyDescent="0.35">
      <c r="K974" s="41"/>
      <c r="L974" s="41"/>
    </row>
    <row r="975" spans="11:12" x14ac:dyDescent="0.35">
      <c r="K975" s="41"/>
      <c r="L975" s="41"/>
    </row>
    <row r="976" spans="11:12" x14ac:dyDescent="0.35">
      <c r="K976" s="41"/>
      <c r="L976" s="41"/>
    </row>
    <row r="977" spans="11:12" x14ac:dyDescent="0.35">
      <c r="K977" s="41"/>
      <c r="L977" s="41"/>
    </row>
    <row r="978" spans="11:12" x14ac:dyDescent="0.35">
      <c r="K978" s="41"/>
      <c r="L978" s="41"/>
    </row>
    <row r="979" spans="11:12" x14ac:dyDescent="0.35">
      <c r="K979" s="41"/>
      <c r="L979" s="41"/>
    </row>
    <row r="980" spans="11:12" x14ac:dyDescent="0.35">
      <c r="K980" s="41"/>
      <c r="L980" s="41"/>
    </row>
    <row r="981" spans="11:12" x14ac:dyDescent="0.35">
      <c r="K981" s="41"/>
      <c r="L981" s="41"/>
    </row>
    <row r="982" spans="11:12" x14ac:dyDescent="0.35">
      <c r="K982" s="41"/>
      <c r="L982" s="41"/>
    </row>
    <row r="983" spans="11:12" x14ac:dyDescent="0.35">
      <c r="K983" s="41"/>
      <c r="L983" s="41"/>
    </row>
    <row r="984" spans="11:12" x14ac:dyDescent="0.35">
      <c r="K984" s="41"/>
      <c r="L984" s="41"/>
    </row>
    <row r="985" spans="11:12" x14ac:dyDescent="0.35">
      <c r="K985" s="41"/>
      <c r="L985" s="41"/>
    </row>
    <row r="986" spans="11:12" x14ac:dyDescent="0.35">
      <c r="K986" s="41"/>
      <c r="L986" s="41"/>
    </row>
    <row r="987" spans="11:12" x14ac:dyDescent="0.35">
      <c r="K987" s="41"/>
      <c r="L987" s="41"/>
    </row>
    <row r="988" spans="11:12" x14ac:dyDescent="0.35">
      <c r="K988" s="41"/>
      <c r="L988" s="41"/>
    </row>
    <row r="989" spans="11:12" x14ac:dyDescent="0.35">
      <c r="K989" s="41"/>
      <c r="L989" s="41"/>
    </row>
    <row r="990" spans="11:12" x14ac:dyDescent="0.35">
      <c r="K990" s="41"/>
      <c r="L990" s="41"/>
    </row>
    <row r="991" spans="11:12" x14ac:dyDescent="0.35">
      <c r="K991" s="41"/>
      <c r="L991" s="41"/>
    </row>
    <row r="992" spans="11:12" x14ac:dyDescent="0.35">
      <c r="K992" s="41"/>
      <c r="L992" s="41"/>
    </row>
    <row r="993" spans="11:12" x14ac:dyDescent="0.35">
      <c r="K993" s="41"/>
      <c r="L993" s="41"/>
    </row>
    <row r="994" spans="11:12" x14ac:dyDescent="0.35">
      <c r="K994" s="41"/>
      <c r="L994" s="41"/>
    </row>
    <row r="995" spans="11:12" x14ac:dyDescent="0.35">
      <c r="K995" s="41"/>
      <c r="L995" s="41"/>
    </row>
    <row r="996" spans="11:12" x14ac:dyDescent="0.35">
      <c r="K996" s="41"/>
      <c r="L996" s="41"/>
    </row>
    <row r="997" spans="11:12" x14ac:dyDescent="0.35">
      <c r="K997" s="41"/>
      <c r="L997" s="41"/>
    </row>
    <row r="998" spans="11:12" x14ac:dyDescent="0.35">
      <c r="K998" s="41"/>
      <c r="L998" s="41"/>
    </row>
    <row r="999" spans="11:12" x14ac:dyDescent="0.35">
      <c r="K999" s="41"/>
      <c r="L999" s="41"/>
    </row>
    <row r="1000" spans="11:12" x14ac:dyDescent="0.35">
      <c r="K1000" s="41"/>
      <c r="L1000" s="41"/>
    </row>
    <row r="1001" spans="11:12" x14ac:dyDescent="0.35">
      <c r="K1001" s="41"/>
      <c r="L1001" s="41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A1:AD1500"/>
  <sheetViews>
    <sheetView zoomScale="110" zoomScaleNormal="110" workbookViewId="0">
      <pane ySplit="3" topLeftCell="A25" activePane="bottomLeft" state="frozen"/>
      <selection pane="bottomLeft" activeCell="H34" sqref="H34"/>
    </sheetView>
  </sheetViews>
  <sheetFormatPr defaultColWidth="12.26953125" defaultRowHeight="14.5" x14ac:dyDescent="0.35"/>
  <cols>
    <col min="1" max="1" width="9.453125" style="28" customWidth="1"/>
    <col min="2" max="3" width="13.453125" style="28" customWidth="1"/>
    <col min="4" max="4" width="15.81640625" style="28" bestFit="1" customWidth="1"/>
    <col min="5" max="11" width="13.453125" style="28" customWidth="1"/>
    <col min="12" max="13" width="13.453125" style="39" customWidth="1"/>
    <col min="19" max="19" width="15.1796875" bestFit="1" customWidth="1"/>
    <col min="31" max="16384" width="12.26953125" style="28"/>
  </cols>
  <sheetData>
    <row r="1" spans="1:20" x14ac:dyDescent="0.35">
      <c r="B1" s="27" t="s">
        <v>0</v>
      </c>
    </row>
    <row r="3" spans="1:20" x14ac:dyDescent="0.35"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55" t="s">
        <v>59</v>
      </c>
      <c r="I3" s="29" t="s">
        <v>7</v>
      </c>
      <c r="J3" s="29" t="s">
        <v>8</v>
      </c>
      <c r="K3" s="29" t="s">
        <v>9</v>
      </c>
      <c r="L3" s="40" t="s">
        <v>10</v>
      </c>
      <c r="M3" s="40" t="s">
        <v>11</v>
      </c>
      <c r="P3" s="45" t="s">
        <v>12</v>
      </c>
      <c r="Q3" s="44"/>
      <c r="S3" s="49" t="s">
        <v>6</v>
      </c>
      <c r="T3" s="50" t="s">
        <v>60</v>
      </c>
    </row>
    <row r="4" spans="1:20" x14ac:dyDescent="0.35">
      <c r="A4" s="28" t="s">
        <v>61</v>
      </c>
      <c r="B4" s="46">
        <v>1565</v>
      </c>
      <c r="C4" s="46">
        <v>15</v>
      </c>
      <c r="D4" s="46" t="s">
        <v>62</v>
      </c>
      <c r="E4" s="30" t="s">
        <v>63</v>
      </c>
      <c r="F4" s="46">
        <v>0</v>
      </c>
      <c r="G4" s="46"/>
      <c r="H4" s="56"/>
      <c r="I4" s="46">
        <v>5</v>
      </c>
      <c r="J4" s="46"/>
      <c r="K4" s="46"/>
      <c r="L4" s="41">
        <v>45206</v>
      </c>
      <c r="M4" s="47">
        <v>0.52777777777777779</v>
      </c>
      <c r="P4" s="34" t="s">
        <v>16</v>
      </c>
      <c r="Q4" s="35" t="s">
        <v>17</v>
      </c>
      <c r="R4" s="48" t="str">
        <f ca="1">IF(C4="","",IF(OR(L4="",AND(ISNUMBER(R4),C4=R4)),R4,C4))</f>
        <v/>
      </c>
      <c r="S4" s="51" t="s">
        <v>44</v>
      </c>
      <c r="T4" s="52">
        <v>3</v>
      </c>
    </row>
    <row r="5" spans="1:20" x14ac:dyDescent="0.35">
      <c r="A5" s="28" t="s">
        <v>61</v>
      </c>
      <c r="B5" s="46">
        <v>1570</v>
      </c>
      <c r="C5" s="46">
        <v>20</v>
      </c>
      <c r="D5" s="46" t="s">
        <v>62</v>
      </c>
      <c r="E5" s="30" t="s">
        <v>63</v>
      </c>
      <c r="F5" s="46">
        <v>0</v>
      </c>
      <c r="G5" s="46"/>
      <c r="H5" s="56"/>
      <c r="I5" s="46">
        <v>7</v>
      </c>
      <c r="J5" s="46"/>
      <c r="K5" s="46"/>
      <c r="L5" s="41">
        <v>45206</v>
      </c>
      <c r="M5" s="47">
        <v>0.55208333333333337</v>
      </c>
      <c r="P5" s="34" t="s">
        <v>20</v>
      </c>
      <c r="Q5" s="35" t="s">
        <v>21</v>
      </c>
      <c r="R5" s="48" t="str">
        <f t="shared" ref="R5" ca="1" si="0">IF(C5="","",IF(OR(L5="",AND(ISNUMBER(R5),C5=R5)),R5,C5))</f>
        <v/>
      </c>
      <c r="S5" s="51" t="s">
        <v>64</v>
      </c>
      <c r="T5" s="52">
        <v>2.5</v>
      </c>
    </row>
    <row r="6" spans="1:20" x14ac:dyDescent="0.35">
      <c r="A6" s="28" t="s">
        <v>61</v>
      </c>
      <c r="B6" s="46">
        <v>1575</v>
      </c>
      <c r="C6" s="46">
        <v>25</v>
      </c>
      <c r="D6" s="46" t="s">
        <v>62</v>
      </c>
      <c r="E6" s="30" t="s">
        <v>63</v>
      </c>
      <c r="F6" s="46">
        <v>0</v>
      </c>
      <c r="G6" s="46"/>
      <c r="H6" s="56"/>
      <c r="I6" s="46">
        <v>8</v>
      </c>
      <c r="J6" s="46"/>
      <c r="K6" s="46"/>
      <c r="L6" s="41">
        <v>45206</v>
      </c>
      <c r="M6" s="47">
        <v>0.56597222222222221</v>
      </c>
      <c r="P6" s="34" t="s">
        <v>22</v>
      </c>
      <c r="Q6" s="35" t="s">
        <v>23</v>
      </c>
      <c r="R6" s="48" t="str">
        <f t="shared" ref="R6:R69" ca="1" si="1">IF(C6="","",IF(OR(L6="",AND(ISNUMBER(R6),C6=R6)),R6,C6))</f>
        <v/>
      </c>
      <c r="S6" s="51" t="s">
        <v>43</v>
      </c>
      <c r="T6" s="52">
        <v>2</v>
      </c>
    </row>
    <row r="7" spans="1:20" x14ac:dyDescent="0.35">
      <c r="A7" s="28" t="s">
        <v>61</v>
      </c>
      <c r="B7" s="46">
        <v>1580</v>
      </c>
      <c r="C7" s="46">
        <v>20</v>
      </c>
      <c r="D7" s="46" t="s">
        <v>62</v>
      </c>
      <c r="E7" s="30" t="s">
        <v>63</v>
      </c>
      <c r="F7" s="46">
        <v>0</v>
      </c>
      <c r="G7" s="46"/>
      <c r="H7" s="56"/>
      <c r="I7" s="46">
        <v>5</v>
      </c>
      <c r="J7" s="46"/>
      <c r="K7" s="46"/>
      <c r="L7" s="41">
        <v>45206</v>
      </c>
      <c r="M7" s="47">
        <v>0.58333333333333337</v>
      </c>
      <c r="P7" s="34" t="s">
        <v>26</v>
      </c>
      <c r="Q7" s="35" t="s">
        <v>27</v>
      </c>
      <c r="R7" s="48" t="str">
        <f t="shared" ca="1" si="1"/>
        <v/>
      </c>
      <c r="S7" s="51" t="s">
        <v>65</v>
      </c>
      <c r="T7" s="52">
        <v>1.5</v>
      </c>
    </row>
    <row r="8" spans="1:20" x14ac:dyDescent="0.35">
      <c r="A8" s="28" t="s">
        <v>61</v>
      </c>
      <c r="B8" s="46">
        <v>1585</v>
      </c>
      <c r="C8" s="46">
        <v>15</v>
      </c>
      <c r="D8" s="46" t="s">
        <v>62</v>
      </c>
      <c r="E8" s="30" t="s">
        <v>63</v>
      </c>
      <c r="F8" s="46">
        <v>0</v>
      </c>
      <c r="G8" s="46"/>
      <c r="H8" s="56"/>
      <c r="I8" s="46">
        <v>5</v>
      </c>
      <c r="J8" s="46"/>
      <c r="K8" s="46"/>
      <c r="L8" s="41">
        <v>45206</v>
      </c>
      <c r="M8" s="47">
        <v>0.59375</v>
      </c>
      <c r="P8" s="34" t="s">
        <v>28</v>
      </c>
      <c r="Q8" s="35" t="s">
        <v>29</v>
      </c>
      <c r="R8" s="48" t="str">
        <f t="shared" ca="1" si="1"/>
        <v/>
      </c>
      <c r="S8" s="51" t="s">
        <v>66</v>
      </c>
      <c r="T8" s="52">
        <v>1</v>
      </c>
    </row>
    <row r="9" spans="1:20" x14ac:dyDescent="0.35">
      <c r="A9" s="28" t="s">
        <v>61</v>
      </c>
      <c r="B9" s="46">
        <v>1590</v>
      </c>
      <c r="C9" s="46">
        <v>15</v>
      </c>
      <c r="D9" s="46" t="s">
        <v>62</v>
      </c>
      <c r="E9" s="30" t="s">
        <v>63</v>
      </c>
      <c r="F9" s="46">
        <v>0</v>
      </c>
      <c r="G9" s="46"/>
      <c r="H9" s="56"/>
      <c r="I9" s="46">
        <v>8</v>
      </c>
      <c r="J9" s="46"/>
      <c r="K9" s="46"/>
      <c r="L9" s="41">
        <v>45206</v>
      </c>
      <c r="M9" s="47">
        <v>0.60416666666666663</v>
      </c>
      <c r="P9" s="34" t="s">
        <v>31</v>
      </c>
      <c r="Q9" s="35" t="s">
        <v>32</v>
      </c>
      <c r="R9" s="48" t="str">
        <f t="shared" ca="1" si="1"/>
        <v/>
      </c>
      <c r="S9" s="53" t="s">
        <v>48</v>
      </c>
      <c r="T9" s="54">
        <v>0.5</v>
      </c>
    </row>
    <row r="10" spans="1:20" x14ac:dyDescent="0.35">
      <c r="A10" s="28" t="s">
        <v>61</v>
      </c>
      <c r="B10" s="46">
        <v>1595</v>
      </c>
      <c r="C10" s="46">
        <v>30</v>
      </c>
      <c r="D10" s="46" t="s">
        <v>13</v>
      </c>
      <c r="E10" s="30" t="s">
        <v>14</v>
      </c>
      <c r="F10" s="46">
        <v>0</v>
      </c>
      <c r="G10" s="46"/>
      <c r="H10" s="56"/>
      <c r="I10" s="46">
        <v>9</v>
      </c>
      <c r="J10" s="46"/>
      <c r="K10" s="46"/>
      <c r="L10" s="41">
        <v>45206</v>
      </c>
      <c r="M10" s="47">
        <v>0.62847222222222221</v>
      </c>
      <c r="P10" s="34" t="s">
        <v>15</v>
      </c>
      <c r="Q10" s="35" t="s">
        <v>34</v>
      </c>
      <c r="R10" s="48" t="str">
        <f t="shared" ca="1" si="1"/>
        <v/>
      </c>
      <c r="S10" s="48" t="str">
        <f t="shared" ref="S10:S69" ca="1" si="2">IF(C10="","",IF(OR(M10="",AND(ISNUMBER(S10),C10=S10)),S10,C10))</f>
        <v/>
      </c>
    </row>
    <row r="11" spans="1:20" x14ac:dyDescent="0.35">
      <c r="A11" s="28" t="s">
        <v>61</v>
      </c>
      <c r="B11" s="46">
        <v>1600</v>
      </c>
      <c r="C11" s="46">
        <v>50</v>
      </c>
      <c r="D11" s="46" t="s">
        <v>13</v>
      </c>
      <c r="E11" s="30" t="s">
        <v>19</v>
      </c>
      <c r="F11" s="46">
        <v>0</v>
      </c>
      <c r="G11" s="46"/>
      <c r="H11" s="56"/>
      <c r="I11" s="46">
        <v>11</v>
      </c>
      <c r="J11" s="46"/>
      <c r="K11" s="46"/>
      <c r="L11" s="41">
        <v>45206</v>
      </c>
      <c r="M11" s="47">
        <v>0.64236111111111105</v>
      </c>
      <c r="P11" s="34" t="s">
        <v>35</v>
      </c>
      <c r="Q11" s="35" t="s">
        <v>36</v>
      </c>
      <c r="R11" s="48" t="str">
        <f t="shared" ca="1" si="1"/>
        <v/>
      </c>
      <c r="S11" s="48" t="str">
        <f t="shared" ca="1" si="2"/>
        <v/>
      </c>
    </row>
    <row r="12" spans="1:20" x14ac:dyDescent="0.35">
      <c r="A12" s="28" t="s">
        <v>61</v>
      </c>
      <c r="B12" s="46">
        <v>1605</v>
      </c>
      <c r="C12" s="46">
        <v>45</v>
      </c>
      <c r="D12" s="46" t="s">
        <v>13</v>
      </c>
      <c r="E12" s="30" t="s">
        <v>19</v>
      </c>
      <c r="F12" s="46">
        <v>0</v>
      </c>
      <c r="G12" s="46"/>
      <c r="H12" s="56"/>
      <c r="I12" s="46">
        <v>13</v>
      </c>
      <c r="J12" s="46"/>
      <c r="K12" s="46"/>
      <c r="L12" s="41">
        <v>45206</v>
      </c>
      <c r="M12" s="47">
        <v>0.64930555555555558</v>
      </c>
      <c r="P12" s="34" t="s">
        <v>25</v>
      </c>
      <c r="Q12" s="35" t="s">
        <v>37</v>
      </c>
      <c r="R12" s="48" t="str">
        <f t="shared" ca="1" si="1"/>
        <v/>
      </c>
      <c r="S12" s="48" t="str">
        <f t="shared" ca="1" si="2"/>
        <v/>
      </c>
    </row>
    <row r="13" spans="1:20" x14ac:dyDescent="0.35">
      <c r="A13" s="28" t="s">
        <v>61</v>
      </c>
      <c r="B13" s="46">
        <v>1610</v>
      </c>
      <c r="C13" s="46">
        <v>45</v>
      </c>
      <c r="D13" s="46" t="s">
        <v>13</v>
      </c>
      <c r="E13" s="30" t="s">
        <v>14</v>
      </c>
      <c r="F13" s="46">
        <v>0</v>
      </c>
      <c r="G13" s="46"/>
      <c r="H13" s="56"/>
      <c r="I13" s="46">
        <v>9</v>
      </c>
      <c r="J13" s="46"/>
      <c r="K13" s="46"/>
      <c r="L13" s="41">
        <v>45206</v>
      </c>
      <c r="M13" s="47">
        <v>0.66319444444444442</v>
      </c>
      <c r="P13" s="34" t="s">
        <v>39</v>
      </c>
      <c r="Q13" s="35" t="s">
        <v>40</v>
      </c>
      <c r="R13" s="48" t="str">
        <f t="shared" ca="1" si="1"/>
        <v/>
      </c>
      <c r="S13" s="48" t="str">
        <f t="shared" ca="1" si="2"/>
        <v/>
      </c>
    </row>
    <row r="14" spans="1:20" x14ac:dyDescent="0.35">
      <c r="A14" s="28" t="s">
        <v>61</v>
      </c>
      <c r="B14" s="46">
        <v>1615</v>
      </c>
      <c r="C14" s="46">
        <v>65</v>
      </c>
      <c r="D14" s="46" t="s">
        <v>13</v>
      </c>
      <c r="E14" s="30" t="s">
        <v>42</v>
      </c>
      <c r="F14" s="46">
        <v>15</v>
      </c>
      <c r="G14" s="46" t="s">
        <v>43</v>
      </c>
      <c r="H14" s="56">
        <f t="shared" ref="H14:H77" si="3">_xlfn.XLOOKUP(G14,$S$4:$S$9,$T$4:$T$9,"",0,1)</f>
        <v>2</v>
      </c>
      <c r="I14" s="46">
        <v>10</v>
      </c>
      <c r="J14" s="46"/>
      <c r="K14" s="46"/>
      <c r="L14" s="41">
        <v>45206</v>
      </c>
      <c r="M14" s="47">
        <v>0.69444444444444453</v>
      </c>
      <c r="P14" s="34" t="s">
        <v>44</v>
      </c>
      <c r="Q14" s="35" t="s">
        <v>45</v>
      </c>
      <c r="R14" s="48" t="str">
        <f t="shared" ca="1" si="1"/>
        <v/>
      </c>
      <c r="S14" s="48" t="str">
        <f t="shared" ca="1" si="2"/>
        <v/>
      </c>
    </row>
    <row r="15" spans="1:20" x14ac:dyDescent="0.35">
      <c r="A15" s="28" t="s">
        <v>61</v>
      </c>
      <c r="B15" s="46">
        <v>1620</v>
      </c>
      <c r="C15" s="46">
        <v>70</v>
      </c>
      <c r="D15" s="46" t="s">
        <v>13</v>
      </c>
      <c r="E15" s="30" t="s">
        <v>42</v>
      </c>
      <c r="F15" s="46">
        <v>50</v>
      </c>
      <c r="G15" s="46" t="s">
        <v>43</v>
      </c>
      <c r="H15" s="56">
        <f t="shared" si="3"/>
        <v>2</v>
      </c>
      <c r="I15" s="46">
        <v>21</v>
      </c>
      <c r="J15" s="46"/>
      <c r="K15" s="46"/>
      <c r="L15" s="41">
        <v>45206</v>
      </c>
      <c r="M15" s="47">
        <v>0.72569444444444453</v>
      </c>
      <c r="P15" s="34" t="s">
        <v>48</v>
      </c>
      <c r="Q15" s="35" t="s">
        <v>49</v>
      </c>
      <c r="R15" s="48" t="str">
        <f t="shared" ca="1" si="1"/>
        <v/>
      </c>
      <c r="S15" s="48" t="str">
        <f t="shared" ca="1" si="2"/>
        <v/>
      </c>
    </row>
    <row r="16" spans="1:20" x14ac:dyDescent="0.35">
      <c r="A16" s="28" t="s">
        <v>61</v>
      </c>
      <c r="B16" s="46">
        <v>1625</v>
      </c>
      <c r="C16" s="46">
        <v>70</v>
      </c>
      <c r="D16" s="46" t="s">
        <v>13</v>
      </c>
      <c r="E16" s="30" t="s">
        <v>42</v>
      </c>
      <c r="F16" s="46">
        <v>70</v>
      </c>
      <c r="G16" s="46" t="s">
        <v>43</v>
      </c>
      <c r="H16" s="56">
        <f t="shared" si="3"/>
        <v>2</v>
      </c>
      <c r="I16" s="46">
        <v>25</v>
      </c>
      <c r="J16" s="46"/>
      <c r="K16" s="46"/>
      <c r="L16" s="41">
        <v>45206</v>
      </c>
      <c r="M16" s="47">
        <v>0.73958333333333337</v>
      </c>
      <c r="P16" s="34" t="s">
        <v>50</v>
      </c>
      <c r="Q16" s="35" t="s">
        <v>51</v>
      </c>
      <c r="R16" s="48" t="str">
        <f t="shared" ca="1" si="1"/>
        <v/>
      </c>
      <c r="S16" s="48" t="str">
        <f t="shared" ca="1" si="2"/>
        <v/>
      </c>
    </row>
    <row r="17" spans="1:19" x14ac:dyDescent="0.35">
      <c r="A17" s="28" t="s">
        <v>61</v>
      </c>
      <c r="B17" s="46">
        <v>1630</v>
      </c>
      <c r="C17" s="46">
        <v>70</v>
      </c>
      <c r="D17" s="46" t="s">
        <v>13</v>
      </c>
      <c r="E17" s="30" t="s">
        <v>42</v>
      </c>
      <c r="F17" s="46">
        <v>100</v>
      </c>
      <c r="G17" s="46" t="s">
        <v>43</v>
      </c>
      <c r="H17" s="56">
        <f t="shared" si="3"/>
        <v>2</v>
      </c>
      <c r="I17" s="46">
        <v>22</v>
      </c>
      <c r="J17" s="46"/>
      <c r="K17" s="46"/>
      <c r="L17" s="41">
        <v>45206</v>
      </c>
      <c r="M17" s="47">
        <v>0.75347222222222221</v>
      </c>
      <c r="P17" s="34" t="s">
        <v>53</v>
      </c>
      <c r="Q17" s="35" t="s">
        <v>54</v>
      </c>
      <c r="R17" s="48" t="str">
        <f t="shared" ca="1" si="1"/>
        <v/>
      </c>
      <c r="S17" s="48" t="str">
        <f t="shared" ca="1" si="2"/>
        <v/>
      </c>
    </row>
    <row r="18" spans="1:19" x14ac:dyDescent="0.35">
      <c r="A18" s="28" t="s">
        <v>61</v>
      </c>
      <c r="B18" s="30">
        <v>1637</v>
      </c>
      <c r="C18" s="30">
        <v>70</v>
      </c>
      <c r="D18" s="30" t="s">
        <v>13</v>
      </c>
      <c r="E18" s="30" t="s">
        <v>42</v>
      </c>
      <c r="F18" s="46">
        <v>100</v>
      </c>
      <c r="G18" s="46" t="s">
        <v>43</v>
      </c>
      <c r="H18" s="56">
        <f t="shared" si="3"/>
        <v>2</v>
      </c>
      <c r="I18" s="46">
        <v>17</v>
      </c>
      <c r="J18" s="46"/>
      <c r="K18" s="46"/>
      <c r="L18" s="41">
        <v>45206</v>
      </c>
      <c r="M18" s="47">
        <v>0.78125</v>
      </c>
      <c r="P18" s="34" t="s">
        <v>55</v>
      </c>
      <c r="Q18" s="35" t="s">
        <v>56</v>
      </c>
      <c r="R18" s="48" t="str">
        <f t="shared" ca="1" si="1"/>
        <v/>
      </c>
      <c r="S18" s="48" t="str">
        <f t="shared" ca="1" si="2"/>
        <v/>
      </c>
    </row>
    <row r="19" spans="1:19" x14ac:dyDescent="0.35">
      <c r="A19" s="28" t="s">
        <v>61</v>
      </c>
      <c r="B19" s="30">
        <v>1640</v>
      </c>
      <c r="C19" s="30">
        <v>60</v>
      </c>
      <c r="D19" s="30" t="s">
        <v>13</v>
      </c>
      <c r="E19" s="30" t="s">
        <v>14</v>
      </c>
      <c r="F19" s="46">
        <v>50</v>
      </c>
      <c r="G19" s="46" t="s">
        <v>43</v>
      </c>
      <c r="H19" s="56">
        <f t="shared" si="3"/>
        <v>2</v>
      </c>
      <c r="I19" s="46">
        <v>13</v>
      </c>
      <c r="J19" s="46"/>
      <c r="K19" s="46"/>
      <c r="L19" s="41">
        <v>45207</v>
      </c>
      <c r="M19" s="47">
        <v>0.46527777777777773</v>
      </c>
      <c r="P19" s="36" t="s">
        <v>57</v>
      </c>
      <c r="Q19" s="37" t="s">
        <v>58</v>
      </c>
      <c r="R19" s="48" t="str">
        <f t="shared" ca="1" si="1"/>
        <v/>
      </c>
      <c r="S19" s="48" t="str">
        <f t="shared" ca="1" si="2"/>
        <v/>
      </c>
    </row>
    <row r="20" spans="1:19" x14ac:dyDescent="0.35">
      <c r="A20" s="28" t="s">
        <v>61</v>
      </c>
      <c r="B20" s="30">
        <v>1645</v>
      </c>
      <c r="C20" s="30">
        <v>40</v>
      </c>
      <c r="D20" s="30" t="s">
        <v>13</v>
      </c>
      <c r="E20" s="30" t="s">
        <v>14</v>
      </c>
      <c r="F20" s="46">
        <v>50</v>
      </c>
      <c r="G20" s="46" t="s">
        <v>43</v>
      </c>
      <c r="H20" s="56">
        <f t="shared" si="3"/>
        <v>2</v>
      </c>
      <c r="I20" s="46">
        <v>7</v>
      </c>
      <c r="J20" s="46"/>
      <c r="K20" s="46"/>
      <c r="L20" s="41">
        <v>45207</v>
      </c>
      <c r="M20" s="47">
        <v>0.47569444444444442</v>
      </c>
      <c r="R20" s="48" t="str">
        <f t="shared" ca="1" si="1"/>
        <v/>
      </c>
      <c r="S20" s="48" t="str">
        <f t="shared" ca="1" si="2"/>
        <v/>
      </c>
    </row>
    <row r="21" spans="1:19" x14ac:dyDescent="0.35">
      <c r="A21" s="28" t="s">
        <v>61</v>
      </c>
      <c r="B21" s="30">
        <v>1650</v>
      </c>
      <c r="C21" s="30">
        <v>30</v>
      </c>
      <c r="D21" s="30" t="s">
        <v>13</v>
      </c>
      <c r="E21" s="30" t="s">
        <v>42</v>
      </c>
      <c r="F21" s="46">
        <v>30</v>
      </c>
      <c r="G21" s="46" t="s">
        <v>43</v>
      </c>
      <c r="H21" s="56">
        <f t="shared" si="3"/>
        <v>2</v>
      </c>
      <c r="I21" s="46">
        <v>18</v>
      </c>
      <c r="J21" s="46"/>
      <c r="K21" s="46"/>
      <c r="L21" s="41">
        <v>45207</v>
      </c>
      <c r="M21" s="47">
        <v>0.49652777777777773</v>
      </c>
      <c r="R21" s="48" t="str">
        <f t="shared" ca="1" si="1"/>
        <v/>
      </c>
      <c r="S21" s="48" t="str">
        <f t="shared" ca="1" si="2"/>
        <v/>
      </c>
    </row>
    <row r="22" spans="1:19" x14ac:dyDescent="0.35">
      <c r="A22" s="28" t="s">
        <v>61</v>
      </c>
      <c r="B22" s="30">
        <v>1655</v>
      </c>
      <c r="C22" s="30">
        <v>30</v>
      </c>
      <c r="D22" s="30" t="s">
        <v>13</v>
      </c>
      <c r="E22" s="30" t="s">
        <v>42</v>
      </c>
      <c r="F22" s="46">
        <v>60</v>
      </c>
      <c r="G22" s="46" t="s">
        <v>43</v>
      </c>
      <c r="H22" s="56">
        <f t="shared" si="3"/>
        <v>2</v>
      </c>
      <c r="I22" s="46">
        <v>24</v>
      </c>
      <c r="J22" s="46"/>
      <c r="K22" s="46"/>
      <c r="L22" s="41">
        <v>45207</v>
      </c>
      <c r="M22" s="47">
        <v>0.51388888888888895</v>
      </c>
      <c r="R22" s="48" t="str">
        <f t="shared" ca="1" si="1"/>
        <v/>
      </c>
      <c r="S22" s="48" t="str">
        <f t="shared" ca="1" si="2"/>
        <v/>
      </c>
    </row>
    <row r="23" spans="1:19" x14ac:dyDescent="0.35">
      <c r="A23" s="28" t="s">
        <v>61</v>
      </c>
      <c r="B23" s="30">
        <v>1660</v>
      </c>
      <c r="C23" s="30">
        <v>40</v>
      </c>
      <c r="D23" s="30" t="s">
        <v>13</v>
      </c>
      <c r="E23" s="30" t="s">
        <v>42</v>
      </c>
      <c r="F23" s="46">
        <v>60</v>
      </c>
      <c r="G23" s="46" t="s">
        <v>43</v>
      </c>
      <c r="H23" s="56">
        <f t="shared" si="3"/>
        <v>2</v>
      </c>
      <c r="I23" s="46">
        <v>28</v>
      </c>
      <c r="J23" s="46"/>
      <c r="K23" s="46"/>
      <c r="L23" s="41">
        <v>45207</v>
      </c>
      <c r="M23" s="47">
        <v>0.52430555555555558</v>
      </c>
      <c r="R23" s="48" t="str">
        <f t="shared" ca="1" si="1"/>
        <v/>
      </c>
      <c r="S23" s="48" t="str">
        <f t="shared" ca="1" si="2"/>
        <v/>
      </c>
    </row>
    <row r="24" spans="1:19" x14ac:dyDescent="0.35">
      <c r="A24" s="28" t="s">
        <v>61</v>
      </c>
      <c r="B24" s="30">
        <v>1665</v>
      </c>
      <c r="C24" s="30">
        <v>40</v>
      </c>
      <c r="D24" s="30" t="s">
        <v>67</v>
      </c>
      <c r="E24" s="30" t="s">
        <v>42</v>
      </c>
      <c r="F24" s="46">
        <v>60</v>
      </c>
      <c r="G24" s="46" t="s">
        <v>43</v>
      </c>
      <c r="H24" s="56">
        <f t="shared" si="3"/>
        <v>2</v>
      </c>
      <c r="I24" s="46">
        <v>24</v>
      </c>
      <c r="J24" s="46"/>
      <c r="K24" s="46"/>
      <c r="L24" s="41">
        <v>45207</v>
      </c>
      <c r="M24" s="47">
        <v>0.53125</v>
      </c>
      <c r="R24" s="48" t="str">
        <f t="shared" ca="1" si="1"/>
        <v/>
      </c>
      <c r="S24" s="48" t="str">
        <f t="shared" ca="1" si="2"/>
        <v/>
      </c>
    </row>
    <row r="25" spans="1:19" x14ac:dyDescent="0.35">
      <c r="A25" s="28" t="s">
        <v>61</v>
      </c>
      <c r="B25" s="30">
        <v>1670</v>
      </c>
      <c r="C25" s="30">
        <v>50</v>
      </c>
      <c r="D25" s="30" t="s">
        <v>67</v>
      </c>
      <c r="E25" s="30" t="s">
        <v>19</v>
      </c>
      <c r="F25" s="46">
        <v>40</v>
      </c>
      <c r="G25" s="46" t="s">
        <v>43</v>
      </c>
      <c r="H25" s="56">
        <f t="shared" si="3"/>
        <v>2</v>
      </c>
      <c r="I25" s="46">
        <v>18</v>
      </c>
      <c r="J25" s="46"/>
      <c r="K25" s="46"/>
      <c r="L25" s="41">
        <v>45207</v>
      </c>
      <c r="M25" s="47">
        <v>0.54513888888888895</v>
      </c>
      <c r="R25" s="48" t="str">
        <f t="shared" ca="1" si="1"/>
        <v/>
      </c>
      <c r="S25" s="48" t="str">
        <f t="shared" ca="1" si="2"/>
        <v/>
      </c>
    </row>
    <row r="26" spans="1:19" x14ac:dyDescent="0.35">
      <c r="A26" s="28" t="s">
        <v>61</v>
      </c>
      <c r="B26" s="30">
        <v>1675</v>
      </c>
      <c r="C26" s="30">
        <v>35</v>
      </c>
      <c r="D26" s="30" t="s">
        <v>67</v>
      </c>
      <c r="E26" s="30" t="s">
        <v>42</v>
      </c>
      <c r="F26" s="46">
        <v>45</v>
      </c>
      <c r="G26" s="46" t="s">
        <v>43</v>
      </c>
      <c r="H26" s="56">
        <f t="shared" si="3"/>
        <v>2</v>
      </c>
      <c r="I26" s="46">
        <v>16</v>
      </c>
      <c r="J26" s="46"/>
      <c r="K26" s="46"/>
      <c r="L26" s="41">
        <v>45207</v>
      </c>
      <c r="M26" s="47">
        <v>0.56597222222222221</v>
      </c>
      <c r="R26" s="48" t="str">
        <f t="shared" ca="1" si="1"/>
        <v/>
      </c>
      <c r="S26" s="48" t="str">
        <f t="shared" ca="1" si="2"/>
        <v/>
      </c>
    </row>
    <row r="27" spans="1:19" x14ac:dyDescent="0.35">
      <c r="A27" s="28" t="s">
        <v>61</v>
      </c>
      <c r="B27" s="30">
        <v>1680</v>
      </c>
      <c r="C27" s="30">
        <v>35</v>
      </c>
      <c r="D27" s="30" t="s">
        <v>67</v>
      </c>
      <c r="E27" s="30" t="s">
        <v>42</v>
      </c>
      <c r="F27" s="46">
        <v>50</v>
      </c>
      <c r="G27" s="46" t="s">
        <v>43</v>
      </c>
      <c r="H27" s="56">
        <f t="shared" si="3"/>
        <v>2</v>
      </c>
      <c r="I27" s="46">
        <v>23</v>
      </c>
      <c r="J27" s="46"/>
      <c r="K27" s="46"/>
      <c r="L27" s="41">
        <v>45207</v>
      </c>
      <c r="M27" s="47">
        <v>0.57638888888888895</v>
      </c>
      <c r="R27" s="48" t="str">
        <f t="shared" ca="1" si="1"/>
        <v/>
      </c>
      <c r="S27" s="48" t="str">
        <f t="shared" ca="1" si="2"/>
        <v/>
      </c>
    </row>
    <row r="28" spans="1:19" x14ac:dyDescent="0.35">
      <c r="A28" s="28" t="s">
        <v>61</v>
      </c>
      <c r="B28" s="30">
        <v>1685</v>
      </c>
      <c r="C28" s="30">
        <v>30</v>
      </c>
      <c r="D28" s="30" t="s">
        <v>67</v>
      </c>
      <c r="E28" s="30" t="s">
        <v>42</v>
      </c>
      <c r="F28" s="46">
        <v>60</v>
      </c>
      <c r="G28" s="46" t="s">
        <v>43</v>
      </c>
      <c r="H28" s="56">
        <f t="shared" si="3"/>
        <v>2</v>
      </c>
      <c r="I28" s="46">
        <v>20</v>
      </c>
      <c r="J28" s="46"/>
      <c r="K28" s="46"/>
      <c r="L28" s="41">
        <v>45207</v>
      </c>
      <c r="M28" s="47">
        <v>0.59027777777777779</v>
      </c>
      <c r="R28" s="48" t="str">
        <f t="shared" ca="1" si="1"/>
        <v/>
      </c>
      <c r="S28" s="48" t="str">
        <f t="shared" ca="1" si="2"/>
        <v/>
      </c>
    </row>
    <row r="29" spans="1:19" x14ac:dyDescent="0.35">
      <c r="A29" s="28" t="s">
        <v>61</v>
      </c>
      <c r="B29" s="30">
        <v>1690</v>
      </c>
      <c r="C29" s="30">
        <v>30</v>
      </c>
      <c r="D29" s="30" t="s">
        <v>67</v>
      </c>
      <c r="E29" s="30" t="s">
        <v>42</v>
      </c>
      <c r="F29" s="46">
        <v>50</v>
      </c>
      <c r="G29" s="46" t="s">
        <v>43</v>
      </c>
      <c r="H29" s="56">
        <f t="shared" si="3"/>
        <v>2</v>
      </c>
      <c r="I29" s="46">
        <v>25</v>
      </c>
      <c r="J29" s="46"/>
      <c r="K29" s="46"/>
      <c r="L29" s="41">
        <v>45207</v>
      </c>
      <c r="M29" s="47">
        <v>0.60069444444444442</v>
      </c>
      <c r="R29" s="48" t="str">
        <f t="shared" ca="1" si="1"/>
        <v/>
      </c>
      <c r="S29" s="48" t="str">
        <f t="shared" ca="1" si="2"/>
        <v/>
      </c>
    </row>
    <row r="30" spans="1:19" x14ac:dyDescent="0.35">
      <c r="A30" s="28" t="s">
        <v>61</v>
      </c>
      <c r="B30" s="30">
        <v>1695</v>
      </c>
      <c r="C30" s="30">
        <v>60</v>
      </c>
      <c r="D30" s="30" t="s">
        <v>67</v>
      </c>
      <c r="E30" s="30" t="s">
        <v>42</v>
      </c>
      <c r="F30" s="46">
        <v>50</v>
      </c>
      <c r="G30" s="46" t="s">
        <v>43</v>
      </c>
      <c r="H30" s="56">
        <f t="shared" si="3"/>
        <v>2</v>
      </c>
      <c r="I30" s="46">
        <v>47</v>
      </c>
      <c r="J30" s="46"/>
      <c r="K30" s="46"/>
      <c r="L30" s="41">
        <v>45207</v>
      </c>
      <c r="M30" s="47">
        <v>0.61805555555555558</v>
      </c>
      <c r="R30" s="48" t="str">
        <f t="shared" ca="1" si="1"/>
        <v/>
      </c>
      <c r="S30" s="48" t="str">
        <f t="shared" ca="1" si="2"/>
        <v/>
      </c>
    </row>
    <row r="31" spans="1:19" x14ac:dyDescent="0.35">
      <c r="A31" s="28" t="s">
        <v>61</v>
      </c>
      <c r="B31" s="30">
        <v>1700</v>
      </c>
      <c r="C31" s="30">
        <v>75</v>
      </c>
      <c r="D31" s="30" t="s">
        <v>13</v>
      </c>
      <c r="E31" s="30" t="s">
        <v>19</v>
      </c>
      <c r="F31" s="46">
        <v>60</v>
      </c>
      <c r="G31" s="46" t="s">
        <v>43</v>
      </c>
      <c r="H31" s="56">
        <f t="shared" si="3"/>
        <v>2</v>
      </c>
      <c r="I31" s="46">
        <v>65</v>
      </c>
      <c r="J31" s="46"/>
      <c r="K31" s="46"/>
      <c r="L31" s="41">
        <v>45207</v>
      </c>
      <c r="M31" s="47">
        <v>0.62847222222222221</v>
      </c>
      <c r="R31" s="48" t="str">
        <f t="shared" ca="1" si="1"/>
        <v/>
      </c>
      <c r="S31" s="48" t="str">
        <f t="shared" ca="1" si="2"/>
        <v/>
      </c>
    </row>
    <row r="32" spans="1:19" x14ac:dyDescent="0.35">
      <c r="A32" s="28" t="s">
        <v>61</v>
      </c>
      <c r="B32" s="30">
        <v>1705</v>
      </c>
      <c r="C32" s="30">
        <v>70</v>
      </c>
      <c r="D32" s="30" t="s">
        <v>13</v>
      </c>
      <c r="E32" s="30" t="s">
        <v>19</v>
      </c>
      <c r="F32" s="46">
        <v>70</v>
      </c>
      <c r="G32" s="46" t="s">
        <v>64</v>
      </c>
      <c r="H32" s="56">
        <f t="shared" si="3"/>
        <v>2.5</v>
      </c>
      <c r="I32" s="46">
        <v>55</v>
      </c>
      <c r="J32" s="46"/>
      <c r="K32" s="46"/>
      <c r="L32" s="41">
        <v>45207</v>
      </c>
      <c r="M32" s="47">
        <v>0.63888888888888895</v>
      </c>
      <c r="R32" s="48" t="str">
        <f t="shared" ca="1" si="1"/>
        <v/>
      </c>
      <c r="S32" s="48" t="str">
        <f t="shared" ca="1" si="2"/>
        <v/>
      </c>
    </row>
    <row r="33" spans="1:19" x14ac:dyDescent="0.35">
      <c r="A33" s="28" t="s">
        <v>61</v>
      </c>
      <c r="B33" s="30">
        <v>1710</v>
      </c>
      <c r="C33" s="30">
        <v>70</v>
      </c>
      <c r="D33" s="30" t="s">
        <v>13</v>
      </c>
      <c r="E33" s="30" t="s">
        <v>14</v>
      </c>
      <c r="F33" s="46">
        <v>100</v>
      </c>
      <c r="G33" s="46" t="s">
        <v>44</v>
      </c>
      <c r="H33" s="56">
        <f t="shared" si="3"/>
        <v>3</v>
      </c>
      <c r="I33" s="46">
        <v>145</v>
      </c>
      <c r="J33" s="46"/>
      <c r="K33" s="46"/>
      <c r="L33" s="41">
        <v>45207</v>
      </c>
      <c r="M33" s="47">
        <v>0.68402777777777779</v>
      </c>
      <c r="R33" s="48" t="str">
        <f t="shared" ca="1" si="1"/>
        <v/>
      </c>
      <c r="S33" s="48" t="str">
        <f t="shared" ca="1" si="2"/>
        <v/>
      </c>
    </row>
    <row r="34" spans="1:19" x14ac:dyDescent="0.35">
      <c r="A34" s="28" t="s">
        <v>61</v>
      </c>
      <c r="B34" s="30">
        <v>1715</v>
      </c>
      <c r="C34" s="30">
        <v>85</v>
      </c>
      <c r="D34" s="30" t="s">
        <v>13</v>
      </c>
      <c r="E34" s="30" t="s">
        <v>14</v>
      </c>
      <c r="F34" s="46">
        <v>100</v>
      </c>
      <c r="G34" s="46" t="s">
        <v>44</v>
      </c>
      <c r="H34" s="56">
        <f t="shared" si="3"/>
        <v>3</v>
      </c>
      <c r="I34" s="46">
        <v>190</v>
      </c>
      <c r="J34" s="46"/>
      <c r="K34" s="46"/>
      <c r="L34" s="41">
        <v>45207</v>
      </c>
      <c r="M34" s="47">
        <v>0.69791666666666663</v>
      </c>
      <c r="R34" s="48" t="str">
        <f t="shared" ca="1" si="1"/>
        <v/>
      </c>
      <c r="S34" s="48" t="str">
        <f t="shared" ca="1" si="2"/>
        <v/>
      </c>
    </row>
    <row r="35" spans="1:19" x14ac:dyDescent="0.35">
      <c r="A35" s="28" t="s">
        <v>61</v>
      </c>
      <c r="B35" s="30">
        <v>1720</v>
      </c>
      <c r="C35" s="30">
        <v>90</v>
      </c>
      <c r="D35" s="30" t="s">
        <v>13</v>
      </c>
      <c r="E35" s="30" t="s">
        <v>14</v>
      </c>
      <c r="F35" s="46">
        <v>100</v>
      </c>
      <c r="G35" s="46" t="s">
        <v>44</v>
      </c>
      <c r="H35" s="56">
        <f t="shared" si="3"/>
        <v>3</v>
      </c>
      <c r="I35" s="46">
        <v>230</v>
      </c>
      <c r="J35" s="46"/>
      <c r="K35" s="46"/>
      <c r="L35" s="41">
        <v>45207</v>
      </c>
      <c r="M35" s="47">
        <v>0.71527777777777779</v>
      </c>
      <c r="R35" s="48" t="str">
        <f t="shared" ca="1" si="1"/>
        <v/>
      </c>
      <c r="S35" s="48" t="str">
        <f t="shared" ca="1" si="2"/>
        <v/>
      </c>
    </row>
    <row r="36" spans="1:19" x14ac:dyDescent="0.35">
      <c r="A36" s="28" t="s">
        <v>61</v>
      </c>
      <c r="B36" s="30">
        <v>1725</v>
      </c>
      <c r="C36" s="38">
        <v>100</v>
      </c>
      <c r="D36" s="30" t="s">
        <v>13</v>
      </c>
      <c r="E36" s="30" t="s">
        <v>14</v>
      </c>
      <c r="F36" s="46">
        <v>100</v>
      </c>
      <c r="G36" s="46" t="s">
        <v>44</v>
      </c>
      <c r="H36" s="56">
        <f t="shared" si="3"/>
        <v>3</v>
      </c>
      <c r="I36" s="46">
        <v>200</v>
      </c>
      <c r="J36" s="46"/>
      <c r="K36" s="46"/>
      <c r="L36" s="41">
        <v>45207</v>
      </c>
      <c r="M36" s="47">
        <v>0.72569444444444453</v>
      </c>
      <c r="R36" s="48" t="str">
        <f t="shared" ca="1" si="1"/>
        <v/>
      </c>
      <c r="S36" s="48" t="str">
        <f t="shared" ca="1" si="2"/>
        <v/>
      </c>
    </row>
    <row r="37" spans="1:19" x14ac:dyDescent="0.35">
      <c r="A37" s="28" t="s">
        <v>61</v>
      </c>
      <c r="B37" s="30">
        <v>1730</v>
      </c>
      <c r="C37" s="38">
        <v>95</v>
      </c>
      <c r="D37" s="30" t="s">
        <v>13</v>
      </c>
      <c r="E37" s="30" t="s">
        <v>14</v>
      </c>
      <c r="F37" s="46">
        <v>100</v>
      </c>
      <c r="G37" s="46" t="s">
        <v>44</v>
      </c>
      <c r="H37" s="56">
        <f t="shared" si="3"/>
        <v>3</v>
      </c>
      <c r="I37" s="46">
        <v>215</v>
      </c>
      <c r="J37" s="46"/>
      <c r="K37" s="46"/>
      <c r="L37" s="41">
        <v>45207</v>
      </c>
      <c r="M37" s="47">
        <v>0.73611111111111116</v>
      </c>
      <c r="R37" s="48" t="str">
        <f t="shared" ca="1" si="1"/>
        <v/>
      </c>
      <c r="S37" s="48" t="str">
        <f t="shared" ca="1" si="2"/>
        <v/>
      </c>
    </row>
    <row r="38" spans="1:19" x14ac:dyDescent="0.35">
      <c r="A38" s="28" t="s">
        <v>61</v>
      </c>
      <c r="B38" s="30">
        <v>1735</v>
      </c>
      <c r="C38" s="38">
        <v>100</v>
      </c>
      <c r="D38" s="38" t="s">
        <v>13</v>
      </c>
      <c r="E38" s="30" t="s">
        <v>14</v>
      </c>
      <c r="F38" s="46">
        <v>100</v>
      </c>
      <c r="G38" s="46" t="s">
        <v>44</v>
      </c>
      <c r="H38" s="56">
        <f t="shared" si="3"/>
        <v>3</v>
      </c>
      <c r="I38" s="46">
        <v>164</v>
      </c>
      <c r="J38" s="46"/>
      <c r="K38" s="46"/>
      <c r="L38" s="41">
        <v>45207</v>
      </c>
      <c r="M38" s="47">
        <v>0.74652777777777779</v>
      </c>
      <c r="R38" s="48" t="str">
        <f t="shared" ca="1" si="1"/>
        <v/>
      </c>
      <c r="S38" s="48" t="str">
        <f t="shared" ca="1" si="2"/>
        <v/>
      </c>
    </row>
    <row r="39" spans="1:19" x14ac:dyDescent="0.35">
      <c r="A39" s="28" t="s">
        <v>61</v>
      </c>
      <c r="B39" s="30">
        <v>1740</v>
      </c>
      <c r="C39" s="38">
        <v>95</v>
      </c>
      <c r="D39" s="38" t="s">
        <v>68</v>
      </c>
      <c r="E39" s="30" t="s">
        <v>14</v>
      </c>
      <c r="F39" s="46">
        <v>100</v>
      </c>
      <c r="G39" s="46" t="s">
        <v>44</v>
      </c>
      <c r="H39" s="56">
        <f t="shared" si="3"/>
        <v>3</v>
      </c>
      <c r="I39" s="46">
        <v>233</v>
      </c>
      <c r="J39" s="46"/>
      <c r="K39" s="46"/>
      <c r="L39" s="41">
        <v>45207</v>
      </c>
      <c r="M39" s="47">
        <v>0.76388888888888884</v>
      </c>
      <c r="R39" s="48" t="str">
        <f t="shared" ca="1" si="1"/>
        <v/>
      </c>
      <c r="S39" s="48" t="str">
        <f t="shared" ca="1" si="2"/>
        <v/>
      </c>
    </row>
    <row r="40" spans="1:19" x14ac:dyDescent="0.35">
      <c r="A40" s="28" t="s">
        <v>61</v>
      </c>
      <c r="B40" s="30">
        <v>1745</v>
      </c>
      <c r="C40" s="38">
        <v>95</v>
      </c>
      <c r="D40" s="38" t="s">
        <v>16</v>
      </c>
      <c r="E40" s="30" t="s">
        <v>14</v>
      </c>
      <c r="F40" s="46">
        <v>100</v>
      </c>
      <c r="G40" s="46" t="s">
        <v>44</v>
      </c>
      <c r="H40" s="56">
        <f t="shared" si="3"/>
        <v>3</v>
      </c>
      <c r="I40" s="46">
        <v>233</v>
      </c>
      <c r="J40" s="46"/>
      <c r="K40" s="46"/>
      <c r="L40" s="41">
        <v>45207</v>
      </c>
      <c r="M40" s="47">
        <v>0.77430555555555547</v>
      </c>
      <c r="R40" s="48" t="str">
        <f t="shared" ca="1" si="1"/>
        <v/>
      </c>
      <c r="S40" s="48" t="str">
        <f t="shared" ca="1" si="2"/>
        <v/>
      </c>
    </row>
    <row r="41" spans="1:19" x14ac:dyDescent="0.35">
      <c r="A41" s="28" t="s">
        <v>61</v>
      </c>
      <c r="B41" s="30">
        <v>1750</v>
      </c>
      <c r="C41" s="38">
        <v>100</v>
      </c>
      <c r="D41" s="38" t="s">
        <v>67</v>
      </c>
      <c r="E41" s="30" t="s">
        <v>19</v>
      </c>
      <c r="F41" s="46">
        <v>100</v>
      </c>
      <c r="G41" s="46" t="s">
        <v>44</v>
      </c>
      <c r="H41" s="56">
        <f t="shared" si="3"/>
        <v>3</v>
      </c>
      <c r="I41" s="46">
        <v>279</v>
      </c>
      <c r="J41" s="46"/>
      <c r="K41" s="46"/>
      <c r="L41" s="41">
        <v>45207</v>
      </c>
      <c r="M41" s="47">
        <v>0.78125</v>
      </c>
      <c r="R41" s="48" t="str">
        <f t="shared" ca="1" si="1"/>
        <v/>
      </c>
      <c r="S41" s="48" t="str">
        <f t="shared" ca="1" si="2"/>
        <v/>
      </c>
    </row>
    <row r="42" spans="1:19" x14ac:dyDescent="0.35">
      <c r="A42" s="28" t="s">
        <v>61</v>
      </c>
      <c r="B42" s="30">
        <v>1755</v>
      </c>
      <c r="C42" s="38">
        <v>90</v>
      </c>
      <c r="D42" s="38" t="s">
        <v>69</v>
      </c>
      <c r="E42" s="30" t="s">
        <v>42</v>
      </c>
      <c r="F42" s="46">
        <v>100</v>
      </c>
      <c r="G42" s="46" t="s">
        <v>44</v>
      </c>
      <c r="H42" s="56">
        <f t="shared" si="3"/>
        <v>3</v>
      </c>
      <c r="I42" s="46">
        <v>229</v>
      </c>
      <c r="J42" s="46"/>
      <c r="K42" s="46"/>
      <c r="L42" s="41">
        <v>45207</v>
      </c>
      <c r="M42" s="47">
        <v>0.80208333333333337</v>
      </c>
      <c r="R42" s="48" t="str">
        <f t="shared" ca="1" si="1"/>
        <v/>
      </c>
      <c r="S42" s="48" t="str">
        <f t="shared" ca="1" si="2"/>
        <v/>
      </c>
    </row>
    <row r="43" spans="1:19" x14ac:dyDescent="0.35">
      <c r="A43" s="28" t="s">
        <v>61</v>
      </c>
      <c r="B43" s="30">
        <v>1760</v>
      </c>
      <c r="C43" s="38">
        <v>100</v>
      </c>
      <c r="D43" s="38" t="s">
        <v>69</v>
      </c>
      <c r="E43" s="30" t="s">
        <v>42</v>
      </c>
      <c r="F43" s="46">
        <v>100</v>
      </c>
      <c r="G43" s="46" t="s">
        <v>44</v>
      </c>
      <c r="H43" s="56">
        <f t="shared" si="3"/>
        <v>3</v>
      </c>
      <c r="I43" s="46">
        <v>265</v>
      </c>
      <c r="J43" s="46"/>
      <c r="K43" s="46"/>
      <c r="L43" s="41">
        <v>45207</v>
      </c>
      <c r="M43" s="47">
        <v>0.81944444444444453</v>
      </c>
      <c r="R43" s="48" t="str">
        <f t="shared" ca="1" si="1"/>
        <v/>
      </c>
      <c r="S43" s="48" t="str">
        <f t="shared" ca="1" si="2"/>
        <v/>
      </c>
    </row>
    <row r="44" spans="1:19" x14ac:dyDescent="0.35">
      <c r="A44" s="28" t="s">
        <v>61</v>
      </c>
      <c r="B44" s="30">
        <v>1770</v>
      </c>
      <c r="C44" s="38">
        <v>100</v>
      </c>
      <c r="D44" s="38" t="s">
        <v>67</v>
      </c>
      <c r="E44" s="30" t="s">
        <v>19</v>
      </c>
      <c r="F44" s="46">
        <v>100</v>
      </c>
      <c r="G44" s="46" t="s">
        <v>44</v>
      </c>
      <c r="H44" s="56">
        <f t="shared" si="3"/>
        <v>3</v>
      </c>
      <c r="I44" s="46">
        <v>224</v>
      </c>
      <c r="J44" s="46"/>
      <c r="K44" s="46"/>
      <c r="L44" s="41">
        <v>45207</v>
      </c>
      <c r="M44" s="47">
        <v>0.84027777777777779</v>
      </c>
      <c r="R44" s="48" t="str">
        <f t="shared" ca="1" si="1"/>
        <v/>
      </c>
      <c r="S44" s="48" t="str">
        <f t="shared" ca="1" si="2"/>
        <v/>
      </c>
    </row>
    <row r="45" spans="1:19" x14ac:dyDescent="0.35">
      <c r="A45" s="28" t="s">
        <v>61</v>
      </c>
      <c r="B45" s="30">
        <v>1780</v>
      </c>
      <c r="C45" s="38">
        <v>100</v>
      </c>
      <c r="D45" s="38" t="s">
        <v>69</v>
      </c>
      <c r="E45" s="30" t="s">
        <v>42</v>
      </c>
      <c r="F45" s="46">
        <v>100</v>
      </c>
      <c r="G45" s="46" t="s">
        <v>44</v>
      </c>
      <c r="H45" s="56">
        <f t="shared" si="3"/>
        <v>3</v>
      </c>
      <c r="I45" s="46">
        <v>204</v>
      </c>
      <c r="J45" s="46"/>
      <c r="K45" s="46"/>
      <c r="L45" s="41">
        <v>45207</v>
      </c>
      <c r="M45" s="47">
        <v>0.875</v>
      </c>
      <c r="R45" s="48" t="str">
        <f t="shared" ca="1" si="1"/>
        <v/>
      </c>
      <c r="S45" s="48" t="str">
        <f t="shared" ca="1" si="2"/>
        <v/>
      </c>
    </row>
    <row r="46" spans="1:19" x14ac:dyDescent="0.35">
      <c r="A46" s="28" t="s">
        <v>61</v>
      </c>
      <c r="B46" s="30">
        <v>1790</v>
      </c>
      <c r="C46" s="38">
        <v>100</v>
      </c>
      <c r="D46" s="38" t="s">
        <v>67</v>
      </c>
      <c r="E46" s="30" t="s">
        <v>19</v>
      </c>
      <c r="F46" s="46">
        <v>100</v>
      </c>
      <c r="G46" s="46" t="s">
        <v>64</v>
      </c>
      <c r="H46" s="56">
        <f t="shared" si="3"/>
        <v>2.5</v>
      </c>
      <c r="I46" s="46">
        <v>237</v>
      </c>
      <c r="J46" s="46"/>
      <c r="K46" s="46"/>
      <c r="L46" s="41">
        <v>45207</v>
      </c>
      <c r="M46" s="47">
        <v>0.89583333333333337</v>
      </c>
      <c r="R46" s="48" t="str">
        <f t="shared" ca="1" si="1"/>
        <v/>
      </c>
      <c r="S46" s="48" t="str">
        <f t="shared" ca="1" si="2"/>
        <v/>
      </c>
    </row>
    <row r="47" spans="1:19" x14ac:dyDescent="0.35">
      <c r="A47" s="28" t="s">
        <v>61</v>
      </c>
      <c r="B47" s="30">
        <v>1800</v>
      </c>
      <c r="C47" s="38">
        <v>100</v>
      </c>
      <c r="D47" s="38" t="s">
        <v>67</v>
      </c>
      <c r="E47" s="30" t="s">
        <v>19</v>
      </c>
      <c r="F47" s="46">
        <v>100</v>
      </c>
      <c r="G47" s="46" t="s">
        <v>64</v>
      </c>
      <c r="H47" s="56">
        <f t="shared" si="3"/>
        <v>2.5</v>
      </c>
      <c r="I47" s="46">
        <v>258</v>
      </c>
      <c r="J47" s="46"/>
      <c r="K47" s="46"/>
      <c r="L47" s="41">
        <v>45207</v>
      </c>
      <c r="M47" s="47">
        <v>0.92013888888888884</v>
      </c>
      <c r="R47" s="48" t="str">
        <f t="shared" ca="1" si="1"/>
        <v/>
      </c>
      <c r="S47" s="48" t="str">
        <f t="shared" ca="1" si="2"/>
        <v/>
      </c>
    </row>
    <row r="48" spans="1:19" x14ac:dyDescent="0.35">
      <c r="A48" s="28" t="s">
        <v>61</v>
      </c>
      <c r="B48" s="30">
        <v>1810</v>
      </c>
      <c r="C48" s="38">
        <v>100</v>
      </c>
      <c r="D48" s="38" t="s">
        <v>67</v>
      </c>
      <c r="E48" s="30" t="s">
        <v>19</v>
      </c>
      <c r="F48" s="46">
        <v>100</v>
      </c>
      <c r="G48" s="46" t="s">
        <v>44</v>
      </c>
      <c r="H48" s="56">
        <f t="shared" si="3"/>
        <v>3</v>
      </c>
      <c r="I48" s="46">
        <v>215</v>
      </c>
      <c r="J48" s="46"/>
      <c r="K48" s="46"/>
      <c r="L48" s="41">
        <v>45207</v>
      </c>
      <c r="M48" s="47">
        <v>0.9375</v>
      </c>
      <c r="R48" s="48" t="str">
        <f t="shared" ca="1" si="1"/>
        <v/>
      </c>
      <c r="S48" s="48" t="str">
        <f t="shared" ca="1" si="2"/>
        <v/>
      </c>
    </row>
    <row r="49" spans="1:19" x14ac:dyDescent="0.35">
      <c r="A49" s="28" t="s">
        <v>61</v>
      </c>
      <c r="B49" s="30">
        <v>1820</v>
      </c>
      <c r="C49" s="38">
        <v>100</v>
      </c>
      <c r="D49" s="38" t="s">
        <v>70</v>
      </c>
      <c r="E49" s="30" t="s">
        <v>19</v>
      </c>
      <c r="F49" s="46">
        <v>100</v>
      </c>
      <c r="G49" s="46" t="s">
        <v>44</v>
      </c>
      <c r="H49" s="56">
        <f t="shared" si="3"/>
        <v>3</v>
      </c>
      <c r="I49" s="46">
        <v>259</v>
      </c>
      <c r="J49" s="46"/>
      <c r="K49" s="46"/>
      <c r="L49" s="41">
        <v>45207</v>
      </c>
      <c r="M49" s="47">
        <v>0.95833333333333337</v>
      </c>
      <c r="R49" s="48" t="str">
        <f t="shared" ca="1" si="1"/>
        <v/>
      </c>
      <c r="S49" s="48" t="str">
        <f t="shared" ca="1" si="2"/>
        <v/>
      </c>
    </row>
    <row r="50" spans="1:19" x14ac:dyDescent="0.35">
      <c r="A50" s="28" t="s">
        <v>61</v>
      </c>
      <c r="B50" s="30">
        <v>1830</v>
      </c>
      <c r="C50" s="38">
        <v>100</v>
      </c>
      <c r="D50" s="38" t="s">
        <v>70</v>
      </c>
      <c r="E50" s="30" t="s">
        <v>19</v>
      </c>
      <c r="F50" s="46">
        <v>100</v>
      </c>
      <c r="G50" s="46" t="s">
        <v>44</v>
      </c>
      <c r="H50" s="56">
        <f t="shared" si="3"/>
        <v>3</v>
      </c>
      <c r="I50" s="46">
        <v>232</v>
      </c>
      <c r="J50" s="46"/>
      <c r="K50" s="46"/>
      <c r="L50" s="41">
        <v>45207</v>
      </c>
      <c r="M50" s="47">
        <v>0.98263888888888884</v>
      </c>
      <c r="R50" s="48" t="str">
        <f t="shared" ca="1" si="1"/>
        <v/>
      </c>
      <c r="S50" s="48" t="str">
        <f t="shared" ca="1" si="2"/>
        <v/>
      </c>
    </row>
    <row r="51" spans="1:19" x14ac:dyDescent="0.35">
      <c r="A51" s="28" t="s">
        <v>61</v>
      </c>
      <c r="B51" s="30">
        <v>1840</v>
      </c>
      <c r="C51" s="38">
        <v>100</v>
      </c>
      <c r="D51" s="38" t="s">
        <v>67</v>
      </c>
      <c r="E51" s="30" t="s">
        <v>19</v>
      </c>
      <c r="F51" s="46">
        <v>100</v>
      </c>
      <c r="G51" s="46" t="s">
        <v>44</v>
      </c>
      <c r="H51" s="56">
        <f t="shared" si="3"/>
        <v>3</v>
      </c>
      <c r="I51" s="46">
        <v>364</v>
      </c>
      <c r="J51" s="46"/>
      <c r="K51" s="46"/>
      <c r="L51" s="41">
        <v>45208</v>
      </c>
      <c r="M51" s="47">
        <v>3.472222222222222E-3</v>
      </c>
      <c r="R51" s="48" t="str">
        <f t="shared" ca="1" si="1"/>
        <v/>
      </c>
      <c r="S51" s="48" t="str">
        <f t="shared" ca="1" si="2"/>
        <v/>
      </c>
    </row>
    <row r="52" spans="1:19" x14ac:dyDescent="0.35">
      <c r="A52" s="28" t="s">
        <v>61</v>
      </c>
      <c r="B52" s="30">
        <v>1850</v>
      </c>
      <c r="C52" s="38">
        <v>100</v>
      </c>
      <c r="D52" s="38" t="s">
        <v>13</v>
      </c>
      <c r="E52" s="30" t="s">
        <v>14</v>
      </c>
      <c r="F52" s="46">
        <v>100</v>
      </c>
      <c r="G52" s="46" t="s">
        <v>44</v>
      </c>
      <c r="H52" s="56">
        <f t="shared" si="3"/>
        <v>3</v>
      </c>
      <c r="I52" s="46">
        <v>362</v>
      </c>
      <c r="J52" s="46"/>
      <c r="K52" s="46"/>
      <c r="L52" s="41">
        <v>45208</v>
      </c>
      <c r="M52" s="47">
        <v>1.7361111111111112E-2</v>
      </c>
      <c r="R52" s="48" t="str">
        <f t="shared" ca="1" si="1"/>
        <v/>
      </c>
      <c r="S52" s="48" t="str">
        <f t="shared" ca="1" si="2"/>
        <v/>
      </c>
    </row>
    <row r="53" spans="1:19" x14ac:dyDescent="0.35">
      <c r="A53" s="28" t="s">
        <v>61</v>
      </c>
      <c r="B53" s="30">
        <v>1860</v>
      </c>
      <c r="C53" s="38">
        <v>90</v>
      </c>
      <c r="D53" s="38" t="s">
        <v>69</v>
      </c>
      <c r="E53" s="30" t="s">
        <v>42</v>
      </c>
      <c r="F53" s="46">
        <v>70</v>
      </c>
      <c r="G53" s="46" t="s">
        <v>64</v>
      </c>
      <c r="H53" s="56">
        <f t="shared" si="3"/>
        <v>2.5</v>
      </c>
      <c r="I53" s="46">
        <v>187</v>
      </c>
      <c r="J53" s="46"/>
      <c r="K53" s="46"/>
      <c r="L53" s="41">
        <v>45208</v>
      </c>
      <c r="M53" s="47">
        <v>3.8194444444444441E-2</v>
      </c>
      <c r="R53" s="48" t="str">
        <f t="shared" ca="1" si="1"/>
        <v/>
      </c>
      <c r="S53" s="48" t="str">
        <f t="shared" ca="1" si="2"/>
        <v/>
      </c>
    </row>
    <row r="54" spans="1:19" x14ac:dyDescent="0.35">
      <c r="A54" s="28" t="s">
        <v>61</v>
      </c>
      <c r="B54" s="30">
        <v>1870</v>
      </c>
      <c r="C54" s="38">
        <v>100</v>
      </c>
      <c r="D54" s="38" t="s">
        <v>69</v>
      </c>
      <c r="E54" s="30" t="s">
        <v>42</v>
      </c>
      <c r="F54" s="46">
        <v>100</v>
      </c>
      <c r="G54" s="46" t="s">
        <v>44</v>
      </c>
      <c r="H54" s="56">
        <f t="shared" si="3"/>
        <v>3</v>
      </c>
      <c r="I54" s="46">
        <v>343</v>
      </c>
      <c r="J54" s="46"/>
      <c r="K54" s="46"/>
      <c r="L54" s="41">
        <v>45208</v>
      </c>
      <c r="M54" s="47">
        <v>6.25E-2</v>
      </c>
      <c r="R54" s="48" t="str">
        <f t="shared" ca="1" si="1"/>
        <v/>
      </c>
      <c r="S54" s="48" t="str">
        <f t="shared" ca="1" si="2"/>
        <v/>
      </c>
    </row>
    <row r="55" spans="1:19" x14ac:dyDescent="0.35">
      <c r="A55" s="28" t="s">
        <v>61</v>
      </c>
      <c r="B55" s="30">
        <v>1880</v>
      </c>
      <c r="C55" s="38">
        <v>100</v>
      </c>
      <c r="D55" s="38" t="s">
        <v>69</v>
      </c>
      <c r="E55" s="30" t="s">
        <v>42</v>
      </c>
      <c r="F55" s="46">
        <v>100</v>
      </c>
      <c r="G55" s="46" t="s">
        <v>44</v>
      </c>
      <c r="H55" s="56">
        <f t="shared" si="3"/>
        <v>3</v>
      </c>
      <c r="I55" s="46">
        <v>272</v>
      </c>
      <c r="J55" s="46"/>
      <c r="K55" s="46"/>
      <c r="L55" s="41">
        <v>45208</v>
      </c>
      <c r="M55" s="47">
        <v>9.0277777777777776E-2</v>
      </c>
      <c r="R55" s="48" t="str">
        <f t="shared" ca="1" si="1"/>
        <v/>
      </c>
      <c r="S55" s="48" t="str">
        <f t="shared" ca="1" si="2"/>
        <v/>
      </c>
    </row>
    <row r="56" spans="1:19" x14ac:dyDescent="0.35">
      <c r="A56" s="28" t="s">
        <v>61</v>
      </c>
      <c r="B56" s="30">
        <v>1890</v>
      </c>
      <c r="C56" s="38">
        <v>100</v>
      </c>
      <c r="D56" s="38" t="s">
        <v>67</v>
      </c>
      <c r="E56" s="30" t="s">
        <v>19</v>
      </c>
      <c r="F56" s="46">
        <v>100</v>
      </c>
      <c r="G56" s="46" t="s">
        <v>44</v>
      </c>
      <c r="H56" s="56">
        <f t="shared" si="3"/>
        <v>3</v>
      </c>
      <c r="I56" s="46">
        <v>295</v>
      </c>
      <c r="J56" s="46"/>
      <c r="K56" s="46"/>
      <c r="L56" s="41">
        <v>45208</v>
      </c>
      <c r="M56" s="47">
        <v>0.11458333333333333</v>
      </c>
      <c r="R56" s="48" t="str">
        <f t="shared" ca="1" si="1"/>
        <v/>
      </c>
      <c r="S56" s="48" t="str">
        <f t="shared" ca="1" si="2"/>
        <v/>
      </c>
    </row>
    <row r="57" spans="1:19" x14ac:dyDescent="0.35">
      <c r="A57" s="28" t="s">
        <v>61</v>
      </c>
      <c r="B57" s="30">
        <v>1900</v>
      </c>
      <c r="C57" s="38">
        <v>95</v>
      </c>
      <c r="D57" s="38" t="s">
        <v>69</v>
      </c>
      <c r="E57" s="30" t="s">
        <v>42</v>
      </c>
      <c r="F57" s="46">
        <v>100</v>
      </c>
      <c r="G57" s="46" t="s">
        <v>44</v>
      </c>
      <c r="H57" s="56">
        <f t="shared" si="3"/>
        <v>3</v>
      </c>
      <c r="I57" s="46">
        <v>423</v>
      </c>
      <c r="J57" s="46"/>
      <c r="K57" s="46"/>
      <c r="L57" s="41">
        <v>45208</v>
      </c>
      <c r="M57" s="47">
        <v>0.13541666666666666</v>
      </c>
      <c r="R57" s="48" t="str">
        <f t="shared" ca="1" si="1"/>
        <v/>
      </c>
      <c r="S57" s="48" t="str">
        <f t="shared" ca="1" si="2"/>
        <v/>
      </c>
    </row>
    <row r="58" spans="1:19" x14ac:dyDescent="0.35">
      <c r="A58" s="28" t="s">
        <v>61</v>
      </c>
      <c r="B58" s="30">
        <v>1910</v>
      </c>
      <c r="C58" s="38">
        <v>100</v>
      </c>
      <c r="D58" s="38" t="s">
        <v>69</v>
      </c>
      <c r="E58" s="30" t="s">
        <v>42</v>
      </c>
      <c r="F58" s="46">
        <v>100</v>
      </c>
      <c r="G58" s="46" t="s">
        <v>44</v>
      </c>
      <c r="H58" s="56">
        <f t="shared" si="3"/>
        <v>3</v>
      </c>
      <c r="I58" s="46">
        <v>274</v>
      </c>
      <c r="J58" s="46"/>
      <c r="K58" s="46"/>
      <c r="L58" s="41">
        <v>45208</v>
      </c>
      <c r="M58" s="47">
        <v>0.15972222222222224</v>
      </c>
      <c r="R58" s="48" t="str">
        <f t="shared" ca="1" si="1"/>
        <v/>
      </c>
      <c r="S58" s="48" t="str">
        <f t="shared" ca="1" si="2"/>
        <v/>
      </c>
    </row>
    <row r="59" spans="1:19" x14ac:dyDescent="0.35">
      <c r="A59" s="28" t="s">
        <v>61</v>
      </c>
      <c r="B59" s="30">
        <v>1920</v>
      </c>
      <c r="C59" s="38">
        <v>100</v>
      </c>
      <c r="D59" s="38" t="s">
        <v>69</v>
      </c>
      <c r="E59" s="30" t="s">
        <v>42</v>
      </c>
      <c r="F59" s="46">
        <v>100</v>
      </c>
      <c r="G59" s="46" t="s">
        <v>44</v>
      </c>
      <c r="H59" s="56">
        <f t="shared" si="3"/>
        <v>3</v>
      </c>
      <c r="I59" s="46">
        <v>370</v>
      </c>
      <c r="J59" s="46"/>
      <c r="K59" s="46"/>
      <c r="L59" s="41">
        <v>45208</v>
      </c>
      <c r="M59" s="47">
        <v>0.18055555555555555</v>
      </c>
      <c r="R59" s="48" t="str">
        <f t="shared" ca="1" si="1"/>
        <v/>
      </c>
      <c r="S59" s="48" t="str">
        <f t="shared" ca="1" si="2"/>
        <v/>
      </c>
    </row>
    <row r="60" spans="1:19" x14ac:dyDescent="0.35">
      <c r="A60" s="28" t="s">
        <v>61</v>
      </c>
      <c r="B60" s="30">
        <v>1930</v>
      </c>
      <c r="C60" s="38">
        <v>100</v>
      </c>
      <c r="D60" s="38" t="s">
        <v>71</v>
      </c>
      <c r="E60" s="30" t="s">
        <v>42</v>
      </c>
      <c r="F60" s="46">
        <v>100</v>
      </c>
      <c r="G60" s="46" t="s">
        <v>44</v>
      </c>
      <c r="H60" s="56">
        <f t="shared" si="3"/>
        <v>3</v>
      </c>
      <c r="I60" s="46">
        <v>302</v>
      </c>
      <c r="J60" s="46"/>
      <c r="K60" s="46"/>
      <c r="L60" s="41">
        <v>45208</v>
      </c>
      <c r="M60" s="47">
        <v>0.20486111111111113</v>
      </c>
      <c r="R60" s="48" t="str">
        <f t="shared" ca="1" si="1"/>
        <v/>
      </c>
      <c r="S60" s="48" t="str">
        <f t="shared" ca="1" si="2"/>
        <v/>
      </c>
    </row>
    <row r="61" spans="1:19" x14ac:dyDescent="0.35">
      <c r="A61" s="28" t="s">
        <v>61</v>
      </c>
      <c r="B61" s="30">
        <v>1940</v>
      </c>
      <c r="C61" s="38">
        <v>100</v>
      </c>
      <c r="D61" s="38" t="s">
        <v>71</v>
      </c>
      <c r="E61" s="30" t="s">
        <v>42</v>
      </c>
      <c r="F61" s="46">
        <v>100</v>
      </c>
      <c r="G61" s="46" t="s">
        <v>44</v>
      </c>
      <c r="H61" s="56">
        <f t="shared" si="3"/>
        <v>3</v>
      </c>
      <c r="I61" s="46">
        <v>332</v>
      </c>
      <c r="J61" s="46"/>
      <c r="K61" s="46"/>
      <c r="L61" s="41">
        <v>45208</v>
      </c>
      <c r="M61" s="47">
        <v>0.22569444444444445</v>
      </c>
      <c r="R61" s="48" t="str">
        <f t="shared" ca="1" si="1"/>
        <v/>
      </c>
      <c r="S61" s="48" t="str">
        <f t="shared" ca="1" si="2"/>
        <v/>
      </c>
    </row>
    <row r="62" spans="1:19" x14ac:dyDescent="0.35">
      <c r="A62" s="28" t="s">
        <v>61</v>
      </c>
      <c r="B62" s="30">
        <v>1950</v>
      </c>
      <c r="C62" s="38">
        <v>100</v>
      </c>
      <c r="D62" s="38" t="s">
        <v>71</v>
      </c>
      <c r="E62" s="30" t="s">
        <v>42</v>
      </c>
      <c r="F62" s="46">
        <v>80</v>
      </c>
      <c r="G62" s="46" t="s">
        <v>64</v>
      </c>
      <c r="H62" s="56">
        <f t="shared" si="3"/>
        <v>2.5</v>
      </c>
      <c r="I62" s="46">
        <v>241</v>
      </c>
      <c r="J62" s="46"/>
      <c r="K62" s="46"/>
      <c r="L62" s="41">
        <v>45208</v>
      </c>
      <c r="M62" s="47">
        <v>0.25</v>
      </c>
      <c r="R62" s="48" t="str">
        <f t="shared" ca="1" si="1"/>
        <v/>
      </c>
      <c r="S62" s="48" t="str">
        <f t="shared" ca="1" si="2"/>
        <v/>
      </c>
    </row>
    <row r="63" spans="1:19" x14ac:dyDescent="0.35">
      <c r="A63" s="28" t="s">
        <v>61</v>
      </c>
      <c r="B63" s="30">
        <v>1960</v>
      </c>
      <c r="C63" s="38">
        <v>100</v>
      </c>
      <c r="D63" s="38" t="s">
        <v>71</v>
      </c>
      <c r="E63" s="30" t="s">
        <v>42</v>
      </c>
      <c r="F63" s="46">
        <v>80</v>
      </c>
      <c r="G63" s="46" t="s">
        <v>64</v>
      </c>
      <c r="H63" s="56">
        <f t="shared" si="3"/>
        <v>2.5</v>
      </c>
      <c r="I63" s="46">
        <v>354</v>
      </c>
      <c r="J63" s="46"/>
      <c r="K63" s="46"/>
      <c r="L63" s="41">
        <v>45208</v>
      </c>
      <c r="M63" s="47">
        <v>0.2638888888888889</v>
      </c>
      <c r="R63" s="48" t="str">
        <f t="shared" ca="1" si="1"/>
        <v/>
      </c>
      <c r="S63" s="48" t="str">
        <f t="shared" ca="1" si="2"/>
        <v/>
      </c>
    </row>
    <row r="64" spans="1:19" x14ac:dyDescent="0.35">
      <c r="A64" s="28" t="s">
        <v>61</v>
      </c>
      <c r="B64" s="38">
        <v>1970</v>
      </c>
      <c r="C64" s="38">
        <v>100</v>
      </c>
      <c r="D64" s="38" t="s">
        <v>71</v>
      </c>
      <c r="E64" s="30" t="s">
        <v>42</v>
      </c>
      <c r="F64" s="46">
        <v>70</v>
      </c>
      <c r="G64" s="46" t="s">
        <v>64</v>
      </c>
      <c r="H64" s="56">
        <f t="shared" si="3"/>
        <v>2.5</v>
      </c>
      <c r="I64" s="46">
        <v>296</v>
      </c>
      <c r="J64" s="46"/>
      <c r="K64" s="46"/>
      <c r="L64" s="41">
        <v>45208</v>
      </c>
      <c r="M64" s="47">
        <v>0.28472222222222221</v>
      </c>
      <c r="R64" s="48" t="str">
        <f t="shared" ca="1" si="1"/>
        <v/>
      </c>
      <c r="S64" s="48" t="str">
        <f t="shared" ca="1" si="2"/>
        <v/>
      </c>
    </row>
    <row r="65" spans="1:19" x14ac:dyDescent="0.35">
      <c r="A65" s="28" t="s">
        <v>61</v>
      </c>
      <c r="B65" s="38">
        <v>1980</v>
      </c>
      <c r="C65" s="38">
        <v>100</v>
      </c>
      <c r="D65" s="38" t="s">
        <v>71</v>
      </c>
      <c r="E65" s="30" t="s">
        <v>42</v>
      </c>
      <c r="F65" s="46">
        <v>90</v>
      </c>
      <c r="G65" s="46" t="s">
        <v>64</v>
      </c>
      <c r="H65" s="56">
        <f t="shared" si="3"/>
        <v>2.5</v>
      </c>
      <c r="I65" s="46">
        <v>324</v>
      </c>
      <c r="J65" s="46"/>
      <c r="K65" s="46"/>
      <c r="L65" s="41">
        <v>45208</v>
      </c>
      <c r="M65" s="47">
        <v>0.30555555555555552</v>
      </c>
      <c r="R65" s="48" t="str">
        <f t="shared" ca="1" si="1"/>
        <v/>
      </c>
      <c r="S65" s="48" t="str">
        <f t="shared" ca="1" si="2"/>
        <v/>
      </c>
    </row>
    <row r="66" spans="1:19" x14ac:dyDescent="0.35">
      <c r="A66" s="28" t="s">
        <v>61</v>
      </c>
      <c r="B66" s="38">
        <v>1990</v>
      </c>
      <c r="C66" s="38">
        <v>100</v>
      </c>
      <c r="D66" s="38" t="s">
        <v>70</v>
      </c>
      <c r="E66" s="30" t="s">
        <v>19</v>
      </c>
      <c r="F66" s="46">
        <v>100</v>
      </c>
      <c r="G66" s="46" t="s">
        <v>44</v>
      </c>
      <c r="H66" s="56">
        <f t="shared" si="3"/>
        <v>3</v>
      </c>
      <c r="I66" s="46">
        <v>386</v>
      </c>
      <c r="J66" s="46"/>
      <c r="K66" s="46"/>
      <c r="L66" s="41">
        <v>45208</v>
      </c>
      <c r="M66" s="47">
        <v>0.32291666666666669</v>
      </c>
      <c r="R66" s="48" t="str">
        <f t="shared" ca="1" si="1"/>
        <v/>
      </c>
      <c r="S66" s="48" t="str">
        <f t="shared" ca="1" si="2"/>
        <v/>
      </c>
    </row>
    <row r="67" spans="1:19" x14ac:dyDescent="0.35">
      <c r="A67" s="28" t="s">
        <v>61</v>
      </c>
      <c r="B67" s="38">
        <v>2000</v>
      </c>
      <c r="C67" s="38">
        <v>100</v>
      </c>
      <c r="D67" s="38" t="s">
        <v>13</v>
      </c>
      <c r="E67" s="30" t="s">
        <v>19</v>
      </c>
      <c r="F67" s="46">
        <v>100</v>
      </c>
      <c r="G67" s="46" t="s">
        <v>44</v>
      </c>
      <c r="H67" s="56">
        <f t="shared" si="3"/>
        <v>3</v>
      </c>
      <c r="I67" s="46">
        <v>326</v>
      </c>
      <c r="J67" s="46"/>
      <c r="K67" s="46"/>
      <c r="L67" s="41">
        <v>45208</v>
      </c>
      <c r="M67" s="47">
        <v>0.33680555555555558</v>
      </c>
      <c r="R67" s="48" t="str">
        <f t="shared" ca="1" si="1"/>
        <v/>
      </c>
      <c r="S67" s="48" t="str">
        <f t="shared" ca="1" si="2"/>
        <v/>
      </c>
    </row>
    <row r="68" spans="1:19" x14ac:dyDescent="0.35">
      <c r="A68" s="28" t="s">
        <v>61</v>
      </c>
      <c r="B68" s="38">
        <v>2010</v>
      </c>
      <c r="C68" s="38">
        <v>100</v>
      </c>
      <c r="D68" s="38" t="s">
        <v>13</v>
      </c>
      <c r="E68" s="30" t="s">
        <v>19</v>
      </c>
      <c r="F68" s="46">
        <v>100</v>
      </c>
      <c r="G68" s="46" t="s">
        <v>44</v>
      </c>
      <c r="H68" s="56">
        <f t="shared" si="3"/>
        <v>3</v>
      </c>
      <c r="I68" s="46">
        <v>405</v>
      </c>
      <c r="J68" s="46"/>
      <c r="K68" s="46"/>
      <c r="L68" s="41">
        <v>45208</v>
      </c>
      <c r="M68" s="47">
        <v>0.3576388888888889</v>
      </c>
      <c r="R68" s="48" t="str">
        <f t="shared" ca="1" si="1"/>
        <v/>
      </c>
      <c r="S68" s="48" t="str">
        <f t="shared" ca="1" si="2"/>
        <v/>
      </c>
    </row>
    <row r="69" spans="1:19" x14ac:dyDescent="0.35">
      <c r="A69" s="28" t="s">
        <v>61</v>
      </c>
      <c r="B69" s="38">
        <v>2020</v>
      </c>
      <c r="C69" s="38">
        <v>100</v>
      </c>
      <c r="D69" s="38" t="s">
        <v>13</v>
      </c>
      <c r="E69" s="30" t="s">
        <v>42</v>
      </c>
      <c r="F69" s="46">
        <v>100</v>
      </c>
      <c r="G69" s="46" t="s">
        <v>44</v>
      </c>
      <c r="H69" s="56">
        <f t="shared" si="3"/>
        <v>3</v>
      </c>
      <c r="I69" s="46">
        <v>285</v>
      </c>
      <c r="J69" s="46"/>
      <c r="K69" s="46"/>
      <c r="L69" s="41">
        <v>45208</v>
      </c>
      <c r="M69" s="47">
        <v>0.37152777777777773</v>
      </c>
      <c r="R69" s="48" t="str">
        <f t="shared" ca="1" si="1"/>
        <v/>
      </c>
      <c r="S69" s="48" t="str">
        <f t="shared" ca="1" si="2"/>
        <v/>
      </c>
    </row>
    <row r="70" spans="1:19" x14ac:dyDescent="0.35">
      <c r="A70" s="28" t="s">
        <v>61</v>
      </c>
      <c r="B70" s="38">
        <v>2030</v>
      </c>
      <c r="C70" s="38">
        <v>100</v>
      </c>
      <c r="D70" s="38" t="s">
        <v>13</v>
      </c>
      <c r="E70" s="30" t="s">
        <v>19</v>
      </c>
      <c r="F70" s="46">
        <v>100</v>
      </c>
      <c r="G70" s="46" t="s">
        <v>44</v>
      </c>
      <c r="H70" s="56">
        <f t="shared" si="3"/>
        <v>3</v>
      </c>
      <c r="I70" s="46">
        <v>419</v>
      </c>
      <c r="J70" s="46"/>
      <c r="K70" s="46"/>
      <c r="L70" s="41">
        <v>45208</v>
      </c>
      <c r="M70" s="47">
        <v>0.3923611111111111</v>
      </c>
      <c r="R70" s="48" t="str">
        <f t="shared" ref="R70:R133" ca="1" si="4">IF(C70="","",IF(OR(L70="",AND(ISNUMBER(R70),C70=R70)),R70,C70))</f>
        <v/>
      </c>
      <c r="S70" s="48" t="str">
        <f t="shared" ref="S70:S133" ca="1" si="5">IF(C70="","",IF(OR(M70="",AND(ISNUMBER(S70),C70=S70)),S70,C70))</f>
        <v/>
      </c>
    </row>
    <row r="71" spans="1:19" x14ac:dyDescent="0.35">
      <c r="A71" s="28" t="s">
        <v>61</v>
      </c>
      <c r="B71" s="38">
        <v>2040</v>
      </c>
      <c r="C71" s="38">
        <v>100</v>
      </c>
      <c r="D71" s="38" t="s">
        <v>13</v>
      </c>
      <c r="E71" s="30" t="s">
        <v>42</v>
      </c>
      <c r="F71" s="46">
        <v>100</v>
      </c>
      <c r="G71" s="46" t="s">
        <v>44</v>
      </c>
      <c r="H71" s="56">
        <f t="shared" si="3"/>
        <v>3</v>
      </c>
      <c r="I71" s="46">
        <v>223</v>
      </c>
      <c r="J71" s="46"/>
      <c r="K71" s="46"/>
      <c r="L71" s="41">
        <v>45208</v>
      </c>
      <c r="M71" s="47">
        <v>0.41319444444444442</v>
      </c>
      <c r="R71" s="48" t="str">
        <f t="shared" ca="1" si="4"/>
        <v/>
      </c>
      <c r="S71" s="48" t="str">
        <f t="shared" ca="1" si="5"/>
        <v/>
      </c>
    </row>
    <row r="72" spans="1:19" x14ac:dyDescent="0.35">
      <c r="A72" s="28" t="s">
        <v>61</v>
      </c>
      <c r="B72" s="38">
        <v>2050</v>
      </c>
      <c r="C72" s="38">
        <v>100</v>
      </c>
      <c r="D72" s="38" t="s">
        <v>13</v>
      </c>
      <c r="E72" s="30" t="s">
        <v>42</v>
      </c>
      <c r="F72" s="46">
        <v>100</v>
      </c>
      <c r="G72" s="46" t="s">
        <v>44</v>
      </c>
      <c r="H72" s="56">
        <f t="shared" si="3"/>
        <v>3</v>
      </c>
      <c r="I72" s="46">
        <v>286</v>
      </c>
      <c r="J72" s="46"/>
      <c r="K72" s="46"/>
      <c r="L72" s="41">
        <v>45208</v>
      </c>
      <c r="M72" s="47">
        <v>0.43402777777777773</v>
      </c>
      <c r="R72" s="48" t="str">
        <f t="shared" ca="1" si="4"/>
        <v/>
      </c>
      <c r="S72" s="48" t="str">
        <f t="shared" ca="1" si="5"/>
        <v/>
      </c>
    </row>
    <row r="73" spans="1:19" x14ac:dyDescent="0.35">
      <c r="A73" s="28" t="s">
        <v>61</v>
      </c>
      <c r="B73" s="38">
        <v>2060</v>
      </c>
      <c r="C73" s="38">
        <v>100</v>
      </c>
      <c r="D73" s="38" t="s">
        <v>13</v>
      </c>
      <c r="E73" s="30" t="s">
        <v>42</v>
      </c>
      <c r="F73" s="46">
        <v>100</v>
      </c>
      <c r="G73" s="46" t="s">
        <v>44</v>
      </c>
      <c r="H73" s="56">
        <f t="shared" si="3"/>
        <v>3</v>
      </c>
      <c r="I73" s="46">
        <v>290</v>
      </c>
      <c r="J73" s="46"/>
      <c r="K73" s="46"/>
      <c r="L73" s="41">
        <v>45208</v>
      </c>
      <c r="M73" s="47">
        <v>0.45833333333333331</v>
      </c>
      <c r="R73" s="48" t="str">
        <f t="shared" ca="1" si="4"/>
        <v/>
      </c>
      <c r="S73" s="48" t="str">
        <f t="shared" ca="1" si="5"/>
        <v/>
      </c>
    </row>
    <row r="74" spans="1:19" x14ac:dyDescent="0.35">
      <c r="A74" s="28" t="s">
        <v>61</v>
      </c>
      <c r="B74" s="38">
        <v>2070</v>
      </c>
      <c r="C74" s="38">
        <v>100</v>
      </c>
      <c r="D74" s="38" t="s">
        <v>13</v>
      </c>
      <c r="E74" s="30" t="s">
        <v>19</v>
      </c>
      <c r="F74" s="46">
        <v>100</v>
      </c>
      <c r="G74" s="46" t="s">
        <v>44</v>
      </c>
      <c r="H74" s="56">
        <f t="shared" si="3"/>
        <v>3</v>
      </c>
      <c r="I74" s="46">
        <v>290</v>
      </c>
      <c r="J74" s="46"/>
      <c r="K74" s="46"/>
      <c r="L74" s="41">
        <v>45208</v>
      </c>
      <c r="M74" s="47">
        <v>0.47916666666666669</v>
      </c>
      <c r="R74" s="48" t="str">
        <f t="shared" ca="1" si="4"/>
        <v/>
      </c>
      <c r="S74" s="48" t="str">
        <f t="shared" ca="1" si="5"/>
        <v/>
      </c>
    </row>
    <row r="75" spans="1:19" x14ac:dyDescent="0.35">
      <c r="A75" s="28" t="s">
        <v>61</v>
      </c>
      <c r="B75" s="38">
        <v>2080</v>
      </c>
      <c r="C75" s="38">
        <v>100</v>
      </c>
      <c r="D75" s="38" t="s">
        <v>71</v>
      </c>
      <c r="E75" s="30" t="s">
        <v>42</v>
      </c>
      <c r="F75" s="46">
        <v>80</v>
      </c>
      <c r="G75" s="46" t="s">
        <v>44</v>
      </c>
      <c r="H75" s="56">
        <f t="shared" si="3"/>
        <v>3</v>
      </c>
      <c r="I75" s="46">
        <v>307</v>
      </c>
      <c r="J75" s="46"/>
      <c r="K75" s="46"/>
      <c r="L75" s="41">
        <v>45208</v>
      </c>
      <c r="M75" s="47">
        <v>0.5</v>
      </c>
      <c r="R75" s="48" t="str">
        <f t="shared" ca="1" si="4"/>
        <v/>
      </c>
      <c r="S75" s="48" t="str">
        <f t="shared" ca="1" si="5"/>
        <v/>
      </c>
    </row>
    <row r="76" spans="1:19" x14ac:dyDescent="0.35">
      <c r="A76" s="28" t="s">
        <v>61</v>
      </c>
      <c r="B76" s="38">
        <v>2090</v>
      </c>
      <c r="C76" s="38">
        <v>100</v>
      </c>
      <c r="D76" s="38" t="s">
        <v>71</v>
      </c>
      <c r="E76" s="30" t="s">
        <v>42</v>
      </c>
      <c r="F76" s="46">
        <v>90</v>
      </c>
      <c r="G76" s="46" t="s">
        <v>44</v>
      </c>
      <c r="H76" s="56">
        <f t="shared" si="3"/>
        <v>3</v>
      </c>
      <c r="I76" s="46">
        <v>395</v>
      </c>
      <c r="J76" s="46"/>
      <c r="K76" s="46"/>
      <c r="L76" s="41">
        <v>45208</v>
      </c>
      <c r="M76" s="47">
        <v>0.51736111111111105</v>
      </c>
      <c r="R76" s="48" t="str">
        <f t="shared" ca="1" si="4"/>
        <v/>
      </c>
      <c r="S76" s="48" t="str">
        <f t="shared" ca="1" si="5"/>
        <v/>
      </c>
    </row>
    <row r="77" spans="1:19" x14ac:dyDescent="0.35">
      <c r="A77" s="28" t="s">
        <v>61</v>
      </c>
      <c r="B77" s="38">
        <v>2100</v>
      </c>
      <c r="C77" s="38">
        <v>100</v>
      </c>
      <c r="D77" s="38" t="s">
        <v>71</v>
      </c>
      <c r="E77" s="30" t="s">
        <v>42</v>
      </c>
      <c r="F77" s="46">
        <v>90</v>
      </c>
      <c r="G77" s="46" t="s">
        <v>44</v>
      </c>
      <c r="H77" s="56">
        <f t="shared" si="3"/>
        <v>3</v>
      </c>
      <c r="I77" s="46">
        <v>410</v>
      </c>
      <c r="J77" s="46"/>
      <c r="K77" s="46"/>
      <c r="L77" s="41">
        <v>45208</v>
      </c>
      <c r="M77" s="47">
        <v>0.53472222222222221</v>
      </c>
      <c r="R77" s="48" t="str">
        <f t="shared" ca="1" si="4"/>
        <v/>
      </c>
      <c r="S77" s="48" t="str">
        <f t="shared" ca="1" si="5"/>
        <v/>
      </c>
    </row>
    <row r="78" spans="1:19" x14ac:dyDescent="0.35">
      <c r="A78" s="28" t="s">
        <v>61</v>
      </c>
      <c r="B78" s="38">
        <v>2110</v>
      </c>
      <c r="C78" s="38">
        <v>95</v>
      </c>
      <c r="D78" s="38" t="s">
        <v>13</v>
      </c>
      <c r="E78" s="30" t="s">
        <v>19</v>
      </c>
      <c r="F78" s="46">
        <v>100</v>
      </c>
      <c r="G78" s="46" t="s">
        <v>44</v>
      </c>
      <c r="H78" s="56">
        <f t="shared" ref="H78:H108" si="6">_xlfn.XLOOKUP(G78,$S$4:$S$9,$T$4:$T$9,"",0,1)</f>
        <v>3</v>
      </c>
      <c r="I78" s="46">
        <v>280</v>
      </c>
      <c r="J78" s="46"/>
      <c r="K78" s="46"/>
      <c r="L78" s="41">
        <v>45208</v>
      </c>
      <c r="M78" s="47">
        <v>0.5625</v>
      </c>
      <c r="R78" s="48" t="str">
        <f t="shared" ca="1" si="4"/>
        <v/>
      </c>
      <c r="S78" s="48" t="str">
        <f t="shared" ca="1" si="5"/>
        <v/>
      </c>
    </row>
    <row r="79" spans="1:19" x14ac:dyDescent="0.35">
      <c r="A79" s="28" t="s">
        <v>61</v>
      </c>
      <c r="B79" s="38">
        <v>2120</v>
      </c>
      <c r="C79" s="38">
        <v>90</v>
      </c>
      <c r="D79" s="38" t="s">
        <v>71</v>
      </c>
      <c r="E79" s="30" t="s">
        <v>42</v>
      </c>
      <c r="F79" s="46">
        <v>75</v>
      </c>
      <c r="G79" s="46" t="s">
        <v>64</v>
      </c>
      <c r="H79" s="56">
        <f t="shared" si="6"/>
        <v>2.5</v>
      </c>
      <c r="I79" s="46">
        <v>270</v>
      </c>
      <c r="J79" s="46"/>
      <c r="K79" s="46"/>
      <c r="L79" s="41">
        <v>45208</v>
      </c>
      <c r="M79" s="47">
        <v>0.59027777777777779</v>
      </c>
      <c r="R79" s="48" t="str">
        <f t="shared" ca="1" si="4"/>
        <v/>
      </c>
      <c r="S79" s="48" t="str">
        <f t="shared" ca="1" si="5"/>
        <v/>
      </c>
    </row>
    <row r="80" spans="1:19" x14ac:dyDescent="0.35">
      <c r="A80" s="28" t="s">
        <v>61</v>
      </c>
      <c r="B80" s="38">
        <v>2130</v>
      </c>
      <c r="C80" s="38">
        <v>95</v>
      </c>
      <c r="D80" s="38" t="s">
        <v>71</v>
      </c>
      <c r="E80" s="30" t="s">
        <v>42</v>
      </c>
      <c r="F80" s="46">
        <v>75</v>
      </c>
      <c r="G80" s="46" t="s">
        <v>64</v>
      </c>
      <c r="H80" s="56">
        <f t="shared" si="6"/>
        <v>2.5</v>
      </c>
      <c r="I80" s="46">
        <v>210</v>
      </c>
      <c r="J80" s="46"/>
      <c r="K80" s="46"/>
      <c r="L80" s="41">
        <v>45208</v>
      </c>
      <c r="M80" s="47">
        <v>0.61111111111111105</v>
      </c>
      <c r="R80" s="48" t="str">
        <f t="shared" ca="1" si="4"/>
        <v/>
      </c>
      <c r="S80" s="48" t="str">
        <f t="shared" ca="1" si="5"/>
        <v/>
      </c>
    </row>
    <row r="81" spans="1:19" x14ac:dyDescent="0.35">
      <c r="A81" s="28" t="s">
        <v>61</v>
      </c>
      <c r="B81" s="38">
        <v>2140</v>
      </c>
      <c r="C81" s="38">
        <v>90</v>
      </c>
      <c r="D81" s="38" t="s">
        <v>69</v>
      </c>
      <c r="E81" s="30" t="s">
        <v>42</v>
      </c>
      <c r="F81" s="46">
        <v>75</v>
      </c>
      <c r="G81" s="46" t="s">
        <v>64</v>
      </c>
      <c r="H81" s="56">
        <f t="shared" si="6"/>
        <v>2.5</v>
      </c>
      <c r="I81" s="46">
        <v>274</v>
      </c>
      <c r="J81" s="46"/>
      <c r="K81" s="46"/>
      <c r="L81" s="41">
        <v>45208</v>
      </c>
      <c r="M81" s="47">
        <v>0.625</v>
      </c>
      <c r="R81" s="48" t="str">
        <f t="shared" ca="1" si="4"/>
        <v/>
      </c>
      <c r="S81" s="48" t="str">
        <f t="shared" ca="1" si="5"/>
        <v/>
      </c>
    </row>
    <row r="82" spans="1:19" x14ac:dyDescent="0.35">
      <c r="A82" s="28" t="s">
        <v>61</v>
      </c>
      <c r="B82" s="38">
        <v>2150</v>
      </c>
      <c r="C82" s="38">
        <v>90</v>
      </c>
      <c r="D82" s="38" t="s">
        <v>69</v>
      </c>
      <c r="E82" s="30" t="s">
        <v>42</v>
      </c>
      <c r="F82" s="46">
        <v>85</v>
      </c>
      <c r="G82" s="46" t="s">
        <v>64</v>
      </c>
      <c r="H82" s="56">
        <f t="shared" si="6"/>
        <v>2.5</v>
      </c>
      <c r="I82" s="46">
        <v>263</v>
      </c>
      <c r="J82" s="46"/>
      <c r="K82" s="46"/>
      <c r="L82" s="41">
        <v>45208</v>
      </c>
      <c r="M82" s="47">
        <v>0.64930555555555558</v>
      </c>
      <c r="R82" s="48" t="str">
        <f t="shared" ca="1" si="4"/>
        <v/>
      </c>
      <c r="S82" s="48" t="str">
        <f t="shared" ca="1" si="5"/>
        <v/>
      </c>
    </row>
    <row r="83" spans="1:19" x14ac:dyDescent="0.35">
      <c r="A83" s="28" t="s">
        <v>61</v>
      </c>
      <c r="B83" s="38">
        <v>2160</v>
      </c>
      <c r="C83" s="38">
        <v>95</v>
      </c>
      <c r="D83" s="38" t="s">
        <v>69</v>
      </c>
      <c r="E83" s="30" t="s">
        <v>42</v>
      </c>
      <c r="F83" s="46">
        <v>85</v>
      </c>
      <c r="G83" s="46" t="s">
        <v>64</v>
      </c>
      <c r="H83" s="56">
        <f t="shared" si="6"/>
        <v>2.5</v>
      </c>
      <c r="I83" s="46">
        <v>310</v>
      </c>
      <c r="J83" s="46"/>
      <c r="K83" s="46"/>
      <c r="L83" s="41">
        <v>45208</v>
      </c>
      <c r="M83" s="47">
        <v>0.66319444444444442</v>
      </c>
      <c r="R83" s="48" t="str">
        <f t="shared" ca="1" si="4"/>
        <v/>
      </c>
      <c r="S83" s="48" t="str">
        <f t="shared" ca="1" si="5"/>
        <v/>
      </c>
    </row>
    <row r="84" spans="1:19" x14ac:dyDescent="0.35">
      <c r="A84" s="28" t="s">
        <v>61</v>
      </c>
      <c r="B84" s="38">
        <v>2170</v>
      </c>
      <c r="C84" s="38">
        <v>100</v>
      </c>
      <c r="D84" s="38" t="s">
        <v>69</v>
      </c>
      <c r="E84" s="30" t="s">
        <v>42</v>
      </c>
      <c r="F84" s="46">
        <v>80</v>
      </c>
      <c r="G84" s="46" t="s">
        <v>64</v>
      </c>
      <c r="H84" s="56">
        <f t="shared" si="6"/>
        <v>2.5</v>
      </c>
      <c r="I84" s="46">
        <v>283</v>
      </c>
      <c r="J84" s="46"/>
      <c r="K84" s="46"/>
      <c r="L84" s="41">
        <v>45208</v>
      </c>
      <c r="M84" s="47">
        <v>0.69444444444444453</v>
      </c>
      <c r="R84" s="48" t="str">
        <f t="shared" ca="1" si="4"/>
        <v/>
      </c>
      <c r="S84" s="48" t="str">
        <f t="shared" ca="1" si="5"/>
        <v/>
      </c>
    </row>
    <row r="85" spans="1:19" x14ac:dyDescent="0.35">
      <c r="A85" s="28" t="s">
        <v>61</v>
      </c>
      <c r="B85" s="38">
        <v>2180</v>
      </c>
      <c r="C85" s="38">
        <v>100</v>
      </c>
      <c r="D85" s="38" t="s">
        <v>67</v>
      </c>
      <c r="E85" s="30" t="s">
        <v>42</v>
      </c>
      <c r="F85" s="46">
        <v>90</v>
      </c>
      <c r="G85" s="46" t="s">
        <v>64</v>
      </c>
      <c r="H85" s="56">
        <f t="shared" si="6"/>
        <v>2.5</v>
      </c>
      <c r="I85" s="64">
        <v>408</v>
      </c>
      <c r="J85" s="46"/>
      <c r="K85" s="46"/>
      <c r="L85" s="41">
        <v>45208</v>
      </c>
      <c r="M85" s="47">
        <v>0.71527777777777779</v>
      </c>
      <c r="R85" s="48" t="str">
        <f t="shared" ca="1" si="4"/>
        <v/>
      </c>
      <c r="S85" s="48" t="str">
        <f t="shared" ca="1" si="5"/>
        <v/>
      </c>
    </row>
    <row r="86" spans="1:19" x14ac:dyDescent="0.35">
      <c r="A86" s="28" t="s">
        <v>61</v>
      </c>
      <c r="B86" s="38">
        <v>2190</v>
      </c>
      <c r="C86" s="38">
        <v>100</v>
      </c>
      <c r="D86" s="38" t="s">
        <v>70</v>
      </c>
      <c r="E86" s="30" t="s">
        <v>19</v>
      </c>
      <c r="F86" s="46">
        <v>100</v>
      </c>
      <c r="G86" s="46" t="s">
        <v>44</v>
      </c>
      <c r="H86" s="56">
        <f t="shared" si="6"/>
        <v>3</v>
      </c>
      <c r="I86" s="46">
        <v>285</v>
      </c>
      <c r="J86" s="46"/>
      <c r="K86" s="46"/>
      <c r="L86" s="41">
        <v>45208</v>
      </c>
      <c r="M86" s="47">
        <v>0.73958333333333337</v>
      </c>
      <c r="R86" s="48" t="str">
        <f t="shared" ca="1" si="4"/>
        <v/>
      </c>
      <c r="S86" s="48" t="str">
        <f t="shared" ca="1" si="5"/>
        <v/>
      </c>
    </row>
    <row r="87" spans="1:19" x14ac:dyDescent="0.35">
      <c r="A87" s="28" t="s">
        <v>61</v>
      </c>
      <c r="B87" s="38">
        <v>2200</v>
      </c>
      <c r="C87" s="38">
        <v>100</v>
      </c>
      <c r="D87" s="38" t="s">
        <v>69</v>
      </c>
      <c r="E87" s="30" t="s">
        <v>42</v>
      </c>
      <c r="F87" s="46">
        <v>100</v>
      </c>
      <c r="G87" s="65" t="s">
        <v>64</v>
      </c>
      <c r="H87" s="56">
        <f t="shared" si="6"/>
        <v>2.5</v>
      </c>
      <c r="I87" s="46">
        <v>270</v>
      </c>
      <c r="J87" s="46"/>
      <c r="K87" s="46"/>
      <c r="L87" s="41">
        <v>45208</v>
      </c>
      <c r="M87" s="47">
        <v>0.76736111111111116</v>
      </c>
      <c r="R87" s="48" t="str">
        <f t="shared" ca="1" si="4"/>
        <v/>
      </c>
      <c r="S87" s="48" t="str">
        <f t="shared" ca="1" si="5"/>
        <v/>
      </c>
    </row>
    <row r="88" spans="1:19" x14ac:dyDescent="0.35">
      <c r="A88" s="28" t="s">
        <v>61</v>
      </c>
      <c r="B88" s="38">
        <v>2210</v>
      </c>
      <c r="C88" s="38">
        <v>100</v>
      </c>
      <c r="D88" s="38" t="s">
        <v>67</v>
      </c>
      <c r="E88" s="30" t="s">
        <v>19</v>
      </c>
      <c r="F88" s="46">
        <v>100</v>
      </c>
      <c r="G88" s="46" t="s">
        <v>44</v>
      </c>
      <c r="H88" s="56">
        <f t="shared" si="6"/>
        <v>3</v>
      </c>
      <c r="I88" s="46">
        <v>290</v>
      </c>
      <c r="J88" s="46"/>
      <c r="K88" s="46"/>
      <c r="L88" s="41">
        <v>45208</v>
      </c>
      <c r="M88" s="47">
        <v>0.78472222222222221</v>
      </c>
      <c r="R88" s="48" t="str">
        <f t="shared" ca="1" si="4"/>
        <v/>
      </c>
      <c r="S88" s="48" t="str">
        <f t="shared" ca="1" si="5"/>
        <v/>
      </c>
    </row>
    <row r="89" spans="1:19" x14ac:dyDescent="0.35">
      <c r="A89" s="28" t="s">
        <v>61</v>
      </c>
      <c r="B89" s="38">
        <v>2220</v>
      </c>
      <c r="C89" s="38">
        <v>100</v>
      </c>
      <c r="D89" s="38" t="s">
        <v>69</v>
      </c>
      <c r="E89" s="30" t="s">
        <v>42</v>
      </c>
      <c r="F89" s="46">
        <v>100</v>
      </c>
      <c r="G89" s="46" t="s">
        <v>44</v>
      </c>
      <c r="H89" s="56">
        <f t="shared" si="6"/>
        <v>3</v>
      </c>
      <c r="I89" s="46">
        <v>237</v>
      </c>
      <c r="J89" s="46"/>
      <c r="K89" s="46"/>
      <c r="L89" s="41">
        <v>45208</v>
      </c>
      <c r="M89" s="47">
        <v>0.8125</v>
      </c>
      <c r="R89" s="48" t="str">
        <f t="shared" ca="1" si="4"/>
        <v/>
      </c>
      <c r="S89" s="48" t="str">
        <f t="shared" ca="1" si="5"/>
        <v/>
      </c>
    </row>
    <row r="90" spans="1:19" x14ac:dyDescent="0.35">
      <c r="A90" s="28" t="s">
        <v>61</v>
      </c>
      <c r="B90" s="38">
        <v>2230</v>
      </c>
      <c r="C90" s="38">
        <v>100</v>
      </c>
      <c r="D90" s="38" t="s">
        <v>69</v>
      </c>
      <c r="E90" s="30" t="s">
        <v>42</v>
      </c>
      <c r="F90" s="46">
        <v>100</v>
      </c>
      <c r="G90" s="46" t="s">
        <v>44</v>
      </c>
      <c r="H90" s="56">
        <f t="shared" si="6"/>
        <v>3</v>
      </c>
      <c r="I90" s="46">
        <v>260</v>
      </c>
      <c r="J90" s="46"/>
      <c r="K90" s="46"/>
      <c r="L90" s="41">
        <v>45208</v>
      </c>
      <c r="M90" s="47">
        <v>0.82986111111111116</v>
      </c>
      <c r="R90" s="48" t="str">
        <f t="shared" ca="1" si="4"/>
        <v/>
      </c>
      <c r="S90" s="48" t="str">
        <f t="shared" ca="1" si="5"/>
        <v/>
      </c>
    </row>
    <row r="91" spans="1:19" x14ac:dyDescent="0.35">
      <c r="A91" s="28" t="s">
        <v>61</v>
      </c>
      <c r="B91" s="38">
        <v>2240</v>
      </c>
      <c r="C91" s="38">
        <v>100</v>
      </c>
      <c r="D91" s="38" t="s">
        <v>67</v>
      </c>
      <c r="E91" s="30" t="s">
        <v>19</v>
      </c>
      <c r="F91" s="46">
        <v>100</v>
      </c>
      <c r="G91" s="46" t="s">
        <v>44</v>
      </c>
      <c r="H91" s="56">
        <f t="shared" si="6"/>
        <v>3</v>
      </c>
      <c r="I91" s="46">
        <v>278</v>
      </c>
      <c r="J91" s="46"/>
      <c r="K91" s="46"/>
      <c r="L91" s="41">
        <v>45208</v>
      </c>
      <c r="M91" s="47">
        <v>0.85069444444444453</v>
      </c>
      <c r="R91" s="48" t="str">
        <f t="shared" ca="1" si="4"/>
        <v/>
      </c>
      <c r="S91" s="48" t="str">
        <f t="shared" ca="1" si="5"/>
        <v/>
      </c>
    </row>
    <row r="92" spans="1:19" x14ac:dyDescent="0.35">
      <c r="A92" s="28" t="s">
        <v>61</v>
      </c>
      <c r="B92" s="38">
        <v>2250</v>
      </c>
      <c r="C92" s="38">
        <v>95</v>
      </c>
      <c r="D92" s="38" t="s">
        <v>67</v>
      </c>
      <c r="E92" s="30" t="s">
        <v>19</v>
      </c>
      <c r="F92" s="46">
        <v>100</v>
      </c>
      <c r="G92" s="46" t="s">
        <v>44</v>
      </c>
      <c r="H92" s="56">
        <f t="shared" si="6"/>
        <v>3</v>
      </c>
      <c r="I92" s="46">
        <v>252</v>
      </c>
      <c r="J92" s="46"/>
      <c r="K92" s="46"/>
      <c r="L92" s="41">
        <v>45208</v>
      </c>
      <c r="M92" s="47">
        <v>0.86597222222222225</v>
      </c>
      <c r="R92" s="48" t="str">
        <f t="shared" ca="1" si="4"/>
        <v/>
      </c>
      <c r="S92" s="48" t="str">
        <f t="shared" ca="1" si="5"/>
        <v/>
      </c>
    </row>
    <row r="93" spans="1:19" x14ac:dyDescent="0.35">
      <c r="A93" s="28" t="s">
        <v>61</v>
      </c>
      <c r="B93" s="38">
        <v>2260</v>
      </c>
      <c r="C93" s="38">
        <v>90</v>
      </c>
      <c r="D93" s="38" t="s">
        <v>67</v>
      </c>
      <c r="E93" s="30" t="s">
        <v>19</v>
      </c>
      <c r="F93" s="46">
        <v>100</v>
      </c>
      <c r="G93" s="46" t="s">
        <v>64</v>
      </c>
      <c r="H93" s="56">
        <f t="shared" si="6"/>
        <v>2.5</v>
      </c>
      <c r="I93" s="46">
        <v>152</v>
      </c>
      <c r="J93" s="46"/>
      <c r="K93" s="46"/>
      <c r="L93" s="41">
        <v>45208</v>
      </c>
      <c r="M93" s="47">
        <v>0.88888888888888884</v>
      </c>
      <c r="R93" s="48" t="str">
        <f t="shared" ca="1" si="4"/>
        <v/>
      </c>
      <c r="S93" s="48" t="str">
        <f t="shared" ca="1" si="5"/>
        <v/>
      </c>
    </row>
    <row r="94" spans="1:19" x14ac:dyDescent="0.35">
      <c r="A94" s="28" t="s">
        <v>61</v>
      </c>
      <c r="B94" s="38">
        <v>2270</v>
      </c>
      <c r="C94" s="38">
        <v>40</v>
      </c>
      <c r="D94" s="38" t="s">
        <v>70</v>
      </c>
      <c r="E94" s="30" t="s">
        <v>19</v>
      </c>
      <c r="F94" s="46">
        <v>60</v>
      </c>
      <c r="G94" s="46" t="s">
        <v>43</v>
      </c>
      <c r="H94" s="56">
        <f t="shared" si="6"/>
        <v>2</v>
      </c>
      <c r="I94" s="46">
        <v>153</v>
      </c>
      <c r="J94" s="46"/>
      <c r="K94" s="46"/>
      <c r="L94" s="41">
        <v>45208</v>
      </c>
      <c r="M94" s="47">
        <v>0.90972222222222221</v>
      </c>
      <c r="R94" s="48" t="str">
        <f t="shared" ca="1" si="4"/>
        <v/>
      </c>
      <c r="S94" s="48" t="str">
        <f t="shared" ca="1" si="5"/>
        <v/>
      </c>
    </row>
    <row r="95" spans="1:19" x14ac:dyDescent="0.35">
      <c r="A95" s="28" t="s">
        <v>61</v>
      </c>
      <c r="B95" s="38">
        <v>2280</v>
      </c>
      <c r="C95" s="38">
        <v>30</v>
      </c>
      <c r="D95" s="38" t="s">
        <v>13</v>
      </c>
      <c r="E95" s="30" t="s">
        <v>14</v>
      </c>
      <c r="F95" s="46">
        <v>40</v>
      </c>
      <c r="G95" s="56" t="s">
        <v>66</v>
      </c>
      <c r="H95" s="56">
        <f t="shared" si="6"/>
        <v>1</v>
      </c>
      <c r="I95" s="46">
        <v>130</v>
      </c>
      <c r="J95" s="46"/>
      <c r="K95" s="46"/>
      <c r="L95" s="41">
        <v>45208</v>
      </c>
      <c r="M95" s="47">
        <v>0.93888888888888899</v>
      </c>
      <c r="R95" s="48" t="str">
        <f t="shared" ca="1" si="4"/>
        <v/>
      </c>
      <c r="S95" s="48" t="str">
        <f t="shared" ca="1" si="5"/>
        <v/>
      </c>
    </row>
    <row r="96" spans="1:19" x14ac:dyDescent="0.35">
      <c r="A96" s="28" t="s">
        <v>61</v>
      </c>
      <c r="B96" s="38">
        <v>2290</v>
      </c>
      <c r="C96" s="38">
        <v>10</v>
      </c>
      <c r="D96" s="38" t="s">
        <v>13</v>
      </c>
      <c r="E96" s="30" t="s">
        <v>14</v>
      </c>
      <c r="F96" s="46">
        <v>0</v>
      </c>
      <c r="G96" s="46" t="s">
        <v>48</v>
      </c>
      <c r="H96" s="56">
        <f t="shared" si="6"/>
        <v>0.5</v>
      </c>
      <c r="I96" s="46">
        <v>115</v>
      </c>
      <c r="J96" s="46"/>
      <c r="K96" s="46"/>
      <c r="L96" s="41">
        <v>45208</v>
      </c>
      <c r="M96" s="47">
        <v>0.96111111111111114</v>
      </c>
      <c r="R96" s="48" t="str">
        <f t="shared" ca="1" si="4"/>
        <v/>
      </c>
      <c r="S96" s="48" t="str">
        <f t="shared" ca="1" si="5"/>
        <v/>
      </c>
    </row>
    <row r="97" spans="1:19" x14ac:dyDescent="0.35">
      <c r="A97" s="28" t="s">
        <v>61</v>
      </c>
      <c r="B97" s="38">
        <v>2300</v>
      </c>
      <c r="C97" s="38">
        <v>20</v>
      </c>
      <c r="D97" s="38" t="s">
        <v>62</v>
      </c>
      <c r="E97" s="30" t="s">
        <v>63</v>
      </c>
      <c r="F97" s="46">
        <v>0</v>
      </c>
      <c r="G97" s="46" t="s">
        <v>48</v>
      </c>
      <c r="H97" s="56">
        <f t="shared" si="6"/>
        <v>0.5</v>
      </c>
      <c r="I97" s="46">
        <v>127</v>
      </c>
      <c r="J97" s="46"/>
      <c r="K97" s="46"/>
      <c r="L97" s="41">
        <v>45208</v>
      </c>
      <c r="M97" s="47">
        <v>0.98402777777777783</v>
      </c>
      <c r="R97" s="48" t="str">
        <f t="shared" ca="1" si="4"/>
        <v/>
      </c>
      <c r="S97" s="48" t="str">
        <f t="shared" ca="1" si="5"/>
        <v/>
      </c>
    </row>
    <row r="98" spans="1:19" x14ac:dyDescent="0.35">
      <c r="A98" s="28" t="s">
        <v>61</v>
      </c>
      <c r="B98" s="38">
        <v>2310</v>
      </c>
      <c r="C98" s="38">
        <v>80</v>
      </c>
      <c r="D98" s="38" t="s">
        <v>13</v>
      </c>
      <c r="E98" s="30" t="s">
        <v>14</v>
      </c>
      <c r="F98" s="46">
        <v>30</v>
      </c>
      <c r="G98" s="56" t="s">
        <v>66</v>
      </c>
      <c r="H98" s="56">
        <f t="shared" si="6"/>
        <v>1</v>
      </c>
      <c r="I98" s="46">
        <v>233</v>
      </c>
      <c r="J98" s="46"/>
      <c r="K98" s="46"/>
      <c r="L98" s="41">
        <v>45209</v>
      </c>
      <c r="M98" s="47">
        <v>3.472222222222222E-3</v>
      </c>
      <c r="R98" s="48" t="str">
        <f t="shared" ca="1" si="4"/>
        <v/>
      </c>
      <c r="S98" s="48" t="str">
        <f t="shared" ca="1" si="5"/>
        <v/>
      </c>
    </row>
    <row r="99" spans="1:19" x14ac:dyDescent="0.35">
      <c r="A99" s="28" t="s">
        <v>61</v>
      </c>
      <c r="B99" s="38">
        <v>2320</v>
      </c>
      <c r="C99" s="38">
        <v>80</v>
      </c>
      <c r="D99" s="38" t="s">
        <v>67</v>
      </c>
      <c r="E99" s="30" t="s">
        <v>19</v>
      </c>
      <c r="F99" s="46">
        <v>60</v>
      </c>
      <c r="G99" s="46" t="s">
        <v>43</v>
      </c>
      <c r="H99" s="56">
        <f t="shared" si="6"/>
        <v>2</v>
      </c>
      <c r="I99" s="46">
        <v>366</v>
      </c>
      <c r="J99" s="46"/>
      <c r="K99" s="46"/>
      <c r="L99" s="41">
        <v>45209</v>
      </c>
      <c r="M99" s="47">
        <v>2.0833333333333332E-2</v>
      </c>
      <c r="R99" s="48" t="str">
        <f t="shared" ca="1" si="4"/>
        <v/>
      </c>
      <c r="S99" s="48" t="str">
        <f t="shared" ca="1" si="5"/>
        <v/>
      </c>
    </row>
    <row r="100" spans="1:19" x14ac:dyDescent="0.35">
      <c r="A100" s="28" t="s">
        <v>61</v>
      </c>
      <c r="B100" s="38">
        <v>2330</v>
      </c>
      <c r="C100" s="38">
        <v>100</v>
      </c>
      <c r="D100" s="38" t="s">
        <v>67</v>
      </c>
      <c r="E100" s="30" t="s">
        <v>19</v>
      </c>
      <c r="F100" s="46">
        <v>100</v>
      </c>
      <c r="G100" s="46" t="s">
        <v>64</v>
      </c>
      <c r="H100" s="56">
        <f t="shared" si="6"/>
        <v>2.5</v>
      </c>
      <c r="I100" s="46">
        <v>292</v>
      </c>
      <c r="J100" s="46"/>
      <c r="K100" s="46"/>
      <c r="L100" s="41">
        <v>45209</v>
      </c>
      <c r="M100" s="47">
        <v>3.4722222222222224E-2</v>
      </c>
      <c r="R100" s="48" t="str">
        <f t="shared" ca="1" si="4"/>
        <v/>
      </c>
      <c r="S100" s="48" t="str">
        <f t="shared" ca="1" si="5"/>
        <v/>
      </c>
    </row>
    <row r="101" spans="1:19" x14ac:dyDescent="0.35">
      <c r="A101" s="28" t="s">
        <v>61</v>
      </c>
      <c r="B101" s="38">
        <v>2340</v>
      </c>
      <c r="C101" s="38">
        <v>100</v>
      </c>
      <c r="D101" s="38" t="s">
        <v>67</v>
      </c>
      <c r="E101" s="30" t="s">
        <v>19</v>
      </c>
      <c r="F101" s="46">
        <v>90</v>
      </c>
      <c r="G101" s="46" t="s">
        <v>64</v>
      </c>
      <c r="H101" s="56">
        <f t="shared" si="6"/>
        <v>2.5</v>
      </c>
      <c r="I101" s="46">
        <v>333</v>
      </c>
      <c r="J101" s="46"/>
      <c r="K101" s="46"/>
      <c r="L101" s="41">
        <v>45209</v>
      </c>
      <c r="M101" s="47">
        <v>5.6944444444444443E-2</v>
      </c>
      <c r="R101" s="48" t="str">
        <f t="shared" ca="1" si="4"/>
        <v/>
      </c>
      <c r="S101" s="48" t="str">
        <f t="shared" ca="1" si="5"/>
        <v/>
      </c>
    </row>
    <row r="102" spans="1:19" x14ac:dyDescent="0.35">
      <c r="A102" s="28" t="s">
        <v>61</v>
      </c>
      <c r="B102" s="38">
        <v>2350</v>
      </c>
      <c r="C102" s="38">
        <v>100</v>
      </c>
      <c r="D102" s="38" t="s">
        <v>67</v>
      </c>
      <c r="E102" s="30" t="s">
        <v>19</v>
      </c>
      <c r="F102" s="46">
        <v>100</v>
      </c>
      <c r="G102" s="46" t="s">
        <v>44</v>
      </c>
      <c r="H102" s="56">
        <f t="shared" si="6"/>
        <v>3</v>
      </c>
      <c r="I102" s="46">
        <v>315</v>
      </c>
      <c r="J102" s="46"/>
      <c r="K102" s="46"/>
      <c r="L102" s="41">
        <v>45209</v>
      </c>
      <c r="M102" s="47">
        <v>7.6388888888888895E-2</v>
      </c>
      <c r="R102" s="48" t="str">
        <f t="shared" ca="1" si="4"/>
        <v/>
      </c>
      <c r="S102" s="48" t="str">
        <f t="shared" ca="1" si="5"/>
        <v/>
      </c>
    </row>
    <row r="103" spans="1:19" x14ac:dyDescent="0.35">
      <c r="A103" s="28" t="s">
        <v>61</v>
      </c>
      <c r="B103" s="38">
        <v>2360</v>
      </c>
      <c r="C103" s="38">
        <v>100</v>
      </c>
      <c r="D103" s="38" t="s">
        <v>67</v>
      </c>
      <c r="E103" s="30" t="s">
        <v>19</v>
      </c>
      <c r="F103" s="46">
        <v>90</v>
      </c>
      <c r="G103" s="46" t="s">
        <v>44</v>
      </c>
      <c r="H103" s="56">
        <f t="shared" si="6"/>
        <v>3</v>
      </c>
      <c r="I103" s="46">
        <v>266</v>
      </c>
      <c r="J103" s="46"/>
      <c r="K103" s="46"/>
      <c r="L103" s="41">
        <v>45209</v>
      </c>
      <c r="M103" s="47">
        <v>9.7222222222222224E-2</v>
      </c>
      <c r="R103" s="48" t="str">
        <f t="shared" ca="1" si="4"/>
        <v/>
      </c>
      <c r="S103" s="48" t="str">
        <f t="shared" ca="1" si="5"/>
        <v/>
      </c>
    </row>
    <row r="104" spans="1:19" x14ac:dyDescent="0.35">
      <c r="A104" s="28" t="s">
        <v>61</v>
      </c>
      <c r="B104" s="38">
        <v>2370</v>
      </c>
      <c r="C104" s="38">
        <v>100</v>
      </c>
      <c r="D104" s="38" t="s">
        <v>67</v>
      </c>
      <c r="E104" s="30" t="s">
        <v>19</v>
      </c>
      <c r="F104" s="46">
        <v>100</v>
      </c>
      <c r="G104" s="46" t="s">
        <v>44</v>
      </c>
      <c r="H104" s="56">
        <f t="shared" si="6"/>
        <v>3</v>
      </c>
      <c r="I104" s="46">
        <v>263</v>
      </c>
      <c r="J104" s="46"/>
      <c r="K104" s="46"/>
      <c r="L104" s="41">
        <v>45209</v>
      </c>
      <c r="M104" s="47">
        <v>0.11458333333333333</v>
      </c>
      <c r="R104" s="48" t="str">
        <f t="shared" ca="1" si="4"/>
        <v/>
      </c>
      <c r="S104" s="48" t="str">
        <f t="shared" ca="1" si="5"/>
        <v/>
      </c>
    </row>
    <row r="105" spans="1:19" x14ac:dyDescent="0.35">
      <c r="A105" s="28" t="s">
        <v>61</v>
      </c>
      <c r="B105" s="38">
        <v>2380</v>
      </c>
      <c r="C105" s="38">
        <v>100</v>
      </c>
      <c r="D105" s="38" t="s">
        <v>13</v>
      </c>
      <c r="E105" s="30" t="s">
        <v>14</v>
      </c>
      <c r="F105" s="46">
        <v>100</v>
      </c>
      <c r="G105" s="46" t="s">
        <v>44</v>
      </c>
      <c r="H105" s="56">
        <f t="shared" si="6"/>
        <v>3</v>
      </c>
      <c r="I105" s="46">
        <v>341</v>
      </c>
      <c r="J105" s="46"/>
      <c r="K105" s="46"/>
      <c r="L105" s="41">
        <v>45209</v>
      </c>
      <c r="M105" s="47">
        <v>0.13541666666666666</v>
      </c>
      <c r="R105" s="48" t="str">
        <f t="shared" ca="1" si="4"/>
        <v/>
      </c>
      <c r="S105" s="48" t="str">
        <f t="shared" ca="1" si="5"/>
        <v/>
      </c>
    </row>
    <row r="106" spans="1:19" x14ac:dyDescent="0.35">
      <c r="A106" s="28" t="s">
        <v>61</v>
      </c>
      <c r="B106" s="38">
        <v>2390</v>
      </c>
      <c r="C106" s="38">
        <v>90</v>
      </c>
      <c r="D106" s="38" t="s">
        <v>69</v>
      </c>
      <c r="E106" s="30" t="s">
        <v>42</v>
      </c>
      <c r="F106" s="46">
        <v>100</v>
      </c>
      <c r="G106" s="46" t="s">
        <v>64</v>
      </c>
      <c r="H106" s="56">
        <f t="shared" si="6"/>
        <v>2.5</v>
      </c>
      <c r="I106" s="46">
        <v>212</v>
      </c>
      <c r="J106" s="46"/>
      <c r="K106" s="46"/>
      <c r="L106" s="41">
        <v>45209</v>
      </c>
      <c r="M106" s="47">
        <v>0.15138888888888888</v>
      </c>
      <c r="R106" s="48" t="str">
        <f t="shared" ca="1" si="4"/>
        <v/>
      </c>
      <c r="S106" s="48" t="str">
        <f t="shared" ca="1" si="5"/>
        <v/>
      </c>
    </row>
    <row r="107" spans="1:19" x14ac:dyDescent="0.35">
      <c r="A107" s="28" t="s">
        <v>61</v>
      </c>
      <c r="B107" s="38">
        <v>2400</v>
      </c>
      <c r="C107" s="38">
        <v>90</v>
      </c>
      <c r="D107" s="38" t="s">
        <v>67</v>
      </c>
      <c r="E107" s="30" t="s">
        <v>19</v>
      </c>
      <c r="F107" s="46">
        <v>90</v>
      </c>
      <c r="G107" s="46" t="s">
        <v>43</v>
      </c>
      <c r="H107" s="56">
        <f t="shared" si="6"/>
        <v>2</v>
      </c>
      <c r="I107" s="46">
        <v>250</v>
      </c>
      <c r="J107" s="46"/>
      <c r="K107" s="46"/>
      <c r="L107" s="41">
        <v>45209</v>
      </c>
      <c r="M107" s="47">
        <v>0.17013888888888887</v>
      </c>
      <c r="R107" s="48" t="str">
        <f t="shared" ca="1" si="4"/>
        <v/>
      </c>
      <c r="S107" s="48" t="str">
        <f t="shared" ca="1" si="5"/>
        <v/>
      </c>
    </row>
    <row r="108" spans="1:19" x14ac:dyDescent="0.35">
      <c r="A108" s="28" t="s">
        <v>61</v>
      </c>
      <c r="B108" s="38">
        <v>2410</v>
      </c>
      <c r="C108" s="38">
        <v>100</v>
      </c>
      <c r="D108" s="38" t="s">
        <v>67</v>
      </c>
      <c r="E108" s="30" t="s">
        <v>19</v>
      </c>
      <c r="F108" s="46">
        <v>100</v>
      </c>
      <c r="G108" s="46" t="s">
        <v>44</v>
      </c>
      <c r="H108" s="56">
        <f t="shared" si="6"/>
        <v>3</v>
      </c>
      <c r="I108" s="46">
        <v>238</v>
      </c>
      <c r="J108" s="46"/>
      <c r="K108" s="46"/>
      <c r="L108" s="41">
        <v>45209</v>
      </c>
      <c r="M108" s="47">
        <v>0.1875</v>
      </c>
      <c r="R108" s="48" t="str">
        <f t="shared" ca="1" si="4"/>
        <v/>
      </c>
      <c r="S108" s="48" t="str">
        <f t="shared" ca="1" si="5"/>
        <v/>
      </c>
    </row>
    <row r="109" spans="1:19" x14ac:dyDescent="0.35">
      <c r="A109" s="28" t="s">
        <v>61</v>
      </c>
      <c r="B109" s="38">
        <v>2420</v>
      </c>
      <c r="C109" s="38">
        <v>100</v>
      </c>
      <c r="D109" s="38" t="s">
        <v>67</v>
      </c>
      <c r="E109" s="30" t="s">
        <v>19</v>
      </c>
      <c r="F109" s="46">
        <v>100</v>
      </c>
      <c r="G109" s="46" t="s">
        <v>44</v>
      </c>
      <c r="H109" s="56">
        <f t="shared" ref="H109:H135" si="7">_xlfn.XLOOKUP(G109,$S$4:$S$9,$T$4:$T$9,"",0,1)</f>
        <v>3</v>
      </c>
      <c r="I109" s="46">
        <v>198</v>
      </c>
      <c r="J109" s="46"/>
      <c r="K109" s="46"/>
      <c r="L109" s="41">
        <v>45209</v>
      </c>
      <c r="M109" s="47">
        <v>0.21527777777777779</v>
      </c>
      <c r="R109" s="48" t="str">
        <f t="shared" ca="1" si="4"/>
        <v/>
      </c>
      <c r="S109" s="48" t="str">
        <f t="shared" ca="1" si="5"/>
        <v/>
      </c>
    </row>
    <row r="110" spans="1:19" x14ac:dyDescent="0.35">
      <c r="A110" s="28" t="s">
        <v>61</v>
      </c>
      <c r="B110" s="38">
        <v>2430</v>
      </c>
      <c r="C110" s="38">
        <v>100</v>
      </c>
      <c r="D110" s="38" t="s">
        <v>67</v>
      </c>
      <c r="E110" s="30" t="s">
        <v>19</v>
      </c>
      <c r="F110" s="46">
        <v>100</v>
      </c>
      <c r="G110" s="46" t="s">
        <v>44</v>
      </c>
      <c r="H110" s="56">
        <f t="shared" si="7"/>
        <v>3</v>
      </c>
      <c r="I110" s="46">
        <v>275</v>
      </c>
      <c r="J110" s="46"/>
      <c r="K110" s="46"/>
      <c r="L110" s="41">
        <v>45209</v>
      </c>
      <c r="M110" s="47">
        <v>0.23611111111111113</v>
      </c>
      <c r="R110" s="48" t="str">
        <f t="shared" ca="1" si="4"/>
        <v/>
      </c>
      <c r="S110" s="48" t="str">
        <f t="shared" ca="1" si="5"/>
        <v/>
      </c>
    </row>
    <row r="111" spans="1:19" x14ac:dyDescent="0.35">
      <c r="A111" s="28" t="s">
        <v>61</v>
      </c>
      <c r="B111" s="38">
        <v>2440</v>
      </c>
      <c r="C111" s="38">
        <v>80</v>
      </c>
      <c r="D111" s="38" t="s">
        <v>13</v>
      </c>
      <c r="E111" s="30" t="s">
        <v>14</v>
      </c>
      <c r="F111" s="46">
        <v>50</v>
      </c>
      <c r="G111" s="46" t="s">
        <v>43</v>
      </c>
      <c r="H111" s="56">
        <f t="shared" si="7"/>
        <v>2</v>
      </c>
      <c r="I111" s="46">
        <v>201</v>
      </c>
      <c r="J111" s="46"/>
      <c r="K111" s="46"/>
      <c r="L111" s="41">
        <v>45209</v>
      </c>
      <c r="M111" s="47">
        <v>0.25347222222222221</v>
      </c>
      <c r="R111" s="48" t="str">
        <f t="shared" ca="1" si="4"/>
        <v/>
      </c>
      <c r="S111" s="48" t="str">
        <f t="shared" ca="1" si="5"/>
        <v/>
      </c>
    </row>
    <row r="112" spans="1:19" x14ac:dyDescent="0.35">
      <c r="A112" s="28" t="s">
        <v>61</v>
      </c>
      <c r="B112" s="38">
        <v>2450</v>
      </c>
      <c r="C112" s="38">
        <v>80</v>
      </c>
      <c r="D112" s="38" t="s">
        <v>13</v>
      </c>
      <c r="E112" s="30" t="s">
        <v>14</v>
      </c>
      <c r="F112" s="46">
        <v>100</v>
      </c>
      <c r="G112" s="46" t="s">
        <v>47</v>
      </c>
      <c r="H112" s="56" t="str">
        <f t="shared" si="7"/>
        <v/>
      </c>
      <c r="I112" s="46">
        <v>219</v>
      </c>
      <c r="J112" s="46"/>
      <c r="K112" s="46"/>
      <c r="L112" s="41">
        <v>45209</v>
      </c>
      <c r="M112" s="47">
        <v>0.27083333333333331</v>
      </c>
      <c r="R112" s="48" t="str">
        <f t="shared" ca="1" si="4"/>
        <v/>
      </c>
      <c r="S112" s="48" t="str">
        <f t="shared" ca="1" si="5"/>
        <v/>
      </c>
    </row>
    <row r="113" spans="1:19" x14ac:dyDescent="0.35">
      <c r="A113" s="28" t="s">
        <v>61</v>
      </c>
      <c r="B113" s="38">
        <v>2460</v>
      </c>
      <c r="C113" s="38">
        <v>90</v>
      </c>
      <c r="D113" s="38" t="s">
        <v>70</v>
      </c>
      <c r="E113" s="30" t="s">
        <v>19</v>
      </c>
      <c r="F113" s="46">
        <v>70</v>
      </c>
      <c r="G113" s="46" t="s">
        <v>47</v>
      </c>
      <c r="H113" s="56" t="str">
        <f t="shared" si="7"/>
        <v/>
      </c>
      <c r="I113" s="46">
        <v>235</v>
      </c>
      <c r="J113" s="46"/>
      <c r="K113" s="46"/>
      <c r="L113" s="41">
        <v>45209</v>
      </c>
      <c r="M113" s="47">
        <v>0.28819444444444448</v>
      </c>
      <c r="R113" s="48" t="str">
        <f t="shared" ca="1" si="4"/>
        <v/>
      </c>
      <c r="S113" s="48" t="str">
        <f t="shared" ca="1" si="5"/>
        <v/>
      </c>
    </row>
    <row r="114" spans="1:19" x14ac:dyDescent="0.35">
      <c r="A114" s="28" t="s">
        <v>61</v>
      </c>
      <c r="B114" s="38">
        <v>2470</v>
      </c>
      <c r="C114" s="38">
        <v>95</v>
      </c>
      <c r="D114" s="38" t="s">
        <v>22</v>
      </c>
      <c r="E114" s="30" t="s">
        <v>42</v>
      </c>
      <c r="F114" s="46">
        <v>80</v>
      </c>
      <c r="G114" s="46" t="s">
        <v>47</v>
      </c>
      <c r="H114" s="56" t="str">
        <f t="shared" si="7"/>
        <v/>
      </c>
      <c r="I114" s="46">
        <v>200</v>
      </c>
      <c r="J114" s="46"/>
      <c r="K114" s="46"/>
      <c r="L114" s="41">
        <v>45209</v>
      </c>
      <c r="M114" s="47">
        <v>0.31597222222222221</v>
      </c>
      <c r="R114" s="48" t="str">
        <f t="shared" ca="1" si="4"/>
        <v/>
      </c>
      <c r="S114" s="48" t="str">
        <f t="shared" ca="1" si="5"/>
        <v/>
      </c>
    </row>
    <row r="115" spans="1:19" x14ac:dyDescent="0.35">
      <c r="A115" s="28" t="s">
        <v>61</v>
      </c>
      <c r="B115" s="38">
        <v>2480</v>
      </c>
      <c r="C115" s="38">
        <v>95</v>
      </c>
      <c r="D115" s="38" t="s">
        <v>71</v>
      </c>
      <c r="E115" s="30" t="s">
        <v>42</v>
      </c>
      <c r="F115" s="46">
        <v>90</v>
      </c>
      <c r="G115" s="46" t="s">
        <v>47</v>
      </c>
      <c r="H115" s="56" t="str">
        <f t="shared" si="7"/>
        <v/>
      </c>
      <c r="I115" s="46">
        <v>341</v>
      </c>
      <c r="J115" s="46"/>
      <c r="K115" s="46"/>
      <c r="L115" s="41">
        <v>45209</v>
      </c>
      <c r="M115" s="47">
        <v>0.34027777777777773</v>
      </c>
      <c r="R115" s="48" t="str">
        <f t="shared" ca="1" si="4"/>
        <v/>
      </c>
      <c r="S115" s="48" t="str">
        <f t="shared" ca="1" si="5"/>
        <v/>
      </c>
    </row>
    <row r="116" spans="1:19" x14ac:dyDescent="0.35">
      <c r="A116" s="28" t="s">
        <v>61</v>
      </c>
      <c r="B116" s="38">
        <v>2490</v>
      </c>
      <c r="C116" s="38">
        <v>100</v>
      </c>
      <c r="D116" s="38" t="s">
        <v>13</v>
      </c>
      <c r="E116" s="30" t="s">
        <v>42</v>
      </c>
      <c r="F116" s="46">
        <v>100</v>
      </c>
      <c r="G116" s="46" t="s">
        <v>47</v>
      </c>
      <c r="H116" s="56" t="str">
        <f t="shared" si="7"/>
        <v/>
      </c>
      <c r="I116" s="46">
        <v>330</v>
      </c>
      <c r="J116" s="46"/>
      <c r="K116" s="46"/>
      <c r="L116" s="41">
        <v>45209</v>
      </c>
      <c r="M116" s="47">
        <v>0.3576388888888889</v>
      </c>
      <c r="R116" s="48" t="str">
        <f t="shared" ca="1" si="4"/>
        <v/>
      </c>
      <c r="S116" s="48" t="str">
        <f t="shared" ca="1" si="5"/>
        <v/>
      </c>
    </row>
    <row r="117" spans="1:19" x14ac:dyDescent="0.35">
      <c r="A117" s="28" t="s">
        <v>61</v>
      </c>
      <c r="B117" s="38">
        <v>2500</v>
      </c>
      <c r="C117" s="38">
        <v>100</v>
      </c>
      <c r="D117" s="38" t="s">
        <v>13</v>
      </c>
      <c r="E117" s="30" t="s">
        <v>19</v>
      </c>
      <c r="F117" s="46">
        <v>100</v>
      </c>
      <c r="G117" s="46" t="s">
        <v>47</v>
      </c>
      <c r="H117" s="56" t="str">
        <f t="shared" si="7"/>
        <v/>
      </c>
      <c r="I117" s="46">
        <v>284</v>
      </c>
      <c r="J117" s="46"/>
      <c r="K117" s="46"/>
      <c r="L117" s="41">
        <v>45209</v>
      </c>
      <c r="M117" s="47">
        <v>0.375</v>
      </c>
      <c r="R117" s="48" t="str">
        <f t="shared" ca="1" si="4"/>
        <v/>
      </c>
      <c r="S117" s="48" t="str">
        <f t="shared" ca="1" si="5"/>
        <v/>
      </c>
    </row>
    <row r="118" spans="1:19" x14ac:dyDescent="0.35">
      <c r="A118" s="28" t="s">
        <v>61</v>
      </c>
      <c r="B118" s="38">
        <v>2510</v>
      </c>
      <c r="C118" s="38">
        <v>100</v>
      </c>
      <c r="D118" s="38" t="s">
        <v>13</v>
      </c>
      <c r="E118" s="30" t="s">
        <v>14</v>
      </c>
      <c r="F118" s="46">
        <v>100</v>
      </c>
      <c r="G118" s="46" t="s">
        <v>47</v>
      </c>
      <c r="H118" s="56" t="str">
        <f t="shared" si="7"/>
        <v/>
      </c>
      <c r="I118" s="46">
        <v>275</v>
      </c>
      <c r="J118" s="46"/>
      <c r="K118" s="46"/>
      <c r="L118" s="41">
        <v>45209</v>
      </c>
      <c r="M118" s="47">
        <v>0.39930555555555558</v>
      </c>
      <c r="R118" s="48" t="str">
        <f t="shared" ca="1" si="4"/>
        <v/>
      </c>
      <c r="S118" s="48" t="str">
        <f t="shared" ca="1" si="5"/>
        <v/>
      </c>
    </row>
    <row r="119" spans="1:19" x14ac:dyDescent="0.35">
      <c r="A119" s="28" t="s">
        <v>61</v>
      </c>
      <c r="B119" s="38">
        <v>2520</v>
      </c>
      <c r="C119" s="38">
        <v>95</v>
      </c>
      <c r="D119" s="38" t="s">
        <v>13</v>
      </c>
      <c r="E119" s="30" t="s">
        <v>42</v>
      </c>
      <c r="F119" s="46">
        <v>100</v>
      </c>
      <c r="G119" s="46" t="s">
        <v>47</v>
      </c>
      <c r="H119" s="56" t="str">
        <f t="shared" si="7"/>
        <v/>
      </c>
      <c r="I119" s="46">
        <v>260</v>
      </c>
      <c r="J119" s="46"/>
      <c r="K119" s="46"/>
      <c r="L119" s="41">
        <v>45209</v>
      </c>
      <c r="M119" s="47">
        <v>0.41666666666666669</v>
      </c>
      <c r="R119" s="48" t="str">
        <f t="shared" ca="1" si="4"/>
        <v/>
      </c>
      <c r="S119" s="48" t="str">
        <f t="shared" ca="1" si="5"/>
        <v/>
      </c>
    </row>
    <row r="120" spans="1:19" x14ac:dyDescent="0.35">
      <c r="A120" s="28" t="s">
        <v>61</v>
      </c>
      <c r="B120" s="38">
        <v>2530</v>
      </c>
      <c r="C120" s="38">
        <v>100</v>
      </c>
      <c r="D120" s="38" t="s">
        <v>13</v>
      </c>
      <c r="E120" s="30" t="s">
        <v>14</v>
      </c>
      <c r="F120" s="46">
        <v>60</v>
      </c>
      <c r="G120" s="46" t="s">
        <v>66</v>
      </c>
      <c r="H120" s="56">
        <f t="shared" si="7"/>
        <v>1</v>
      </c>
      <c r="I120" s="46">
        <v>160</v>
      </c>
      <c r="J120" s="46"/>
      <c r="K120" s="46"/>
      <c r="L120" s="41">
        <v>45209</v>
      </c>
      <c r="M120" s="47">
        <v>0.44444444444444442</v>
      </c>
      <c r="R120" s="48" t="str">
        <f t="shared" ca="1" si="4"/>
        <v/>
      </c>
      <c r="S120" s="48" t="str">
        <f t="shared" ca="1" si="5"/>
        <v/>
      </c>
    </row>
    <row r="121" spans="1:19" x14ac:dyDescent="0.35">
      <c r="A121" s="28" t="s">
        <v>61</v>
      </c>
      <c r="B121" s="38">
        <v>2540</v>
      </c>
      <c r="C121" s="38">
        <v>95</v>
      </c>
      <c r="D121" s="38" t="s">
        <v>13</v>
      </c>
      <c r="E121" s="30" t="s">
        <v>14</v>
      </c>
      <c r="F121" s="46">
        <v>50</v>
      </c>
      <c r="G121" s="46" t="s">
        <v>66</v>
      </c>
      <c r="H121" s="56">
        <f t="shared" si="7"/>
        <v>1</v>
      </c>
      <c r="I121" s="46">
        <v>158</v>
      </c>
      <c r="J121" s="46"/>
      <c r="K121" s="46"/>
      <c r="L121" s="41">
        <v>45209</v>
      </c>
      <c r="M121" s="47">
        <v>0.46527777777777773</v>
      </c>
      <c r="R121" s="48" t="str">
        <f t="shared" ca="1" si="4"/>
        <v/>
      </c>
      <c r="S121" s="48" t="str">
        <f t="shared" ca="1" si="5"/>
        <v/>
      </c>
    </row>
    <row r="122" spans="1:19" x14ac:dyDescent="0.35">
      <c r="A122" s="28" t="s">
        <v>61</v>
      </c>
      <c r="B122" s="38">
        <v>2550</v>
      </c>
      <c r="C122" s="38">
        <v>60</v>
      </c>
      <c r="D122" s="38" t="s">
        <v>13</v>
      </c>
      <c r="E122" s="30" t="s">
        <v>42</v>
      </c>
      <c r="F122" s="46">
        <v>10</v>
      </c>
      <c r="G122" s="46" t="s">
        <v>66</v>
      </c>
      <c r="H122" s="56">
        <f t="shared" si="7"/>
        <v>1</v>
      </c>
      <c r="I122" s="46">
        <v>128</v>
      </c>
      <c r="J122" s="46" t="s">
        <v>72</v>
      </c>
      <c r="K122" s="46"/>
      <c r="L122" s="41">
        <v>45209</v>
      </c>
      <c r="M122" s="47">
        <v>0.4826388888888889</v>
      </c>
      <c r="R122" s="48" t="str">
        <f t="shared" ca="1" si="4"/>
        <v/>
      </c>
      <c r="S122" s="48" t="str">
        <f t="shared" ca="1" si="5"/>
        <v/>
      </c>
    </row>
    <row r="123" spans="1:19" x14ac:dyDescent="0.35">
      <c r="A123" s="28" t="s">
        <v>61</v>
      </c>
      <c r="B123" s="38">
        <v>2560</v>
      </c>
      <c r="C123" s="38">
        <v>20</v>
      </c>
      <c r="D123" s="38" t="s">
        <v>13</v>
      </c>
      <c r="E123" s="30" t="s">
        <v>42</v>
      </c>
      <c r="F123" s="46">
        <v>25</v>
      </c>
      <c r="G123" s="46" t="s">
        <v>66</v>
      </c>
      <c r="H123" s="56">
        <f t="shared" si="7"/>
        <v>1</v>
      </c>
      <c r="I123" s="46">
        <v>119</v>
      </c>
      <c r="J123" s="46" t="s">
        <v>72</v>
      </c>
      <c r="K123" s="46"/>
      <c r="L123" s="41">
        <v>45209</v>
      </c>
      <c r="M123" s="47">
        <v>0.50347222222222221</v>
      </c>
      <c r="R123" s="48" t="str">
        <f t="shared" ca="1" si="4"/>
        <v/>
      </c>
      <c r="S123" s="48" t="str">
        <f t="shared" ca="1" si="5"/>
        <v/>
      </c>
    </row>
    <row r="124" spans="1:19" x14ac:dyDescent="0.35">
      <c r="A124" s="28" t="s">
        <v>61</v>
      </c>
      <c r="B124" s="38">
        <v>2570</v>
      </c>
      <c r="C124" s="38">
        <v>20</v>
      </c>
      <c r="D124" s="38" t="s">
        <v>13</v>
      </c>
      <c r="E124" s="30" t="s">
        <v>42</v>
      </c>
      <c r="F124" s="46">
        <v>25</v>
      </c>
      <c r="G124" s="46" t="s">
        <v>66</v>
      </c>
      <c r="H124" s="56">
        <f t="shared" si="7"/>
        <v>1</v>
      </c>
      <c r="I124" s="46">
        <v>123</v>
      </c>
      <c r="J124" s="46" t="s">
        <v>72</v>
      </c>
      <c r="K124" s="46"/>
      <c r="L124" s="41">
        <v>45209</v>
      </c>
      <c r="M124" s="47">
        <v>0.52430555555555558</v>
      </c>
      <c r="R124" s="48" t="str">
        <f t="shared" ca="1" si="4"/>
        <v/>
      </c>
      <c r="S124" s="48" t="str">
        <f t="shared" ca="1" si="5"/>
        <v/>
      </c>
    </row>
    <row r="125" spans="1:19" x14ac:dyDescent="0.35">
      <c r="A125" s="28" t="s">
        <v>61</v>
      </c>
      <c r="B125" s="38">
        <v>2580</v>
      </c>
      <c r="C125" s="38">
        <v>30</v>
      </c>
      <c r="D125" s="38" t="s">
        <v>13</v>
      </c>
      <c r="E125" s="30" t="s">
        <v>19</v>
      </c>
      <c r="F125" s="46">
        <v>25</v>
      </c>
      <c r="G125" s="46" t="s">
        <v>66</v>
      </c>
      <c r="H125" s="56">
        <f t="shared" si="7"/>
        <v>1</v>
      </c>
      <c r="I125" s="46">
        <v>101</v>
      </c>
      <c r="J125" s="46" t="s">
        <v>72</v>
      </c>
      <c r="K125" s="46"/>
      <c r="L125" s="41">
        <v>45209</v>
      </c>
      <c r="M125" s="47">
        <v>0.54513888888888895</v>
      </c>
      <c r="R125" s="48" t="str">
        <f t="shared" ca="1" si="4"/>
        <v/>
      </c>
      <c r="S125" s="48" t="str">
        <f t="shared" ca="1" si="5"/>
        <v/>
      </c>
    </row>
    <row r="126" spans="1:19" x14ac:dyDescent="0.35">
      <c r="A126" s="28" t="s">
        <v>61</v>
      </c>
      <c r="B126" s="38">
        <v>2590</v>
      </c>
      <c r="C126" s="38">
        <v>30</v>
      </c>
      <c r="D126" s="38" t="s">
        <v>13</v>
      </c>
      <c r="E126" s="30" t="s">
        <v>19</v>
      </c>
      <c r="F126" s="46">
        <v>25</v>
      </c>
      <c r="G126" s="46" t="s">
        <v>66</v>
      </c>
      <c r="H126" s="56">
        <f t="shared" si="7"/>
        <v>1</v>
      </c>
      <c r="I126" s="46">
        <v>89</v>
      </c>
      <c r="J126" s="46" t="s">
        <v>72</v>
      </c>
      <c r="K126" s="46"/>
      <c r="L126" s="41">
        <v>45209</v>
      </c>
      <c r="M126" s="47">
        <v>0.58333333333333337</v>
      </c>
      <c r="R126" s="48" t="str">
        <f t="shared" ca="1" si="4"/>
        <v/>
      </c>
      <c r="S126" s="48" t="str">
        <f t="shared" ca="1" si="5"/>
        <v/>
      </c>
    </row>
    <row r="127" spans="1:19" x14ac:dyDescent="0.35">
      <c r="A127" s="28" t="s">
        <v>61</v>
      </c>
      <c r="B127" s="38">
        <v>2600</v>
      </c>
      <c r="C127" s="38">
        <v>40</v>
      </c>
      <c r="D127" s="38" t="s">
        <v>13</v>
      </c>
      <c r="E127" s="30" t="s">
        <v>19</v>
      </c>
      <c r="F127" s="46">
        <v>25</v>
      </c>
      <c r="G127" s="46" t="s">
        <v>66</v>
      </c>
      <c r="H127" s="56">
        <f t="shared" si="7"/>
        <v>1</v>
      </c>
      <c r="I127" s="46">
        <v>94</v>
      </c>
      <c r="J127" s="46" t="s">
        <v>72</v>
      </c>
      <c r="K127" s="46"/>
      <c r="L127" s="41">
        <v>45209</v>
      </c>
      <c r="M127" s="47">
        <v>0.59722222222222221</v>
      </c>
      <c r="R127" s="48" t="str">
        <f t="shared" ca="1" si="4"/>
        <v/>
      </c>
      <c r="S127" s="48" t="str">
        <f t="shared" ca="1" si="5"/>
        <v/>
      </c>
    </row>
    <row r="128" spans="1:19" x14ac:dyDescent="0.35">
      <c r="A128" s="28" t="s">
        <v>61</v>
      </c>
      <c r="B128" s="38">
        <v>2610</v>
      </c>
      <c r="C128" s="38">
        <v>25</v>
      </c>
      <c r="D128" s="38" t="s">
        <v>13</v>
      </c>
      <c r="E128" s="30" t="s">
        <v>19</v>
      </c>
      <c r="F128" s="46">
        <v>20</v>
      </c>
      <c r="G128" s="46" t="s">
        <v>66</v>
      </c>
      <c r="H128" s="56">
        <f t="shared" si="7"/>
        <v>1</v>
      </c>
      <c r="I128" s="46">
        <v>82</v>
      </c>
      <c r="J128" s="46" t="s">
        <v>72</v>
      </c>
      <c r="K128" s="46"/>
      <c r="L128" s="41">
        <v>45209</v>
      </c>
      <c r="M128" s="47">
        <v>0.61805555555555558</v>
      </c>
      <c r="R128" s="48" t="str">
        <f t="shared" ca="1" si="4"/>
        <v/>
      </c>
      <c r="S128" s="48" t="str">
        <f t="shared" ca="1" si="5"/>
        <v/>
      </c>
    </row>
    <row r="129" spans="1:19" x14ac:dyDescent="0.35">
      <c r="A129" s="28" t="s">
        <v>61</v>
      </c>
      <c r="B129" s="38">
        <v>2620</v>
      </c>
      <c r="C129" s="38">
        <v>20</v>
      </c>
      <c r="D129" s="38" t="s">
        <v>13</v>
      </c>
      <c r="E129" s="30" t="s">
        <v>19</v>
      </c>
      <c r="F129" s="46">
        <v>20</v>
      </c>
      <c r="G129" s="46" t="s">
        <v>66</v>
      </c>
      <c r="H129" s="56">
        <f t="shared" si="7"/>
        <v>1</v>
      </c>
      <c r="I129" s="46">
        <v>89</v>
      </c>
      <c r="J129" s="46" t="s">
        <v>72</v>
      </c>
      <c r="K129" s="46"/>
      <c r="L129" s="41">
        <v>45209</v>
      </c>
      <c r="M129" s="47">
        <v>0.63194444444444442</v>
      </c>
      <c r="R129" s="48" t="str">
        <f t="shared" ca="1" si="4"/>
        <v/>
      </c>
      <c r="S129" s="48" t="str">
        <f t="shared" ca="1" si="5"/>
        <v/>
      </c>
    </row>
    <row r="130" spans="1:19" x14ac:dyDescent="0.35">
      <c r="A130" s="28" t="s">
        <v>61</v>
      </c>
      <c r="B130" s="38">
        <v>2630</v>
      </c>
      <c r="C130" s="38">
        <v>40</v>
      </c>
      <c r="D130" s="38" t="s">
        <v>13</v>
      </c>
      <c r="E130" s="30" t="s">
        <v>19</v>
      </c>
      <c r="F130" s="46">
        <v>5</v>
      </c>
      <c r="G130" s="46" t="s">
        <v>66</v>
      </c>
      <c r="H130" s="56">
        <f t="shared" si="7"/>
        <v>1</v>
      </c>
      <c r="I130" s="46">
        <v>84</v>
      </c>
      <c r="J130" s="46" t="s">
        <v>73</v>
      </c>
      <c r="K130" s="46"/>
      <c r="L130" s="41">
        <v>45209</v>
      </c>
      <c r="M130" s="47">
        <v>0.65625</v>
      </c>
      <c r="R130" s="48" t="str">
        <f t="shared" ca="1" si="4"/>
        <v/>
      </c>
      <c r="S130" s="48" t="str">
        <f t="shared" ca="1" si="5"/>
        <v/>
      </c>
    </row>
    <row r="131" spans="1:19" x14ac:dyDescent="0.35">
      <c r="A131" s="28" t="s">
        <v>61</v>
      </c>
      <c r="B131" s="38">
        <v>2640</v>
      </c>
      <c r="C131" s="38">
        <v>60</v>
      </c>
      <c r="D131" s="38" t="s">
        <v>13</v>
      </c>
      <c r="E131" s="30" t="s">
        <v>19</v>
      </c>
      <c r="F131" s="46">
        <v>15</v>
      </c>
      <c r="G131" s="46" t="s">
        <v>66</v>
      </c>
      <c r="H131" s="56">
        <f t="shared" si="7"/>
        <v>1</v>
      </c>
      <c r="I131" s="46">
        <v>100</v>
      </c>
      <c r="J131" s="46" t="s">
        <v>73</v>
      </c>
      <c r="K131" s="46"/>
      <c r="L131" s="41">
        <v>45209</v>
      </c>
      <c r="M131" s="47">
        <v>0.67013888888888884</v>
      </c>
      <c r="R131" s="48" t="str">
        <f t="shared" ca="1" si="4"/>
        <v/>
      </c>
      <c r="S131" s="48" t="str">
        <f t="shared" ca="1" si="5"/>
        <v/>
      </c>
    </row>
    <row r="132" spans="1:19" x14ac:dyDescent="0.35">
      <c r="A132" s="28" t="s">
        <v>61</v>
      </c>
      <c r="B132" s="38">
        <v>2650</v>
      </c>
      <c r="C132" s="38">
        <v>70</v>
      </c>
      <c r="D132" s="38" t="s">
        <v>13</v>
      </c>
      <c r="E132" s="30" t="s">
        <v>19</v>
      </c>
      <c r="F132" s="46">
        <v>10</v>
      </c>
      <c r="G132" s="46" t="s">
        <v>66</v>
      </c>
      <c r="H132" s="56">
        <f t="shared" si="7"/>
        <v>1</v>
      </c>
      <c r="I132" s="46">
        <v>82</v>
      </c>
      <c r="J132" s="46" t="s">
        <v>73</v>
      </c>
      <c r="K132" s="46"/>
      <c r="L132" s="41">
        <v>45209</v>
      </c>
      <c r="M132" s="47">
        <v>0.69444444444444453</v>
      </c>
      <c r="R132" s="48" t="str">
        <f t="shared" ca="1" si="4"/>
        <v/>
      </c>
      <c r="S132" s="48" t="str">
        <f t="shared" ca="1" si="5"/>
        <v/>
      </c>
    </row>
    <row r="133" spans="1:19" x14ac:dyDescent="0.35">
      <c r="A133" s="28" t="s">
        <v>61</v>
      </c>
      <c r="B133" s="38">
        <v>2660</v>
      </c>
      <c r="C133" s="38">
        <v>40</v>
      </c>
      <c r="D133" s="38" t="s">
        <v>13</v>
      </c>
      <c r="E133" s="30" t="s">
        <v>19</v>
      </c>
      <c r="F133" s="46">
        <v>20</v>
      </c>
      <c r="G133" s="46" t="s">
        <v>66</v>
      </c>
      <c r="H133" s="56">
        <f t="shared" si="7"/>
        <v>1</v>
      </c>
      <c r="I133" s="46">
        <v>85</v>
      </c>
      <c r="J133" s="46" t="s">
        <v>74</v>
      </c>
      <c r="K133" s="46"/>
      <c r="L133" s="41">
        <v>45209</v>
      </c>
      <c r="M133" s="47">
        <v>0.71875</v>
      </c>
      <c r="R133" s="48" t="str">
        <f t="shared" ca="1" si="4"/>
        <v/>
      </c>
      <c r="S133" s="48" t="str">
        <f t="shared" ca="1" si="5"/>
        <v/>
      </c>
    </row>
    <row r="134" spans="1:19" x14ac:dyDescent="0.35">
      <c r="A134" s="28" t="s">
        <v>61</v>
      </c>
      <c r="B134" s="38">
        <v>2670</v>
      </c>
      <c r="C134" s="38">
        <v>70</v>
      </c>
      <c r="D134" s="38" t="s">
        <v>67</v>
      </c>
      <c r="E134" s="30" t="s">
        <v>42</v>
      </c>
      <c r="F134" s="46">
        <v>45</v>
      </c>
      <c r="G134" s="46" t="s">
        <v>43</v>
      </c>
      <c r="H134" s="56">
        <f t="shared" si="7"/>
        <v>2</v>
      </c>
      <c r="I134" s="46">
        <v>116</v>
      </c>
      <c r="J134" s="46" t="s">
        <v>74</v>
      </c>
      <c r="K134" s="46"/>
      <c r="L134" s="41">
        <v>45209</v>
      </c>
      <c r="M134" s="47">
        <v>0.73611111111111116</v>
      </c>
      <c r="R134" s="48" t="str">
        <f t="shared" ref="R134:R197" ca="1" si="8">IF(C134="","",IF(OR(L134="",AND(ISNUMBER(R134),C134=R134)),R134,C134))</f>
        <v/>
      </c>
      <c r="S134" s="48" t="str">
        <f t="shared" ref="S134:S197" ca="1" si="9">IF(C134="","",IF(OR(M134="",AND(ISNUMBER(S134),C134=S134)),S134,C134))</f>
        <v/>
      </c>
    </row>
    <row r="135" spans="1:19" x14ac:dyDescent="0.35">
      <c r="A135" s="28" t="s">
        <v>61</v>
      </c>
      <c r="B135" s="38">
        <v>2680</v>
      </c>
      <c r="C135" s="38">
        <v>90</v>
      </c>
      <c r="D135" s="38" t="s">
        <v>67</v>
      </c>
      <c r="E135" s="30" t="s">
        <v>19</v>
      </c>
      <c r="F135" s="46">
        <v>60</v>
      </c>
      <c r="G135" s="46" t="s">
        <v>66</v>
      </c>
      <c r="H135" s="56">
        <f t="shared" si="7"/>
        <v>1</v>
      </c>
      <c r="I135" s="46">
        <v>228</v>
      </c>
      <c r="J135" s="46"/>
      <c r="K135" s="46"/>
      <c r="L135" s="41">
        <v>45209</v>
      </c>
      <c r="M135" s="47">
        <v>0.75486111111111109</v>
      </c>
      <c r="R135" s="48" t="str">
        <f t="shared" ca="1" si="8"/>
        <v/>
      </c>
      <c r="S135" s="48" t="str">
        <f t="shared" ca="1" si="9"/>
        <v/>
      </c>
    </row>
    <row r="136" spans="1:19" x14ac:dyDescent="0.35">
      <c r="A136" s="28" t="s">
        <v>61</v>
      </c>
      <c r="B136" s="38">
        <v>2690</v>
      </c>
      <c r="C136" s="38">
        <v>100</v>
      </c>
      <c r="D136" s="38" t="s">
        <v>67</v>
      </c>
      <c r="E136" s="30" t="s">
        <v>19</v>
      </c>
      <c r="F136" s="46">
        <v>80</v>
      </c>
      <c r="G136" s="64" t="s">
        <v>64</v>
      </c>
      <c r="H136" s="56">
        <f t="shared" ref="H136:H151" si="10">_xlfn.XLOOKUP(G136,$S$4:$S$9,$T$4:$T$9,"",0,1)</f>
        <v>2.5</v>
      </c>
      <c r="I136" s="46">
        <v>250</v>
      </c>
      <c r="J136" s="46"/>
      <c r="K136" s="46"/>
      <c r="L136" s="41">
        <v>45209</v>
      </c>
      <c r="M136" s="47">
        <v>0.77430555555555547</v>
      </c>
      <c r="R136" s="48" t="str">
        <f t="shared" ca="1" si="8"/>
        <v/>
      </c>
      <c r="S136" s="48" t="str">
        <f t="shared" ca="1" si="9"/>
        <v/>
      </c>
    </row>
    <row r="137" spans="1:19" x14ac:dyDescent="0.35">
      <c r="A137" s="28" t="s">
        <v>61</v>
      </c>
      <c r="B137" s="38">
        <v>2700</v>
      </c>
      <c r="C137" s="38">
        <v>90</v>
      </c>
      <c r="D137" s="38" t="s">
        <v>67</v>
      </c>
      <c r="E137" s="30" t="s">
        <v>19</v>
      </c>
      <c r="F137" s="46">
        <v>80</v>
      </c>
      <c r="G137" s="64" t="s">
        <v>64</v>
      </c>
      <c r="H137" s="56">
        <f t="shared" si="10"/>
        <v>2.5</v>
      </c>
      <c r="I137" s="46">
        <v>174</v>
      </c>
      <c r="J137" s="46"/>
      <c r="K137" s="46"/>
      <c r="L137" s="41">
        <v>45209</v>
      </c>
      <c r="M137" s="47">
        <v>0.79513888888888884</v>
      </c>
      <c r="R137" s="48" t="str">
        <f t="shared" ca="1" si="8"/>
        <v/>
      </c>
      <c r="S137" s="48" t="str">
        <f t="shared" ca="1" si="9"/>
        <v/>
      </c>
    </row>
    <row r="138" spans="1:19" x14ac:dyDescent="0.35">
      <c r="A138" s="28" t="s">
        <v>61</v>
      </c>
      <c r="B138" s="38">
        <v>2710</v>
      </c>
      <c r="C138" s="38">
        <v>100</v>
      </c>
      <c r="D138" s="38" t="s">
        <v>67</v>
      </c>
      <c r="E138" s="30" t="s">
        <v>19</v>
      </c>
      <c r="F138" s="46">
        <v>100</v>
      </c>
      <c r="G138" s="46" t="s">
        <v>44</v>
      </c>
      <c r="H138" s="56">
        <f t="shared" si="10"/>
        <v>3</v>
      </c>
      <c r="I138" s="46">
        <v>253</v>
      </c>
      <c r="J138" s="46"/>
      <c r="K138" s="46"/>
      <c r="L138" s="41">
        <v>45209</v>
      </c>
      <c r="M138" s="47">
        <v>0.8125</v>
      </c>
      <c r="R138" s="48" t="str">
        <f t="shared" ca="1" si="8"/>
        <v/>
      </c>
      <c r="S138" s="48" t="str">
        <f t="shared" ca="1" si="9"/>
        <v/>
      </c>
    </row>
    <row r="139" spans="1:19" x14ac:dyDescent="0.35">
      <c r="A139" s="28" t="s">
        <v>61</v>
      </c>
      <c r="B139" s="38">
        <v>2720</v>
      </c>
      <c r="C139" s="38">
        <v>95</v>
      </c>
      <c r="D139" s="38" t="s">
        <v>67</v>
      </c>
      <c r="E139" s="30" t="s">
        <v>19</v>
      </c>
      <c r="F139" s="46">
        <v>80</v>
      </c>
      <c r="G139" s="64" t="s">
        <v>64</v>
      </c>
      <c r="H139" s="56">
        <f t="shared" si="10"/>
        <v>2.5</v>
      </c>
      <c r="I139" s="46">
        <v>285</v>
      </c>
      <c r="J139" s="46"/>
      <c r="K139" s="46"/>
      <c r="L139" s="41">
        <v>45209</v>
      </c>
      <c r="M139" s="47">
        <v>0.83333333333333337</v>
      </c>
      <c r="R139" s="48" t="str">
        <f t="shared" ca="1" si="8"/>
        <v/>
      </c>
      <c r="S139" s="48" t="str">
        <f t="shared" ca="1" si="9"/>
        <v/>
      </c>
    </row>
    <row r="140" spans="1:19" x14ac:dyDescent="0.35">
      <c r="A140" s="28" t="s">
        <v>61</v>
      </c>
      <c r="B140" s="38">
        <v>2730</v>
      </c>
      <c r="C140" s="38">
        <v>100</v>
      </c>
      <c r="D140" s="38" t="s">
        <v>67</v>
      </c>
      <c r="E140" s="30" t="s">
        <v>19</v>
      </c>
      <c r="F140" s="46">
        <v>100</v>
      </c>
      <c r="G140" s="46" t="s">
        <v>44</v>
      </c>
      <c r="H140" s="56">
        <f t="shared" si="10"/>
        <v>3</v>
      </c>
      <c r="I140" s="46">
        <v>277</v>
      </c>
      <c r="J140" s="46"/>
      <c r="K140" s="46"/>
      <c r="L140" s="41">
        <v>45209</v>
      </c>
      <c r="M140" s="47">
        <v>0.85069444444444453</v>
      </c>
      <c r="R140" s="48" t="str">
        <f t="shared" ca="1" si="8"/>
        <v/>
      </c>
      <c r="S140" s="48" t="str">
        <f t="shared" ca="1" si="9"/>
        <v/>
      </c>
    </row>
    <row r="141" spans="1:19" x14ac:dyDescent="0.35">
      <c r="A141" s="28" t="s">
        <v>61</v>
      </c>
      <c r="B141" s="38">
        <v>2740</v>
      </c>
      <c r="C141" s="38">
        <v>100</v>
      </c>
      <c r="D141" s="38" t="s">
        <v>67</v>
      </c>
      <c r="E141" s="30" t="s">
        <v>19</v>
      </c>
      <c r="F141" s="46">
        <v>100</v>
      </c>
      <c r="G141" s="46" t="s">
        <v>44</v>
      </c>
      <c r="H141" s="56">
        <f t="shared" si="10"/>
        <v>3</v>
      </c>
      <c r="I141" s="46">
        <v>246</v>
      </c>
      <c r="J141" s="46"/>
      <c r="K141" s="46"/>
      <c r="L141" s="41">
        <v>45209</v>
      </c>
      <c r="M141" s="47">
        <v>0.87152777777777779</v>
      </c>
      <c r="R141" s="48" t="str">
        <f t="shared" ca="1" si="8"/>
        <v/>
      </c>
      <c r="S141" s="48" t="str">
        <f t="shared" ca="1" si="9"/>
        <v/>
      </c>
    </row>
    <row r="142" spans="1:19" x14ac:dyDescent="0.35">
      <c r="A142" s="28" t="s">
        <v>61</v>
      </c>
      <c r="B142" s="38">
        <v>2750</v>
      </c>
      <c r="C142" s="38">
        <v>100</v>
      </c>
      <c r="D142" s="38" t="s">
        <v>67</v>
      </c>
      <c r="E142" s="30" t="s">
        <v>19</v>
      </c>
      <c r="F142" s="46">
        <v>100</v>
      </c>
      <c r="G142" s="46" t="s">
        <v>44</v>
      </c>
      <c r="H142" s="56">
        <f t="shared" si="10"/>
        <v>3</v>
      </c>
      <c r="I142" s="46">
        <v>249</v>
      </c>
      <c r="J142" s="46"/>
      <c r="K142" s="46"/>
      <c r="L142" s="41">
        <v>45209</v>
      </c>
      <c r="M142" s="47">
        <v>0.88888888888888884</v>
      </c>
      <c r="R142" s="48" t="str">
        <f t="shared" ca="1" si="8"/>
        <v/>
      </c>
      <c r="S142" s="48" t="str">
        <f t="shared" ca="1" si="9"/>
        <v/>
      </c>
    </row>
    <row r="143" spans="1:19" x14ac:dyDescent="0.35">
      <c r="A143" s="28" t="s">
        <v>61</v>
      </c>
      <c r="B143" s="38">
        <v>2760</v>
      </c>
      <c r="C143" s="38">
        <v>90</v>
      </c>
      <c r="D143" s="38" t="s">
        <v>67</v>
      </c>
      <c r="E143" s="30" t="s">
        <v>19</v>
      </c>
      <c r="F143" s="46">
        <v>80</v>
      </c>
      <c r="G143" s="46" t="s">
        <v>44</v>
      </c>
      <c r="H143" s="56">
        <f t="shared" si="10"/>
        <v>3</v>
      </c>
      <c r="I143" s="46">
        <v>190</v>
      </c>
      <c r="J143" s="46"/>
      <c r="K143" s="46"/>
      <c r="L143" s="41">
        <v>45209</v>
      </c>
      <c r="M143" s="47">
        <v>0.91666666666666663</v>
      </c>
      <c r="R143" s="48" t="str">
        <f t="shared" ca="1" si="8"/>
        <v/>
      </c>
      <c r="S143" s="48" t="str">
        <f t="shared" ca="1" si="9"/>
        <v/>
      </c>
    </row>
    <row r="144" spans="1:19" x14ac:dyDescent="0.35">
      <c r="A144" s="28" t="s">
        <v>61</v>
      </c>
      <c r="B144" s="38">
        <v>2770</v>
      </c>
      <c r="C144" s="38">
        <v>90</v>
      </c>
      <c r="D144" s="38" t="s">
        <v>67</v>
      </c>
      <c r="E144" s="30" t="s">
        <v>19</v>
      </c>
      <c r="F144" s="46">
        <v>70</v>
      </c>
      <c r="G144" s="64" t="s">
        <v>64</v>
      </c>
      <c r="H144" s="56">
        <f t="shared" si="10"/>
        <v>2.5</v>
      </c>
      <c r="I144" s="46">
        <v>191</v>
      </c>
      <c r="J144" s="46"/>
      <c r="K144" s="46"/>
      <c r="L144" s="41">
        <v>45209</v>
      </c>
      <c r="M144" s="47">
        <v>0.93055555555555547</v>
      </c>
      <c r="R144" s="48" t="str">
        <f t="shared" ca="1" si="8"/>
        <v/>
      </c>
      <c r="S144" s="48" t="str">
        <f t="shared" ca="1" si="9"/>
        <v/>
      </c>
    </row>
    <row r="145" spans="1:19" x14ac:dyDescent="0.35">
      <c r="A145" s="28" t="s">
        <v>61</v>
      </c>
      <c r="B145" s="38">
        <v>2780</v>
      </c>
      <c r="C145" s="38">
        <v>90</v>
      </c>
      <c r="D145" s="38" t="s">
        <v>67</v>
      </c>
      <c r="E145" s="30" t="s">
        <v>19</v>
      </c>
      <c r="F145" s="46">
        <v>70</v>
      </c>
      <c r="G145" s="64" t="s">
        <v>64</v>
      </c>
      <c r="H145" s="56">
        <f t="shared" si="10"/>
        <v>2.5</v>
      </c>
      <c r="I145" s="46">
        <v>107</v>
      </c>
      <c r="J145" s="46"/>
      <c r="K145" s="46"/>
      <c r="L145" s="41">
        <v>45209</v>
      </c>
      <c r="M145" s="47">
        <v>0.95277777777777783</v>
      </c>
      <c r="R145" s="48" t="str">
        <f t="shared" ca="1" si="8"/>
        <v/>
      </c>
      <c r="S145" s="48" t="str">
        <f t="shared" ca="1" si="9"/>
        <v/>
      </c>
    </row>
    <row r="146" spans="1:19" x14ac:dyDescent="0.35">
      <c r="A146" s="28" t="s">
        <v>61</v>
      </c>
      <c r="B146" s="38">
        <v>2790</v>
      </c>
      <c r="C146" s="38">
        <v>70</v>
      </c>
      <c r="D146" s="38" t="s">
        <v>16</v>
      </c>
      <c r="E146" s="30" t="s">
        <v>14</v>
      </c>
      <c r="F146" s="46">
        <v>10</v>
      </c>
      <c r="G146" s="46" t="s">
        <v>48</v>
      </c>
      <c r="H146" s="56">
        <f t="shared" si="10"/>
        <v>0.5</v>
      </c>
      <c r="I146" s="46">
        <v>96</v>
      </c>
      <c r="J146" s="46"/>
      <c r="K146" s="46"/>
      <c r="L146" s="41">
        <v>45209</v>
      </c>
      <c r="M146" s="47">
        <v>0.96527777777777779</v>
      </c>
      <c r="R146" s="48" t="str">
        <f t="shared" ca="1" si="8"/>
        <v/>
      </c>
      <c r="S146" s="48" t="str">
        <f t="shared" ca="1" si="9"/>
        <v/>
      </c>
    </row>
    <row r="147" spans="1:19" x14ac:dyDescent="0.35">
      <c r="A147" s="28" t="s">
        <v>61</v>
      </c>
      <c r="B147" s="38">
        <v>2800</v>
      </c>
      <c r="C147" s="38">
        <v>40</v>
      </c>
      <c r="D147" s="38" t="s">
        <v>75</v>
      </c>
      <c r="E147" s="30" t="s">
        <v>14</v>
      </c>
      <c r="F147" s="46">
        <v>10</v>
      </c>
      <c r="G147" s="46" t="s">
        <v>48</v>
      </c>
      <c r="H147" s="56">
        <f t="shared" si="10"/>
        <v>0.5</v>
      </c>
      <c r="I147" s="46">
        <v>114</v>
      </c>
      <c r="J147" s="46"/>
      <c r="K147" s="46"/>
      <c r="L147" s="41">
        <v>45209</v>
      </c>
      <c r="M147" s="47">
        <v>0.98611111111111116</v>
      </c>
      <c r="R147" s="48" t="str">
        <f t="shared" ca="1" si="8"/>
        <v/>
      </c>
      <c r="S147" s="48" t="str">
        <f t="shared" ca="1" si="9"/>
        <v/>
      </c>
    </row>
    <row r="148" spans="1:19" x14ac:dyDescent="0.35">
      <c r="A148" s="28" t="s">
        <v>61</v>
      </c>
      <c r="B148" s="38">
        <v>2810</v>
      </c>
      <c r="C148" s="38">
        <v>30</v>
      </c>
      <c r="D148" s="38" t="s">
        <v>13</v>
      </c>
      <c r="E148" s="30" t="s">
        <v>14</v>
      </c>
      <c r="F148" s="46">
        <v>10</v>
      </c>
      <c r="G148" s="46" t="s">
        <v>48</v>
      </c>
      <c r="H148" s="56">
        <f t="shared" si="10"/>
        <v>0.5</v>
      </c>
      <c r="I148" s="46">
        <v>96</v>
      </c>
      <c r="J148" s="46"/>
      <c r="K148" s="46"/>
      <c r="L148" s="41">
        <v>45210</v>
      </c>
      <c r="M148" s="47">
        <v>6.9444444444444441E-3</v>
      </c>
      <c r="R148" s="48" t="str">
        <f t="shared" ca="1" si="8"/>
        <v/>
      </c>
      <c r="S148" s="48" t="str">
        <f t="shared" ca="1" si="9"/>
        <v/>
      </c>
    </row>
    <row r="149" spans="1:19" x14ac:dyDescent="0.35">
      <c r="A149" s="28" t="s">
        <v>61</v>
      </c>
      <c r="B149" s="38">
        <v>2820</v>
      </c>
      <c r="C149" s="38">
        <v>30</v>
      </c>
      <c r="D149" s="38" t="s">
        <v>13</v>
      </c>
      <c r="E149" s="30" t="s">
        <v>14</v>
      </c>
      <c r="F149" s="46">
        <v>5</v>
      </c>
      <c r="G149" s="46" t="s">
        <v>48</v>
      </c>
      <c r="H149" s="56">
        <f t="shared" si="10"/>
        <v>0.5</v>
      </c>
      <c r="I149" s="46">
        <v>80</v>
      </c>
      <c r="J149" s="46"/>
      <c r="K149" s="46"/>
      <c r="L149" s="41">
        <v>45210</v>
      </c>
      <c r="M149" s="47">
        <v>3.4722222222222224E-2</v>
      </c>
      <c r="R149" s="48" t="str">
        <f t="shared" ca="1" si="8"/>
        <v/>
      </c>
      <c r="S149" s="48" t="str">
        <f t="shared" ca="1" si="9"/>
        <v/>
      </c>
    </row>
    <row r="150" spans="1:19" x14ac:dyDescent="0.35">
      <c r="A150" s="28" t="s">
        <v>61</v>
      </c>
      <c r="B150" s="38">
        <v>2830</v>
      </c>
      <c r="C150" s="38">
        <v>30</v>
      </c>
      <c r="D150" s="38" t="s">
        <v>62</v>
      </c>
      <c r="E150" s="30" t="s">
        <v>63</v>
      </c>
      <c r="F150" s="46" t="s">
        <v>25</v>
      </c>
      <c r="G150" s="46" t="s">
        <v>48</v>
      </c>
      <c r="H150" s="56">
        <f t="shared" si="10"/>
        <v>0.5</v>
      </c>
      <c r="I150" s="46">
        <v>90</v>
      </c>
      <c r="J150" s="46"/>
      <c r="K150" s="46"/>
      <c r="L150" s="41">
        <v>45210</v>
      </c>
      <c r="M150" s="47">
        <v>4.9999999999999996E-2</v>
      </c>
      <c r="R150" s="48" t="str">
        <f t="shared" ca="1" si="8"/>
        <v/>
      </c>
      <c r="S150" s="48" t="str">
        <f t="shared" ca="1" si="9"/>
        <v/>
      </c>
    </row>
    <row r="151" spans="1:19" x14ac:dyDescent="0.35">
      <c r="A151" s="28" t="s">
        <v>61</v>
      </c>
      <c r="B151" s="38">
        <v>2840</v>
      </c>
      <c r="C151" s="38">
        <v>60</v>
      </c>
      <c r="D151" s="38" t="s">
        <v>75</v>
      </c>
      <c r="E151" s="30" t="s">
        <v>14</v>
      </c>
      <c r="F151" s="46" t="s">
        <v>25</v>
      </c>
      <c r="G151" s="46" t="s">
        <v>48</v>
      </c>
      <c r="H151" s="56">
        <f t="shared" si="10"/>
        <v>0.5</v>
      </c>
      <c r="I151" s="46">
        <v>85</v>
      </c>
      <c r="J151" s="46"/>
      <c r="K151" s="46"/>
      <c r="L151" s="41">
        <v>45210</v>
      </c>
      <c r="M151" s="47">
        <v>6.9444444444444434E-2</v>
      </c>
      <c r="R151" s="48" t="str">
        <f t="shared" ca="1" si="8"/>
        <v/>
      </c>
      <c r="S151" s="48" t="str">
        <f t="shared" ca="1" si="9"/>
        <v/>
      </c>
    </row>
    <row r="152" spans="1:19" x14ac:dyDescent="0.35">
      <c r="B152" s="38"/>
      <c r="C152" s="38"/>
      <c r="D152" s="38"/>
      <c r="E152" s="30"/>
      <c r="F152" s="46"/>
      <c r="G152" s="46"/>
      <c r="H152" s="46"/>
      <c r="I152" s="46"/>
      <c r="J152" s="46"/>
      <c r="K152" s="46"/>
      <c r="L152" s="41"/>
      <c r="M152" s="47" t="str">
        <f t="shared" ref="M152:M197" ca="1" si="11">IF(AND(C152&lt;&gt;"",C152&lt;&gt;S152),NOW(),IF(C152="","",M152))</f>
        <v/>
      </c>
      <c r="R152" s="48" t="str">
        <f t="shared" si="8"/>
        <v/>
      </c>
      <c r="S152" s="48" t="str">
        <f t="shared" si="9"/>
        <v/>
      </c>
    </row>
    <row r="153" spans="1:19" x14ac:dyDescent="0.35">
      <c r="B153" s="38"/>
      <c r="C153" s="38"/>
      <c r="D153" s="38"/>
      <c r="E153" s="30"/>
      <c r="F153" s="46"/>
      <c r="G153" s="46"/>
      <c r="H153" s="46"/>
      <c r="I153" s="46"/>
      <c r="J153" s="46"/>
      <c r="K153" s="46"/>
      <c r="L153" s="41"/>
      <c r="M153" s="47" t="str">
        <f t="shared" ca="1" si="11"/>
        <v/>
      </c>
      <c r="R153" s="48" t="str">
        <f t="shared" si="8"/>
        <v/>
      </c>
      <c r="S153" s="48" t="str">
        <f t="shared" si="9"/>
        <v/>
      </c>
    </row>
    <row r="154" spans="1:19" x14ac:dyDescent="0.35">
      <c r="B154" s="38"/>
      <c r="C154" s="38"/>
      <c r="D154" s="38"/>
      <c r="E154" s="30"/>
      <c r="F154" s="46"/>
      <c r="G154" s="46"/>
      <c r="H154" s="46"/>
      <c r="I154" s="46"/>
      <c r="J154" s="46"/>
      <c r="K154" s="46"/>
      <c r="L154" s="41"/>
      <c r="M154" s="47" t="str">
        <f t="shared" ca="1" si="11"/>
        <v/>
      </c>
      <c r="R154" s="48" t="str">
        <f t="shared" si="8"/>
        <v/>
      </c>
      <c r="S154" s="48" t="str">
        <f t="shared" si="9"/>
        <v/>
      </c>
    </row>
    <row r="155" spans="1:19" x14ac:dyDescent="0.35">
      <c r="B155" s="38"/>
      <c r="C155" s="38"/>
      <c r="D155" s="38"/>
      <c r="E155" s="30"/>
      <c r="F155" s="46"/>
      <c r="G155" s="46"/>
      <c r="H155" s="46"/>
      <c r="I155" s="46"/>
      <c r="J155" s="46"/>
      <c r="K155" s="46"/>
      <c r="L155" s="41"/>
      <c r="M155" s="47" t="str">
        <f t="shared" ca="1" si="11"/>
        <v/>
      </c>
      <c r="R155" s="48" t="str">
        <f t="shared" si="8"/>
        <v/>
      </c>
      <c r="S155" s="48" t="str">
        <f t="shared" si="9"/>
        <v/>
      </c>
    </row>
    <row r="156" spans="1:19" x14ac:dyDescent="0.35">
      <c r="B156" s="38"/>
      <c r="C156" s="38"/>
      <c r="D156" s="38"/>
      <c r="E156" s="30"/>
      <c r="F156" s="46"/>
      <c r="G156" s="46"/>
      <c r="H156" s="46"/>
      <c r="I156" s="46"/>
      <c r="J156" s="46"/>
      <c r="K156" s="46"/>
      <c r="L156" s="41"/>
      <c r="M156" s="47" t="str">
        <f t="shared" ca="1" si="11"/>
        <v/>
      </c>
      <c r="R156" s="48" t="str">
        <f t="shared" si="8"/>
        <v/>
      </c>
      <c r="S156" s="48" t="str">
        <f t="shared" si="9"/>
        <v/>
      </c>
    </row>
    <row r="157" spans="1:19" x14ac:dyDescent="0.35">
      <c r="B157" s="38"/>
      <c r="C157" s="38"/>
      <c r="D157" s="38"/>
      <c r="E157" s="30"/>
      <c r="F157" s="46"/>
      <c r="G157" s="46"/>
      <c r="H157" s="46"/>
      <c r="I157" s="46"/>
      <c r="J157" s="46"/>
      <c r="K157" s="46"/>
      <c r="L157" s="41" t="str">
        <f t="shared" ref="L157:L197" ca="1" si="12">IF(AND(C157&lt;&gt;"",C157&lt;&gt;R157),TODAY(),IF(C157="","",L157))</f>
        <v/>
      </c>
      <c r="M157" s="47" t="str">
        <f t="shared" ca="1" si="11"/>
        <v/>
      </c>
      <c r="R157" s="48" t="str">
        <f t="shared" si="8"/>
        <v/>
      </c>
      <c r="S157" s="48" t="str">
        <f t="shared" si="9"/>
        <v/>
      </c>
    </row>
    <row r="158" spans="1:19" x14ac:dyDescent="0.35">
      <c r="B158" s="38"/>
      <c r="C158" s="38"/>
      <c r="D158" s="38"/>
      <c r="E158" s="30"/>
      <c r="F158" s="46"/>
      <c r="G158" s="46"/>
      <c r="H158" s="46"/>
      <c r="I158" s="46"/>
      <c r="J158" s="46"/>
      <c r="K158" s="46"/>
      <c r="L158" s="41" t="str">
        <f t="shared" ca="1" si="12"/>
        <v/>
      </c>
      <c r="M158" s="47" t="str">
        <f t="shared" ca="1" si="11"/>
        <v/>
      </c>
      <c r="R158" s="48" t="str">
        <f t="shared" si="8"/>
        <v/>
      </c>
      <c r="S158" s="48" t="str">
        <f t="shared" si="9"/>
        <v/>
      </c>
    </row>
    <row r="159" spans="1:19" x14ac:dyDescent="0.35">
      <c r="B159" s="38"/>
      <c r="C159" s="38"/>
      <c r="D159" s="38"/>
      <c r="E159" s="30"/>
      <c r="F159" s="46"/>
      <c r="G159" s="46"/>
      <c r="H159" s="46"/>
      <c r="I159" s="46"/>
      <c r="J159" s="46"/>
      <c r="K159" s="46"/>
      <c r="L159" s="41" t="str">
        <f t="shared" ca="1" si="12"/>
        <v/>
      </c>
      <c r="M159" s="47" t="str">
        <f t="shared" ca="1" si="11"/>
        <v/>
      </c>
      <c r="R159" s="48" t="str">
        <f t="shared" si="8"/>
        <v/>
      </c>
      <c r="S159" s="48" t="str">
        <f t="shared" si="9"/>
        <v/>
      </c>
    </row>
    <row r="160" spans="1:19" x14ac:dyDescent="0.35">
      <c r="B160" s="38"/>
      <c r="C160" s="38"/>
      <c r="D160" s="38"/>
      <c r="E160" s="30"/>
      <c r="F160" s="46"/>
      <c r="G160" s="46"/>
      <c r="H160" s="46"/>
      <c r="I160" s="46"/>
      <c r="J160" s="46"/>
      <c r="K160" s="46"/>
      <c r="L160" s="41" t="str">
        <f t="shared" ca="1" si="12"/>
        <v/>
      </c>
      <c r="M160" s="47" t="str">
        <f t="shared" ca="1" si="11"/>
        <v/>
      </c>
      <c r="R160" s="48" t="str">
        <f t="shared" si="8"/>
        <v/>
      </c>
      <c r="S160" s="48" t="str">
        <f t="shared" si="9"/>
        <v/>
      </c>
    </row>
    <row r="161" spans="2:19" x14ac:dyDescent="0.35">
      <c r="B161" s="38"/>
      <c r="C161" s="38"/>
      <c r="D161" s="38"/>
      <c r="E161" s="30"/>
      <c r="F161" s="46"/>
      <c r="G161" s="46"/>
      <c r="H161" s="46"/>
      <c r="I161" s="46"/>
      <c r="J161" s="46"/>
      <c r="K161" s="46"/>
      <c r="L161" s="41" t="str">
        <f t="shared" ca="1" si="12"/>
        <v/>
      </c>
      <c r="M161" s="47" t="str">
        <f t="shared" ca="1" si="11"/>
        <v/>
      </c>
      <c r="R161" s="48" t="str">
        <f t="shared" si="8"/>
        <v/>
      </c>
      <c r="S161" s="48" t="str">
        <f t="shared" si="9"/>
        <v/>
      </c>
    </row>
    <row r="162" spans="2:19" x14ac:dyDescent="0.35">
      <c r="B162" s="38"/>
      <c r="C162" s="38"/>
      <c r="D162" s="38"/>
      <c r="E162" s="30"/>
      <c r="F162" s="46"/>
      <c r="G162" s="46"/>
      <c r="H162" s="46"/>
      <c r="I162" s="46"/>
      <c r="J162" s="46"/>
      <c r="K162" s="46"/>
      <c r="L162" s="41" t="str">
        <f t="shared" ca="1" si="12"/>
        <v/>
      </c>
      <c r="M162" s="47" t="str">
        <f t="shared" ca="1" si="11"/>
        <v/>
      </c>
      <c r="R162" s="48" t="str">
        <f t="shared" si="8"/>
        <v/>
      </c>
      <c r="S162" s="48" t="str">
        <f t="shared" si="9"/>
        <v/>
      </c>
    </row>
    <row r="163" spans="2:19" x14ac:dyDescent="0.35">
      <c r="B163" s="38"/>
      <c r="C163" s="38"/>
      <c r="D163" s="38"/>
      <c r="E163" s="30"/>
      <c r="F163" s="46"/>
      <c r="G163" s="46"/>
      <c r="H163" s="46"/>
      <c r="I163" s="46"/>
      <c r="J163" s="46"/>
      <c r="K163" s="46"/>
      <c r="L163" s="41" t="str">
        <f t="shared" ca="1" si="12"/>
        <v/>
      </c>
      <c r="M163" s="47" t="str">
        <f t="shared" ca="1" si="11"/>
        <v/>
      </c>
      <c r="R163" s="48" t="str">
        <f t="shared" si="8"/>
        <v/>
      </c>
      <c r="S163" s="48" t="str">
        <f t="shared" si="9"/>
        <v/>
      </c>
    </row>
    <row r="164" spans="2:19" x14ac:dyDescent="0.35">
      <c r="B164" s="38"/>
      <c r="C164" s="38"/>
      <c r="D164" s="38"/>
      <c r="E164" s="30"/>
      <c r="F164" s="46"/>
      <c r="G164" s="46"/>
      <c r="H164" s="46"/>
      <c r="I164" s="46"/>
      <c r="J164" s="46"/>
      <c r="K164" s="46"/>
      <c r="L164" s="41" t="str">
        <f t="shared" ca="1" si="12"/>
        <v/>
      </c>
      <c r="M164" s="47" t="str">
        <f t="shared" ca="1" si="11"/>
        <v/>
      </c>
      <c r="R164" s="48" t="str">
        <f t="shared" si="8"/>
        <v/>
      </c>
      <c r="S164" s="48" t="str">
        <f t="shared" si="9"/>
        <v/>
      </c>
    </row>
    <row r="165" spans="2:19" x14ac:dyDescent="0.35">
      <c r="B165" s="38"/>
      <c r="C165" s="38"/>
      <c r="D165" s="38"/>
      <c r="E165" s="30"/>
      <c r="F165" s="46"/>
      <c r="G165" s="46"/>
      <c r="H165" s="46"/>
      <c r="I165" s="46"/>
      <c r="J165" s="46"/>
      <c r="K165" s="46"/>
      <c r="L165" s="41" t="str">
        <f t="shared" ca="1" si="12"/>
        <v/>
      </c>
      <c r="M165" s="47" t="str">
        <f t="shared" ca="1" si="11"/>
        <v/>
      </c>
      <c r="R165" s="48" t="str">
        <f t="shared" si="8"/>
        <v/>
      </c>
      <c r="S165" s="48" t="str">
        <f t="shared" si="9"/>
        <v/>
      </c>
    </row>
    <row r="166" spans="2:19" x14ac:dyDescent="0.35">
      <c r="B166" s="38"/>
      <c r="C166" s="38"/>
      <c r="D166" s="38"/>
      <c r="E166" s="30"/>
      <c r="F166" s="46"/>
      <c r="G166" s="46"/>
      <c r="H166" s="46"/>
      <c r="I166" s="46"/>
      <c r="J166" s="46"/>
      <c r="K166" s="46"/>
      <c r="L166" s="41" t="str">
        <f t="shared" ca="1" si="12"/>
        <v/>
      </c>
      <c r="M166" s="47" t="str">
        <f t="shared" ca="1" si="11"/>
        <v/>
      </c>
      <c r="R166" s="48" t="str">
        <f t="shared" si="8"/>
        <v/>
      </c>
      <c r="S166" s="48" t="str">
        <f t="shared" si="9"/>
        <v/>
      </c>
    </row>
    <row r="167" spans="2:19" x14ac:dyDescent="0.35">
      <c r="B167" s="38"/>
      <c r="C167" s="38"/>
      <c r="D167" s="38"/>
      <c r="E167" s="30"/>
      <c r="F167" s="46"/>
      <c r="G167" s="46"/>
      <c r="H167" s="46"/>
      <c r="I167" s="46"/>
      <c r="J167" s="46"/>
      <c r="K167" s="46"/>
      <c r="L167" s="41" t="str">
        <f t="shared" ca="1" si="12"/>
        <v/>
      </c>
      <c r="M167" s="47" t="str">
        <f t="shared" ca="1" si="11"/>
        <v/>
      </c>
      <c r="R167" s="48" t="str">
        <f t="shared" si="8"/>
        <v/>
      </c>
      <c r="S167" s="48" t="str">
        <f t="shared" si="9"/>
        <v/>
      </c>
    </row>
    <row r="168" spans="2:19" x14ac:dyDescent="0.35">
      <c r="B168" s="38"/>
      <c r="C168" s="38"/>
      <c r="D168" s="38"/>
      <c r="E168" s="30"/>
      <c r="F168" s="46"/>
      <c r="G168" s="46"/>
      <c r="H168" s="46"/>
      <c r="I168" s="46"/>
      <c r="J168" s="46"/>
      <c r="K168" s="46"/>
      <c r="L168" s="41" t="str">
        <f t="shared" ca="1" si="12"/>
        <v/>
      </c>
      <c r="M168" s="47" t="str">
        <f t="shared" ca="1" si="11"/>
        <v/>
      </c>
      <c r="R168" s="48" t="str">
        <f t="shared" si="8"/>
        <v/>
      </c>
      <c r="S168" s="48" t="str">
        <f t="shared" si="9"/>
        <v/>
      </c>
    </row>
    <row r="169" spans="2:19" x14ac:dyDescent="0.35">
      <c r="B169" s="38"/>
      <c r="C169" s="38"/>
      <c r="D169" s="38"/>
      <c r="E169" s="30"/>
      <c r="F169" s="46"/>
      <c r="G169" s="46"/>
      <c r="H169" s="46"/>
      <c r="I169" s="46"/>
      <c r="J169" s="46"/>
      <c r="K169" s="46"/>
      <c r="L169" s="41" t="str">
        <f t="shared" ca="1" si="12"/>
        <v/>
      </c>
      <c r="M169" s="47" t="str">
        <f t="shared" ca="1" si="11"/>
        <v/>
      </c>
      <c r="R169" s="48" t="str">
        <f t="shared" si="8"/>
        <v/>
      </c>
      <c r="S169" s="48" t="str">
        <f t="shared" si="9"/>
        <v/>
      </c>
    </row>
    <row r="170" spans="2:19" x14ac:dyDescent="0.35">
      <c r="B170" s="38"/>
      <c r="C170" s="38"/>
      <c r="D170" s="38"/>
      <c r="E170" s="30"/>
      <c r="F170" s="46"/>
      <c r="G170" s="46"/>
      <c r="H170" s="46"/>
      <c r="I170" s="46"/>
      <c r="J170" s="46"/>
      <c r="K170" s="46"/>
      <c r="L170" s="41" t="str">
        <f t="shared" ca="1" si="12"/>
        <v/>
      </c>
      <c r="M170" s="47" t="str">
        <f t="shared" ca="1" si="11"/>
        <v/>
      </c>
      <c r="R170" s="48" t="str">
        <f t="shared" si="8"/>
        <v/>
      </c>
      <c r="S170" s="48" t="str">
        <f t="shared" si="9"/>
        <v/>
      </c>
    </row>
    <row r="171" spans="2:19" x14ac:dyDescent="0.35">
      <c r="B171" s="38"/>
      <c r="C171" s="38"/>
      <c r="D171" s="38"/>
      <c r="E171" s="30"/>
      <c r="F171" s="46"/>
      <c r="G171" s="46"/>
      <c r="H171" s="46"/>
      <c r="I171" s="46"/>
      <c r="J171" s="46"/>
      <c r="K171" s="46"/>
      <c r="L171" s="41" t="str">
        <f t="shared" ca="1" si="12"/>
        <v/>
      </c>
      <c r="M171" s="47" t="str">
        <f t="shared" ca="1" si="11"/>
        <v/>
      </c>
      <c r="R171" s="48" t="str">
        <f t="shared" si="8"/>
        <v/>
      </c>
      <c r="S171" s="48" t="str">
        <f t="shared" si="9"/>
        <v/>
      </c>
    </row>
    <row r="172" spans="2:19" x14ac:dyDescent="0.35">
      <c r="B172" s="38"/>
      <c r="C172" s="38"/>
      <c r="D172" s="38"/>
      <c r="E172" s="30"/>
      <c r="F172" s="46"/>
      <c r="G172" s="46"/>
      <c r="H172" s="46"/>
      <c r="I172" s="46"/>
      <c r="J172" s="46"/>
      <c r="K172" s="46"/>
      <c r="L172" s="41" t="str">
        <f t="shared" ca="1" si="12"/>
        <v/>
      </c>
      <c r="M172" s="47" t="str">
        <f t="shared" ca="1" si="11"/>
        <v/>
      </c>
      <c r="R172" s="48" t="str">
        <f t="shared" si="8"/>
        <v/>
      </c>
      <c r="S172" s="48" t="str">
        <f t="shared" si="9"/>
        <v/>
      </c>
    </row>
    <row r="173" spans="2:19" x14ac:dyDescent="0.35">
      <c r="B173" s="38"/>
      <c r="C173" s="38"/>
      <c r="D173" s="38"/>
      <c r="E173" s="30"/>
      <c r="F173" s="46"/>
      <c r="G173" s="46"/>
      <c r="H173" s="46"/>
      <c r="I173" s="46"/>
      <c r="J173" s="46"/>
      <c r="K173" s="46"/>
      <c r="L173" s="41" t="str">
        <f t="shared" ca="1" si="12"/>
        <v/>
      </c>
      <c r="M173" s="47" t="str">
        <f t="shared" ca="1" si="11"/>
        <v/>
      </c>
      <c r="R173" s="48" t="str">
        <f t="shared" si="8"/>
        <v/>
      </c>
      <c r="S173" s="48" t="str">
        <f t="shared" si="9"/>
        <v/>
      </c>
    </row>
    <row r="174" spans="2:19" x14ac:dyDescent="0.35">
      <c r="B174" s="38"/>
      <c r="C174" s="38"/>
      <c r="D174" s="38"/>
      <c r="E174" s="30"/>
      <c r="F174" s="46"/>
      <c r="G174" s="46"/>
      <c r="H174" s="46"/>
      <c r="I174" s="46"/>
      <c r="J174" s="46"/>
      <c r="K174" s="46"/>
      <c r="L174" s="41" t="str">
        <f t="shared" ca="1" si="12"/>
        <v/>
      </c>
      <c r="M174" s="47" t="str">
        <f t="shared" ca="1" si="11"/>
        <v/>
      </c>
      <c r="R174" s="48" t="str">
        <f t="shared" si="8"/>
        <v/>
      </c>
      <c r="S174" s="48" t="str">
        <f t="shared" si="9"/>
        <v/>
      </c>
    </row>
    <row r="175" spans="2:19" x14ac:dyDescent="0.35">
      <c r="B175" s="38"/>
      <c r="C175" s="38"/>
      <c r="D175" s="38"/>
      <c r="E175" s="30"/>
      <c r="F175" s="46"/>
      <c r="G175" s="46"/>
      <c r="H175" s="46"/>
      <c r="I175" s="46"/>
      <c r="J175" s="46"/>
      <c r="K175" s="46"/>
      <c r="L175" s="41" t="str">
        <f t="shared" ca="1" si="12"/>
        <v/>
      </c>
      <c r="M175" s="47" t="str">
        <f t="shared" ca="1" si="11"/>
        <v/>
      </c>
      <c r="R175" s="48" t="str">
        <f t="shared" si="8"/>
        <v/>
      </c>
      <c r="S175" s="48" t="str">
        <f t="shared" si="9"/>
        <v/>
      </c>
    </row>
    <row r="176" spans="2:19" x14ac:dyDescent="0.35">
      <c r="B176" s="38"/>
      <c r="C176" s="38"/>
      <c r="D176" s="38"/>
      <c r="E176" s="30"/>
      <c r="F176" s="46"/>
      <c r="G176" s="46"/>
      <c r="H176" s="46"/>
      <c r="I176" s="46"/>
      <c r="J176" s="46"/>
      <c r="K176" s="46"/>
      <c r="L176" s="41" t="str">
        <f t="shared" ca="1" si="12"/>
        <v/>
      </c>
      <c r="M176" s="47" t="str">
        <f t="shared" ca="1" si="11"/>
        <v/>
      </c>
      <c r="R176" s="48" t="str">
        <f t="shared" si="8"/>
        <v/>
      </c>
      <c r="S176" s="48" t="str">
        <f t="shared" si="9"/>
        <v/>
      </c>
    </row>
    <row r="177" spans="2:19" x14ac:dyDescent="0.35">
      <c r="B177" s="38"/>
      <c r="C177" s="38"/>
      <c r="D177" s="38"/>
      <c r="E177" s="30"/>
      <c r="F177" s="46"/>
      <c r="G177" s="46"/>
      <c r="H177" s="46"/>
      <c r="I177" s="46"/>
      <c r="J177" s="46"/>
      <c r="K177" s="46"/>
      <c r="L177" s="41" t="str">
        <f t="shared" ca="1" si="12"/>
        <v/>
      </c>
      <c r="M177" s="47" t="str">
        <f t="shared" ca="1" si="11"/>
        <v/>
      </c>
      <c r="R177" s="48" t="str">
        <f t="shared" si="8"/>
        <v/>
      </c>
      <c r="S177" s="48" t="str">
        <f t="shared" si="9"/>
        <v/>
      </c>
    </row>
    <row r="178" spans="2:19" x14ac:dyDescent="0.35">
      <c r="B178" s="38"/>
      <c r="C178" s="38"/>
      <c r="D178" s="38"/>
      <c r="E178" s="30"/>
      <c r="F178" s="46"/>
      <c r="G178" s="46"/>
      <c r="H178" s="46"/>
      <c r="I178" s="46"/>
      <c r="J178" s="46"/>
      <c r="K178" s="46"/>
      <c r="L178" s="41" t="str">
        <f t="shared" ca="1" si="12"/>
        <v/>
      </c>
      <c r="M178" s="47" t="str">
        <f t="shared" ca="1" si="11"/>
        <v/>
      </c>
      <c r="R178" s="48" t="str">
        <f t="shared" si="8"/>
        <v/>
      </c>
      <c r="S178" s="48" t="str">
        <f t="shared" si="9"/>
        <v/>
      </c>
    </row>
    <row r="179" spans="2:19" x14ac:dyDescent="0.35">
      <c r="B179" s="38"/>
      <c r="C179" s="38"/>
      <c r="D179" s="38"/>
      <c r="E179" s="30"/>
      <c r="F179" s="46"/>
      <c r="G179" s="46"/>
      <c r="H179" s="46"/>
      <c r="I179" s="46"/>
      <c r="J179" s="46"/>
      <c r="K179" s="46"/>
      <c r="L179" s="41" t="str">
        <f t="shared" ca="1" si="12"/>
        <v/>
      </c>
      <c r="M179" s="47" t="str">
        <f t="shared" ca="1" si="11"/>
        <v/>
      </c>
      <c r="R179" s="48" t="str">
        <f t="shared" si="8"/>
        <v/>
      </c>
      <c r="S179" s="48" t="str">
        <f t="shared" si="9"/>
        <v/>
      </c>
    </row>
    <row r="180" spans="2:19" x14ac:dyDescent="0.35">
      <c r="B180" s="38"/>
      <c r="C180" s="38"/>
      <c r="D180" s="38"/>
      <c r="E180" s="30"/>
      <c r="F180" s="46"/>
      <c r="G180" s="46"/>
      <c r="H180" s="46"/>
      <c r="I180" s="46"/>
      <c r="J180" s="46"/>
      <c r="K180" s="46"/>
      <c r="L180" s="41" t="str">
        <f t="shared" ca="1" si="12"/>
        <v/>
      </c>
      <c r="M180" s="47" t="str">
        <f t="shared" ca="1" si="11"/>
        <v/>
      </c>
      <c r="R180" s="48" t="str">
        <f t="shared" si="8"/>
        <v/>
      </c>
      <c r="S180" s="48" t="str">
        <f t="shared" si="9"/>
        <v/>
      </c>
    </row>
    <row r="181" spans="2:19" x14ac:dyDescent="0.35">
      <c r="B181" s="38"/>
      <c r="C181" s="38"/>
      <c r="D181" s="38"/>
      <c r="E181" s="30"/>
      <c r="F181" s="46"/>
      <c r="G181" s="46"/>
      <c r="H181" s="46"/>
      <c r="I181" s="46"/>
      <c r="J181" s="46"/>
      <c r="K181" s="46"/>
      <c r="L181" s="41" t="str">
        <f t="shared" ca="1" si="12"/>
        <v/>
      </c>
      <c r="M181" s="47" t="str">
        <f t="shared" ca="1" si="11"/>
        <v/>
      </c>
      <c r="R181" s="48" t="str">
        <f t="shared" si="8"/>
        <v/>
      </c>
      <c r="S181" s="48" t="str">
        <f t="shared" si="9"/>
        <v/>
      </c>
    </row>
    <row r="182" spans="2:19" x14ac:dyDescent="0.35">
      <c r="B182" s="38"/>
      <c r="C182" s="38"/>
      <c r="D182" s="38"/>
      <c r="E182" s="30"/>
      <c r="F182" s="46"/>
      <c r="G182" s="46"/>
      <c r="H182" s="46"/>
      <c r="I182" s="46"/>
      <c r="J182" s="46"/>
      <c r="K182" s="46"/>
      <c r="L182" s="41" t="str">
        <f t="shared" ca="1" si="12"/>
        <v/>
      </c>
      <c r="M182" s="47" t="str">
        <f t="shared" ca="1" si="11"/>
        <v/>
      </c>
      <c r="R182" s="48" t="str">
        <f t="shared" si="8"/>
        <v/>
      </c>
      <c r="S182" s="48" t="str">
        <f t="shared" si="9"/>
        <v/>
      </c>
    </row>
    <row r="183" spans="2:19" x14ac:dyDescent="0.35">
      <c r="B183" s="38"/>
      <c r="C183" s="38"/>
      <c r="D183" s="38"/>
      <c r="E183" s="30"/>
      <c r="F183" s="46"/>
      <c r="G183" s="46"/>
      <c r="H183" s="46"/>
      <c r="I183" s="46"/>
      <c r="J183" s="46"/>
      <c r="K183" s="46"/>
      <c r="L183" s="41" t="str">
        <f t="shared" ca="1" si="12"/>
        <v/>
      </c>
      <c r="M183" s="47" t="str">
        <f t="shared" ca="1" si="11"/>
        <v/>
      </c>
      <c r="R183" s="48" t="str">
        <f t="shared" si="8"/>
        <v/>
      </c>
      <c r="S183" s="48" t="str">
        <f t="shared" si="9"/>
        <v/>
      </c>
    </row>
    <row r="184" spans="2:19" x14ac:dyDescent="0.35">
      <c r="B184" s="38"/>
      <c r="C184" s="38"/>
      <c r="D184" s="38"/>
      <c r="E184" s="30"/>
      <c r="F184" s="46"/>
      <c r="G184" s="46"/>
      <c r="H184" s="46"/>
      <c r="I184" s="46"/>
      <c r="J184" s="46"/>
      <c r="K184" s="46"/>
      <c r="L184" s="41" t="str">
        <f t="shared" ca="1" si="12"/>
        <v/>
      </c>
      <c r="M184" s="47" t="str">
        <f t="shared" ca="1" si="11"/>
        <v/>
      </c>
      <c r="R184" s="48" t="str">
        <f t="shared" si="8"/>
        <v/>
      </c>
      <c r="S184" s="48" t="str">
        <f t="shared" si="9"/>
        <v/>
      </c>
    </row>
    <row r="185" spans="2:19" x14ac:dyDescent="0.35">
      <c r="B185" s="38"/>
      <c r="C185" s="38"/>
      <c r="D185" s="38"/>
      <c r="E185" s="30"/>
      <c r="F185" s="46"/>
      <c r="G185" s="46"/>
      <c r="H185" s="46"/>
      <c r="I185" s="46"/>
      <c r="J185" s="46"/>
      <c r="K185" s="46"/>
      <c r="L185" s="41" t="str">
        <f t="shared" ca="1" si="12"/>
        <v/>
      </c>
      <c r="M185" s="47" t="str">
        <f t="shared" ca="1" si="11"/>
        <v/>
      </c>
      <c r="R185" s="48" t="str">
        <f t="shared" si="8"/>
        <v/>
      </c>
      <c r="S185" s="48" t="str">
        <f t="shared" si="9"/>
        <v/>
      </c>
    </row>
    <row r="186" spans="2:19" x14ac:dyDescent="0.35">
      <c r="B186" s="38"/>
      <c r="C186" s="38"/>
      <c r="D186" s="38"/>
      <c r="E186" s="30"/>
      <c r="F186" s="46"/>
      <c r="G186" s="46"/>
      <c r="H186" s="46"/>
      <c r="I186" s="46"/>
      <c r="J186" s="46"/>
      <c r="K186" s="46"/>
      <c r="L186" s="41" t="str">
        <f t="shared" ca="1" si="12"/>
        <v/>
      </c>
      <c r="M186" s="47" t="str">
        <f t="shared" ca="1" si="11"/>
        <v/>
      </c>
      <c r="R186" s="48" t="str">
        <f t="shared" si="8"/>
        <v/>
      </c>
      <c r="S186" s="48" t="str">
        <f t="shared" si="9"/>
        <v/>
      </c>
    </row>
    <row r="187" spans="2:19" x14ac:dyDescent="0.35">
      <c r="B187" s="38"/>
      <c r="C187" s="38"/>
      <c r="D187" s="38"/>
      <c r="E187" s="30"/>
      <c r="F187" s="46"/>
      <c r="G187" s="46"/>
      <c r="H187" s="46"/>
      <c r="I187" s="46"/>
      <c r="J187" s="46"/>
      <c r="K187" s="46"/>
      <c r="L187" s="41" t="str">
        <f t="shared" ca="1" si="12"/>
        <v/>
      </c>
      <c r="M187" s="47" t="str">
        <f t="shared" ca="1" si="11"/>
        <v/>
      </c>
      <c r="R187" s="48" t="str">
        <f t="shared" si="8"/>
        <v/>
      </c>
      <c r="S187" s="48" t="str">
        <f t="shared" si="9"/>
        <v/>
      </c>
    </row>
    <row r="188" spans="2:19" x14ac:dyDescent="0.35">
      <c r="B188" s="38"/>
      <c r="C188" s="38"/>
      <c r="D188" s="38"/>
      <c r="E188" s="30"/>
      <c r="F188" s="46"/>
      <c r="G188" s="46"/>
      <c r="H188" s="46"/>
      <c r="I188" s="46"/>
      <c r="J188" s="46"/>
      <c r="K188" s="46"/>
      <c r="L188" s="41" t="str">
        <f t="shared" ca="1" si="12"/>
        <v/>
      </c>
      <c r="M188" s="47" t="str">
        <f t="shared" ca="1" si="11"/>
        <v/>
      </c>
      <c r="R188" s="48" t="str">
        <f t="shared" si="8"/>
        <v/>
      </c>
      <c r="S188" s="48" t="str">
        <f t="shared" si="9"/>
        <v/>
      </c>
    </row>
    <row r="189" spans="2:19" x14ac:dyDescent="0.35">
      <c r="B189" s="38"/>
      <c r="C189" s="38"/>
      <c r="D189" s="38"/>
      <c r="E189" s="30"/>
      <c r="F189" s="46"/>
      <c r="G189" s="46"/>
      <c r="H189" s="46"/>
      <c r="I189" s="46"/>
      <c r="J189" s="46"/>
      <c r="K189" s="46"/>
      <c r="L189" s="41" t="str">
        <f t="shared" ca="1" si="12"/>
        <v/>
      </c>
      <c r="M189" s="47" t="str">
        <f t="shared" ca="1" si="11"/>
        <v/>
      </c>
      <c r="R189" s="48" t="str">
        <f t="shared" si="8"/>
        <v/>
      </c>
      <c r="S189" s="48" t="str">
        <f t="shared" si="9"/>
        <v/>
      </c>
    </row>
    <row r="190" spans="2:19" x14ac:dyDescent="0.35">
      <c r="B190" s="38"/>
      <c r="C190" s="38"/>
      <c r="D190" s="38"/>
      <c r="E190" s="30"/>
      <c r="F190" s="46"/>
      <c r="G190" s="46"/>
      <c r="H190" s="46"/>
      <c r="I190" s="46"/>
      <c r="J190" s="46"/>
      <c r="K190" s="46"/>
      <c r="L190" s="41" t="str">
        <f t="shared" ca="1" si="12"/>
        <v/>
      </c>
      <c r="M190" s="47" t="str">
        <f t="shared" ca="1" si="11"/>
        <v/>
      </c>
      <c r="R190" s="48" t="str">
        <f t="shared" si="8"/>
        <v/>
      </c>
      <c r="S190" s="48" t="str">
        <f t="shared" si="9"/>
        <v/>
      </c>
    </row>
    <row r="191" spans="2:19" x14ac:dyDescent="0.35">
      <c r="B191" s="38"/>
      <c r="C191" s="38"/>
      <c r="D191" s="38"/>
      <c r="E191" s="30"/>
      <c r="F191" s="46"/>
      <c r="G191" s="46"/>
      <c r="H191" s="46"/>
      <c r="I191" s="46"/>
      <c r="J191" s="46"/>
      <c r="K191" s="46"/>
      <c r="L191" s="41" t="str">
        <f t="shared" ca="1" si="12"/>
        <v/>
      </c>
      <c r="M191" s="47" t="str">
        <f t="shared" ca="1" si="11"/>
        <v/>
      </c>
      <c r="R191" s="48" t="str">
        <f t="shared" si="8"/>
        <v/>
      </c>
      <c r="S191" s="48" t="str">
        <f t="shared" si="9"/>
        <v/>
      </c>
    </row>
    <row r="192" spans="2:19" x14ac:dyDescent="0.35">
      <c r="B192" s="38"/>
      <c r="C192" s="38"/>
      <c r="D192" s="38"/>
      <c r="E192" s="30"/>
      <c r="F192" s="46"/>
      <c r="G192" s="46"/>
      <c r="H192" s="46"/>
      <c r="I192" s="46"/>
      <c r="J192" s="46"/>
      <c r="K192" s="46"/>
      <c r="L192" s="41" t="str">
        <f t="shared" ca="1" si="12"/>
        <v/>
      </c>
      <c r="M192" s="47" t="str">
        <f t="shared" ca="1" si="11"/>
        <v/>
      </c>
      <c r="R192" s="48" t="str">
        <f t="shared" si="8"/>
        <v/>
      </c>
      <c r="S192" s="48" t="str">
        <f t="shared" si="9"/>
        <v/>
      </c>
    </row>
    <row r="193" spans="2:19" x14ac:dyDescent="0.35">
      <c r="B193" s="38"/>
      <c r="C193" s="38"/>
      <c r="D193" s="38"/>
      <c r="E193" s="30"/>
      <c r="F193" s="46"/>
      <c r="G193" s="46"/>
      <c r="H193" s="46"/>
      <c r="I193" s="46"/>
      <c r="J193" s="46"/>
      <c r="K193" s="46"/>
      <c r="L193" s="41" t="str">
        <f t="shared" ca="1" si="12"/>
        <v/>
      </c>
      <c r="M193" s="47" t="str">
        <f t="shared" ca="1" si="11"/>
        <v/>
      </c>
      <c r="R193" s="48" t="str">
        <f t="shared" si="8"/>
        <v/>
      </c>
      <c r="S193" s="48" t="str">
        <f t="shared" si="9"/>
        <v/>
      </c>
    </row>
    <row r="194" spans="2:19" x14ac:dyDescent="0.35">
      <c r="B194" s="38"/>
      <c r="C194" s="38"/>
      <c r="D194" s="38"/>
      <c r="E194" s="30"/>
      <c r="F194" s="46"/>
      <c r="G194" s="46"/>
      <c r="H194" s="46"/>
      <c r="I194" s="46"/>
      <c r="J194" s="46"/>
      <c r="K194" s="46"/>
      <c r="L194" s="41" t="str">
        <f t="shared" ca="1" si="12"/>
        <v/>
      </c>
      <c r="M194" s="47" t="str">
        <f t="shared" ca="1" si="11"/>
        <v/>
      </c>
      <c r="R194" s="48" t="str">
        <f t="shared" si="8"/>
        <v/>
      </c>
      <c r="S194" s="48" t="str">
        <f t="shared" si="9"/>
        <v/>
      </c>
    </row>
    <row r="195" spans="2:19" x14ac:dyDescent="0.35">
      <c r="B195" s="38"/>
      <c r="C195" s="38"/>
      <c r="D195" s="38"/>
      <c r="E195" s="30"/>
      <c r="F195" s="46"/>
      <c r="G195" s="46"/>
      <c r="H195" s="46"/>
      <c r="I195" s="46"/>
      <c r="J195" s="46"/>
      <c r="K195" s="46"/>
      <c r="L195" s="41" t="str">
        <f t="shared" ca="1" si="12"/>
        <v/>
      </c>
      <c r="M195" s="47" t="str">
        <f t="shared" ca="1" si="11"/>
        <v/>
      </c>
      <c r="R195" s="48" t="str">
        <f t="shared" si="8"/>
        <v/>
      </c>
      <c r="S195" s="48" t="str">
        <f t="shared" si="9"/>
        <v/>
      </c>
    </row>
    <row r="196" spans="2:19" x14ac:dyDescent="0.35">
      <c r="B196" s="38"/>
      <c r="C196" s="38"/>
      <c r="D196" s="38"/>
      <c r="E196" s="30"/>
      <c r="F196" s="46"/>
      <c r="G196" s="46"/>
      <c r="H196" s="46"/>
      <c r="I196" s="46"/>
      <c r="J196" s="46"/>
      <c r="K196" s="46"/>
      <c r="L196" s="41" t="str">
        <f t="shared" ca="1" si="12"/>
        <v/>
      </c>
      <c r="M196" s="47" t="str">
        <f t="shared" ca="1" si="11"/>
        <v/>
      </c>
      <c r="R196" s="48" t="str">
        <f t="shared" si="8"/>
        <v/>
      </c>
      <c r="S196" s="48" t="str">
        <f t="shared" si="9"/>
        <v/>
      </c>
    </row>
    <row r="197" spans="2:19" x14ac:dyDescent="0.35">
      <c r="B197" s="38"/>
      <c r="C197" s="38"/>
      <c r="D197" s="38"/>
      <c r="E197" s="30"/>
      <c r="F197" s="46"/>
      <c r="G197" s="46"/>
      <c r="H197" s="46"/>
      <c r="I197" s="46"/>
      <c r="J197" s="46"/>
      <c r="K197" s="46"/>
      <c r="L197" s="41" t="str">
        <f t="shared" ca="1" si="12"/>
        <v/>
      </c>
      <c r="M197" s="47" t="str">
        <f t="shared" ca="1" si="11"/>
        <v/>
      </c>
      <c r="R197" s="48" t="str">
        <f t="shared" si="8"/>
        <v/>
      </c>
      <c r="S197" s="48" t="str">
        <f t="shared" si="9"/>
        <v/>
      </c>
    </row>
    <row r="198" spans="2:19" x14ac:dyDescent="0.35">
      <c r="B198" s="38"/>
      <c r="C198" s="38"/>
      <c r="D198" s="38"/>
      <c r="E198" s="30"/>
      <c r="F198" s="46"/>
      <c r="G198" s="46"/>
      <c r="H198" s="46"/>
      <c r="I198" s="46"/>
      <c r="J198" s="46"/>
      <c r="K198" s="46"/>
      <c r="L198" s="41" t="str">
        <f t="shared" ref="L198:L261" ca="1" si="13">IF(AND(C198&lt;&gt;"",C198&lt;&gt;R198),TODAY(),IF(C198="","",L198))</f>
        <v/>
      </c>
      <c r="M198" s="47" t="str">
        <f t="shared" ref="M198:M261" ca="1" si="14">IF(AND(C198&lt;&gt;"",C198&lt;&gt;S198),NOW(),IF(C198="","",M198))</f>
        <v/>
      </c>
      <c r="R198" s="48" t="str">
        <f t="shared" ref="R198:R261" si="15">IF(C198="","",IF(OR(L198="",AND(ISNUMBER(R198),C198=R198)),R198,C198))</f>
        <v/>
      </c>
      <c r="S198" s="48" t="str">
        <f t="shared" ref="S198:S261" si="16">IF(C198="","",IF(OR(M198="",AND(ISNUMBER(S198),C198=S198)),S198,C198))</f>
        <v/>
      </c>
    </row>
    <row r="199" spans="2:19" x14ac:dyDescent="0.35">
      <c r="B199" s="38"/>
      <c r="C199" s="38"/>
      <c r="D199" s="38"/>
      <c r="E199" s="30"/>
      <c r="F199" s="46"/>
      <c r="G199" s="46"/>
      <c r="H199" s="46"/>
      <c r="I199" s="46"/>
      <c r="J199" s="46"/>
      <c r="K199" s="46"/>
      <c r="L199" s="41" t="str">
        <f t="shared" ca="1" si="13"/>
        <v/>
      </c>
      <c r="M199" s="47" t="str">
        <f t="shared" ca="1" si="14"/>
        <v/>
      </c>
      <c r="R199" s="48" t="str">
        <f t="shared" si="15"/>
        <v/>
      </c>
      <c r="S199" s="48" t="str">
        <f t="shared" si="16"/>
        <v/>
      </c>
    </row>
    <row r="200" spans="2:19" x14ac:dyDescent="0.35">
      <c r="B200" s="38"/>
      <c r="C200" s="38"/>
      <c r="D200" s="38"/>
      <c r="E200" s="30"/>
      <c r="F200" s="46"/>
      <c r="G200" s="46"/>
      <c r="H200" s="46"/>
      <c r="I200" s="46"/>
      <c r="J200" s="46"/>
      <c r="K200" s="46"/>
      <c r="L200" s="41" t="str">
        <f t="shared" ca="1" si="13"/>
        <v/>
      </c>
      <c r="M200" s="47" t="str">
        <f t="shared" ca="1" si="14"/>
        <v/>
      </c>
      <c r="R200" s="48" t="str">
        <f t="shared" si="15"/>
        <v/>
      </c>
      <c r="S200" s="48" t="str">
        <f t="shared" si="16"/>
        <v/>
      </c>
    </row>
    <row r="201" spans="2:19" x14ac:dyDescent="0.35">
      <c r="B201" s="38"/>
      <c r="C201" s="38"/>
      <c r="D201" s="38"/>
      <c r="E201" s="30"/>
      <c r="F201" s="46"/>
      <c r="G201" s="46"/>
      <c r="H201" s="46"/>
      <c r="I201" s="46"/>
      <c r="J201" s="46"/>
      <c r="K201" s="46"/>
      <c r="L201" s="41" t="str">
        <f t="shared" ca="1" si="13"/>
        <v/>
      </c>
      <c r="M201" s="47" t="str">
        <f t="shared" ca="1" si="14"/>
        <v/>
      </c>
      <c r="R201" s="48" t="str">
        <f t="shared" si="15"/>
        <v/>
      </c>
      <c r="S201" s="48" t="str">
        <f t="shared" si="16"/>
        <v/>
      </c>
    </row>
    <row r="202" spans="2:19" x14ac:dyDescent="0.35">
      <c r="B202" s="38"/>
      <c r="C202" s="38"/>
      <c r="D202" s="38"/>
      <c r="E202" s="30"/>
      <c r="F202" s="46"/>
      <c r="G202" s="46"/>
      <c r="H202" s="46"/>
      <c r="I202" s="46"/>
      <c r="J202" s="46"/>
      <c r="K202" s="46"/>
      <c r="L202" s="41" t="str">
        <f t="shared" ca="1" si="13"/>
        <v/>
      </c>
      <c r="M202" s="47" t="str">
        <f t="shared" ca="1" si="14"/>
        <v/>
      </c>
      <c r="R202" s="48" t="str">
        <f t="shared" si="15"/>
        <v/>
      </c>
      <c r="S202" s="48" t="str">
        <f t="shared" si="16"/>
        <v/>
      </c>
    </row>
    <row r="203" spans="2:19" x14ac:dyDescent="0.35">
      <c r="B203" s="38"/>
      <c r="C203" s="38"/>
      <c r="D203" s="38"/>
      <c r="E203" s="30"/>
      <c r="F203" s="46"/>
      <c r="G203" s="46"/>
      <c r="H203" s="46"/>
      <c r="I203" s="46"/>
      <c r="J203" s="46"/>
      <c r="K203" s="46"/>
      <c r="L203" s="41" t="str">
        <f t="shared" ca="1" si="13"/>
        <v/>
      </c>
      <c r="M203" s="47" t="str">
        <f t="shared" ca="1" si="14"/>
        <v/>
      </c>
      <c r="R203" s="48" t="str">
        <f t="shared" si="15"/>
        <v/>
      </c>
      <c r="S203" s="48" t="str">
        <f t="shared" si="16"/>
        <v/>
      </c>
    </row>
    <row r="204" spans="2:19" x14ac:dyDescent="0.35">
      <c r="B204" s="38"/>
      <c r="C204" s="38"/>
      <c r="D204" s="38"/>
      <c r="E204" s="30"/>
      <c r="F204" s="46"/>
      <c r="G204" s="46"/>
      <c r="H204" s="46"/>
      <c r="I204" s="46"/>
      <c r="J204" s="46"/>
      <c r="K204" s="46"/>
      <c r="L204" s="41" t="str">
        <f t="shared" ca="1" si="13"/>
        <v/>
      </c>
      <c r="M204" s="47" t="str">
        <f t="shared" ca="1" si="14"/>
        <v/>
      </c>
      <c r="R204" s="48" t="str">
        <f t="shared" si="15"/>
        <v/>
      </c>
      <c r="S204" s="48" t="str">
        <f t="shared" si="16"/>
        <v/>
      </c>
    </row>
    <row r="205" spans="2:19" x14ac:dyDescent="0.35">
      <c r="B205" s="38"/>
      <c r="C205" s="38"/>
      <c r="D205" s="38"/>
      <c r="E205" s="30"/>
      <c r="F205" s="46"/>
      <c r="G205" s="46"/>
      <c r="H205" s="46"/>
      <c r="I205" s="46"/>
      <c r="J205" s="46"/>
      <c r="K205" s="46"/>
      <c r="L205" s="41" t="str">
        <f t="shared" ca="1" si="13"/>
        <v/>
      </c>
      <c r="M205" s="47" t="str">
        <f t="shared" ca="1" si="14"/>
        <v/>
      </c>
      <c r="R205" s="48" t="str">
        <f t="shared" si="15"/>
        <v/>
      </c>
      <c r="S205" s="48" t="str">
        <f t="shared" si="16"/>
        <v/>
      </c>
    </row>
    <row r="206" spans="2:19" x14ac:dyDescent="0.35">
      <c r="B206" s="38"/>
      <c r="C206" s="38"/>
      <c r="D206" s="38"/>
      <c r="E206" s="30"/>
      <c r="F206" s="46"/>
      <c r="G206" s="46"/>
      <c r="H206" s="46"/>
      <c r="I206" s="46"/>
      <c r="J206" s="46"/>
      <c r="K206" s="46"/>
      <c r="L206" s="41" t="str">
        <f t="shared" ca="1" si="13"/>
        <v/>
      </c>
      <c r="M206" s="47" t="str">
        <f t="shared" ca="1" si="14"/>
        <v/>
      </c>
      <c r="R206" s="48" t="str">
        <f t="shared" si="15"/>
        <v/>
      </c>
      <c r="S206" s="48" t="str">
        <f t="shared" si="16"/>
        <v/>
      </c>
    </row>
    <row r="207" spans="2:19" x14ac:dyDescent="0.35">
      <c r="B207" s="38"/>
      <c r="C207" s="38"/>
      <c r="D207" s="38"/>
      <c r="E207" s="30"/>
      <c r="F207" s="46"/>
      <c r="G207" s="46"/>
      <c r="H207" s="46"/>
      <c r="I207" s="46"/>
      <c r="J207" s="46"/>
      <c r="K207" s="46"/>
      <c r="L207" s="41" t="str">
        <f t="shared" ca="1" si="13"/>
        <v/>
      </c>
      <c r="M207" s="47" t="str">
        <f t="shared" ca="1" si="14"/>
        <v/>
      </c>
      <c r="R207" s="48" t="str">
        <f t="shared" si="15"/>
        <v/>
      </c>
      <c r="S207" s="48" t="str">
        <f t="shared" si="16"/>
        <v/>
      </c>
    </row>
    <row r="208" spans="2:19" x14ac:dyDescent="0.35">
      <c r="B208" s="38"/>
      <c r="C208" s="38"/>
      <c r="D208" s="38"/>
      <c r="E208" s="30"/>
      <c r="F208" s="46"/>
      <c r="G208" s="46"/>
      <c r="H208" s="46"/>
      <c r="I208" s="46"/>
      <c r="J208" s="46"/>
      <c r="K208" s="46"/>
      <c r="L208" s="41" t="str">
        <f t="shared" ca="1" si="13"/>
        <v/>
      </c>
      <c r="M208" s="47" t="str">
        <f t="shared" ca="1" si="14"/>
        <v/>
      </c>
      <c r="R208" s="48" t="str">
        <f t="shared" si="15"/>
        <v/>
      </c>
      <c r="S208" s="48" t="str">
        <f t="shared" si="16"/>
        <v/>
      </c>
    </row>
    <row r="209" spans="2:19" x14ac:dyDescent="0.35">
      <c r="B209" s="38"/>
      <c r="C209" s="38"/>
      <c r="D209" s="38"/>
      <c r="E209" s="30"/>
      <c r="F209" s="46"/>
      <c r="G209" s="46"/>
      <c r="H209" s="46"/>
      <c r="I209" s="46"/>
      <c r="J209" s="46"/>
      <c r="K209" s="46"/>
      <c r="L209" s="41" t="str">
        <f t="shared" ca="1" si="13"/>
        <v/>
      </c>
      <c r="M209" s="47" t="str">
        <f t="shared" ca="1" si="14"/>
        <v/>
      </c>
      <c r="R209" s="48" t="str">
        <f t="shared" si="15"/>
        <v/>
      </c>
      <c r="S209" s="48" t="str">
        <f t="shared" si="16"/>
        <v/>
      </c>
    </row>
    <row r="210" spans="2:19" x14ac:dyDescent="0.35">
      <c r="B210" s="38"/>
      <c r="C210" s="38"/>
      <c r="D210" s="38"/>
      <c r="E210" s="30"/>
      <c r="F210" s="46"/>
      <c r="G210" s="46"/>
      <c r="H210" s="46"/>
      <c r="I210" s="46"/>
      <c r="J210" s="46"/>
      <c r="K210" s="46"/>
      <c r="L210" s="41" t="str">
        <f t="shared" ca="1" si="13"/>
        <v/>
      </c>
      <c r="M210" s="47" t="str">
        <f t="shared" ca="1" si="14"/>
        <v/>
      </c>
      <c r="R210" s="48" t="str">
        <f t="shared" si="15"/>
        <v/>
      </c>
      <c r="S210" s="48" t="str">
        <f t="shared" si="16"/>
        <v/>
      </c>
    </row>
    <row r="211" spans="2:19" x14ac:dyDescent="0.35">
      <c r="B211" s="38"/>
      <c r="C211" s="38"/>
      <c r="D211" s="38"/>
      <c r="E211" s="30"/>
      <c r="F211" s="46"/>
      <c r="G211" s="46"/>
      <c r="H211" s="46"/>
      <c r="I211" s="46"/>
      <c r="J211" s="46"/>
      <c r="K211" s="46"/>
      <c r="L211" s="41" t="str">
        <f t="shared" ca="1" si="13"/>
        <v/>
      </c>
      <c r="M211" s="47" t="str">
        <f t="shared" ca="1" si="14"/>
        <v/>
      </c>
      <c r="R211" s="48" t="str">
        <f t="shared" si="15"/>
        <v/>
      </c>
      <c r="S211" s="48" t="str">
        <f t="shared" si="16"/>
        <v/>
      </c>
    </row>
    <row r="212" spans="2:19" x14ac:dyDescent="0.35">
      <c r="B212" s="38"/>
      <c r="C212" s="38"/>
      <c r="D212" s="38"/>
      <c r="E212" s="30"/>
      <c r="F212" s="46"/>
      <c r="G212" s="46"/>
      <c r="H212" s="46"/>
      <c r="I212" s="46"/>
      <c r="J212" s="46"/>
      <c r="K212" s="46"/>
      <c r="L212" s="41" t="str">
        <f t="shared" ca="1" si="13"/>
        <v/>
      </c>
      <c r="M212" s="47" t="str">
        <f t="shared" ca="1" si="14"/>
        <v/>
      </c>
      <c r="R212" s="48" t="str">
        <f t="shared" si="15"/>
        <v/>
      </c>
      <c r="S212" s="48" t="str">
        <f t="shared" si="16"/>
        <v/>
      </c>
    </row>
    <row r="213" spans="2:19" x14ac:dyDescent="0.35">
      <c r="B213" s="38"/>
      <c r="C213" s="38"/>
      <c r="D213" s="38"/>
      <c r="E213" s="30"/>
      <c r="F213" s="46"/>
      <c r="G213" s="46"/>
      <c r="H213" s="46"/>
      <c r="I213" s="46"/>
      <c r="J213" s="46"/>
      <c r="K213" s="46"/>
      <c r="L213" s="41" t="str">
        <f t="shared" ca="1" si="13"/>
        <v/>
      </c>
      <c r="M213" s="47" t="str">
        <f t="shared" ca="1" si="14"/>
        <v/>
      </c>
      <c r="R213" s="48" t="str">
        <f t="shared" si="15"/>
        <v/>
      </c>
      <c r="S213" s="48" t="str">
        <f t="shared" si="16"/>
        <v/>
      </c>
    </row>
    <row r="214" spans="2:19" x14ac:dyDescent="0.35">
      <c r="B214" s="38"/>
      <c r="C214" s="38"/>
      <c r="D214" s="38"/>
      <c r="E214" s="30"/>
      <c r="F214" s="46"/>
      <c r="G214" s="46"/>
      <c r="H214" s="46"/>
      <c r="I214" s="46"/>
      <c r="J214" s="46"/>
      <c r="K214" s="46"/>
      <c r="L214" s="41" t="str">
        <f t="shared" ca="1" si="13"/>
        <v/>
      </c>
      <c r="M214" s="47" t="str">
        <f t="shared" ca="1" si="14"/>
        <v/>
      </c>
      <c r="R214" s="48" t="str">
        <f t="shared" si="15"/>
        <v/>
      </c>
      <c r="S214" s="48" t="str">
        <f t="shared" si="16"/>
        <v/>
      </c>
    </row>
    <row r="215" spans="2:19" x14ac:dyDescent="0.35">
      <c r="B215" s="38"/>
      <c r="C215" s="38"/>
      <c r="D215" s="38"/>
      <c r="E215" s="30"/>
      <c r="F215" s="46"/>
      <c r="G215" s="46"/>
      <c r="H215" s="46"/>
      <c r="I215" s="46"/>
      <c r="J215" s="46"/>
      <c r="K215" s="46"/>
      <c r="L215" s="41" t="str">
        <f t="shared" ca="1" si="13"/>
        <v/>
      </c>
      <c r="M215" s="47" t="str">
        <f t="shared" ca="1" si="14"/>
        <v/>
      </c>
      <c r="R215" s="48" t="str">
        <f t="shared" si="15"/>
        <v/>
      </c>
      <c r="S215" s="48" t="str">
        <f t="shared" si="16"/>
        <v/>
      </c>
    </row>
    <row r="216" spans="2:19" x14ac:dyDescent="0.35">
      <c r="B216" s="38"/>
      <c r="C216" s="38"/>
      <c r="D216" s="38"/>
      <c r="E216" s="30"/>
      <c r="F216" s="46"/>
      <c r="G216" s="46"/>
      <c r="H216" s="46"/>
      <c r="I216" s="46"/>
      <c r="J216" s="46"/>
      <c r="K216" s="46"/>
      <c r="L216" s="41" t="str">
        <f t="shared" ca="1" si="13"/>
        <v/>
      </c>
      <c r="M216" s="47" t="str">
        <f t="shared" ca="1" si="14"/>
        <v/>
      </c>
      <c r="R216" s="48" t="str">
        <f t="shared" si="15"/>
        <v/>
      </c>
      <c r="S216" s="48" t="str">
        <f t="shared" si="16"/>
        <v/>
      </c>
    </row>
    <row r="217" spans="2:19" x14ac:dyDescent="0.35">
      <c r="B217" s="38"/>
      <c r="C217" s="38"/>
      <c r="D217" s="38"/>
      <c r="E217" s="30"/>
      <c r="F217" s="46"/>
      <c r="G217" s="46"/>
      <c r="H217" s="46"/>
      <c r="I217" s="46"/>
      <c r="J217" s="46"/>
      <c r="K217" s="46"/>
      <c r="L217" s="41" t="str">
        <f t="shared" ca="1" si="13"/>
        <v/>
      </c>
      <c r="M217" s="47" t="str">
        <f t="shared" ca="1" si="14"/>
        <v/>
      </c>
      <c r="R217" s="48" t="str">
        <f t="shared" si="15"/>
        <v/>
      </c>
      <c r="S217" s="48" t="str">
        <f t="shared" si="16"/>
        <v/>
      </c>
    </row>
    <row r="218" spans="2:19" x14ac:dyDescent="0.35">
      <c r="B218" s="38"/>
      <c r="C218" s="38"/>
      <c r="D218" s="38"/>
      <c r="E218" s="30"/>
      <c r="F218" s="46"/>
      <c r="G218" s="46"/>
      <c r="H218" s="46"/>
      <c r="I218" s="46"/>
      <c r="J218" s="46"/>
      <c r="K218" s="46"/>
      <c r="L218" s="41" t="str">
        <f t="shared" ca="1" si="13"/>
        <v/>
      </c>
      <c r="M218" s="47" t="str">
        <f t="shared" ca="1" si="14"/>
        <v/>
      </c>
      <c r="R218" s="48" t="str">
        <f t="shared" si="15"/>
        <v/>
      </c>
      <c r="S218" s="48" t="str">
        <f t="shared" si="16"/>
        <v/>
      </c>
    </row>
    <row r="219" spans="2:19" x14ac:dyDescent="0.35">
      <c r="B219" s="38"/>
      <c r="C219" s="38"/>
      <c r="D219" s="38"/>
      <c r="E219" s="30"/>
      <c r="F219" s="46"/>
      <c r="G219" s="46"/>
      <c r="H219" s="46"/>
      <c r="I219" s="46"/>
      <c r="J219" s="46"/>
      <c r="K219" s="46"/>
      <c r="L219" s="41" t="str">
        <f t="shared" ca="1" si="13"/>
        <v/>
      </c>
      <c r="M219" s="47" t="str">
        <f t="shared" ca="1" si="14"/>
        <v/>
      </c>
      <c r="R219" s="48" t="str">
        <f t="shared" si="15"/>
        <v/>
      </c>
      <c r="S219" s="48" t="str">
        <f t="shared" si="16"/>
        <v/>
      </c>
    </row>
    <row r="220" spans="2:19" x14ac:dyDescent="0.35">
      <c r="B220" s="38"/>
      <c r="C220" s="38"/>
      <c r="D220" s="38"/>
      <c r="E220" s="30"/>
      <c r="F220" s="46"/>
      <c r="G220" s="46"/>
      <c r="H220" s="46"/>
      <c r="I220" s="46"/>
      <c r="J220" s="46"/>
      <c r="K220" s="46"/>
      <c r="L220" s="41" t="str">
        <f t="shared" ca="1" si="13"/>
        <v/>
      </c>
      <c r="M220" s="47" t="str">
        <f t="shared" ca="1" si="14"/>
        <v/>
      </c>
      <c r="R220" s="48" t="str">
        <f t="shared" si="15"/>
        <v/>
      </c>
      <c r="S220" s="48" t="str">
        <f t="shared" si="16"/>
        <v/>
      </c>
    </row>
    <row r="221" spans="2:19" x14ac:dyDescent="0.35">
      <c r="B221" s="38"/>
      <c r="C221" s="38"/>
      <c r="D221" s="38"/>
      <c r="E221" s="30"/>
      <c r="F221" s="46"/>
      <c r="G221" s="46"/>
      <c r="H221" s="46"/>
      <c r="I221" s="46"/>
      <c r="J221" s="46"/>
      <c r="K221" s="46"/>
      <c r="L221" s="41" t="str">
        <f t="shared" ca="1" si="13"/>
        <v/>
      </c>
      <c r="M221" s="47" t="str">
        <f t="shared" ca="1" si="14"/>
        <v/>
      </c>
      <c r="R221" s="48" t="str">
        <f t="shared" si="15"/>
        <v/>
      </c>
      <c r="S221" s="48" t="str">
        <f t="shared" si="16"/>
        <v/>
      </c>
    </row>
    <row r="222" spans="2:19" x14ac:dyDescent="0.35">
      <c r="B222" s="38"/>
      <c r="C222" s="38"/>
      <c r="D222" s="38"/>
      <c r="E222" s="30"/>
      <c r="F222" s="46"/>
      <c r="G222" s="46"/>
      <c r="H222" s="46"/>
      <c r="I222" s="46"/>
      <c r="J222" s="46"/>
      <c r="K222" s="46"/>
      <c r="L222" s="41" t="str">
        <f t="shared" ca="1" si="13"/>
        <v/>
      </c>
      <c r="M222" s="47" t="str">
        <f t="shared" ca="1" si="14"/>
        <v/>
      </c>
      <c r="R222" s="48" t="str">
        <f t="shared" si="15"/>
        <v/>
      </c>
      <c r="S222" s="48" t="str">
        <f t="shared" si="16"/>
        <v/>
      </c>
    </row>
    <row r="223" spans="2:19" x14ac:dyDescent="0.35">
      <c r="B223" s="38"/>
      <c r="C223" s="38"/>
      <c r="D223" s="38"/>
      <c r="E223" s="30"/>
      <c r="F223" s="46"/>
      <c r="G223" s="46"/>
      <c r="H223" s="46"/>
      <c r="I223" s="46"/>
      <c r="J223" s="46"/>
      <c r="K223" s="46"/>
      <c r="L223" s="41" t="str">
        <f t="shared" ca="1" si="13"/>
        <v/>
      </c>
      <c r="M223" s="47" t="str">
        <f t="shared" ca="1" si="14"/>
        <v/>
      </c>
      <c r="R223" s="48" t="str">
        <f t="shared" si="15"/>
        <v/>
      </c>
      <c r="S223" s="48" t="str">
        <f t="shared" si="16"/>
        <v/>
      </c>
    </row>
    <row r="224" spans="2:19" x14ac:dyDescent="0.35">
      <c r="B224" s="38"/>
      <c r="C224" s="38"/>
      <c r="D224" s="38"/>
      <c r="E224" s="30"/>
      <c r="F224" s="46"/>
      <c r="G224" s="46"/>
      <c r="H224" s="46"/>
      <c r="I224" s="46"/>
      <c r="J224" s="46"/>
      <c r="K224" s="46"/>
      <c r="L224" s="41" t="str">
        <f t="shared" ca="1" si="13"/>
        <v/>
      </c>
      <c r="M224" s="47" t="str">
        <f t="shared" ca="1" si="14"/>
        <v/>
      </c>
      <c r="R224" s="48" t="str">
        <f t="shared" si="15"/>
        <v/>
      </c>
      <c r="S224" s="48" t="str">
        <f t="shared" si="16"/>
        <v/>
      </c>
    </row>
    <row r="225" spans="2:19" x14ac:dyDescent="0.35">
      <c r="B225" s="38"/>
      <c r="C225" s="38"/>
      <c r="D225" s="38"/>
      <c r="E225" s="30"/>
      <c r="F225" s="46"/>
      <c r="G225" s="46"/>
      <c r="H225" s="46"/>
      <c r="I225" s="46"/>
      <c r="J225" s="46"/>
      <c r="K225" s="46"/>
      <c r="L225" s="41" t="str">
        <f t="shared" ca="1" si="13"/>
        <v/>
      </c>
      <c r="M225" s="47" t="str">
        <f t="shared" ca="1" si="14"/>
        <v/>
      </c>
      <c r="R225" s="48" t="str">
        <f t="shared" si="15"/>
        <v/>
      </c>
      <c r="S225" s="48" t="str">
        <f t="shared" si="16"/>
        <v/>
      </c>
    </row>
    <row r="226" spans="2:19" x14ac:dyDescent="0.35">
      <c r="B226" s="30"/>
      <c r="C226" s="38"/>
      <c r="D226" s="38"/>
      <c r="E226" s="30"/>
      <c r="F226" s="46"/>
      <c r="G226" s="46"/>
      <c r="H226" s="46"/>
      <c r="I226" s="46"/>
      <c r="J226" s="46"/>
      <c r="K226" s="46"/>
      <c r="L226" s="41" t="str">
        <f t="shared" ca="1" si="13"/>
        <v/>
      </c>
      <c r="M226" s="47" t="str">
        <f t="shared" ca="1" si="14"/>
        <v/>
      </c>
      <c r="R226" s="48" t="str">
        <f t="shared" si="15"/>
        <v/>
      </c>
      <c r="S226" s="48" t="str">
        <f t="shared" si="16"/>
        <v/>
      </c>
    </row>
    <row r="227" spans="2:19" x14ac:dyDescent="0.35">
      <c r="B227" s="30"/>
      <c r="C227" s="38"/>
      <c r="D227" s="38"/>
      <c r="E227" s="30"/>
      <c r="F227" s="46"/>
      <c r="G227" s="46"/>
      <c r="H227" s="46"/>
      <c r="I227" s="46"/>
      <c r="J227" s="46"/>
      <c r="K227" s="46"/>
      <c r="L227" s="41" t="str">
        <f t="shared" ca="1" si="13"/>
        <v/>
      </c>
      <c r="M227" s="47" t="str">
        <f t="shared" ca="1" si="14"/>
        <v/>
      </c>
      <c r="R227" s="48" t="str">
        <f t="shared" si="15"/>
        <v/>
      </c>
      <c r="S227" s="48" t="str">
        <f t="shared" si="16"/>
        <v/>
      </c>
    </row>
    <row r="228" spans="2:19" x14ac:dyDescent="0.35">
      <c r="B228" s="30"/>
      <c r="C228" s="38"/>
      <c r="D228" s="38"/>
      <c r="E228" s="30"/>
      <c r="F228" s="46"/>
      <c r="G228" s="46"/>
      <c r="H228" s="46"/>
      <c r="I228" s="46"/>
      <c r="J228" s="46"/>
      <c r="K228" s="46"/>
      <c r="L228" s="41" t="str">
        <f t="shared" ca="1" si="13"/>
        <v/>
      </c>
      <c r="M228" s="47" t="str">
        <f t="shared" ca="1" si="14"/>
        <v/>
      </c>
      <c r="R228" s="48" t="str">
        <f t="shared" si="15"/>
        <v/>
      </c>
      <c r="S228" s="48" t="str">
        <f t="shared" si="16"/>
        <v/>
      </c>
    </row>
    <row r="229" spans="2:19" x14ac:dyDescent="0.35">
      <c r="B229" s="30"/>
      <c r="C229" s="38"/>
      <c r="D229" s="38"/>
      <c r="E229" s="30"/>
      <c r="F229" s="46"/>
      <c r="G229" s="46"/>
      <c r="H229" s="46"/>
      <c r="I229" s="46"/>
      <c r="J229" s="46"/>
      <c r="K229" s="46"/>
      <c r="L229" s="41" t="str">
        <f t="shared" ca="1" si="13"/>
        <v/>
      </c>
      <c r="M229" s="47" t="str">
        <f t="shared" ca="1" si="14"/>
        <v/>
      </c>
      <c r="R229" s="48" t="str">
        <f t="shared" si="15"/>
        <v/>
      </c>
      <c r="S229" s="48" t="str">
        <f t="shared" si="16"/>
        <v/>
      </c>
    </row>
    <row r="230" spans="2:19" x14ac:dyDescent="0.35">
      <c r="B230" s="30"/>
      <c r="C230" s="38"/>
      <c r="D230" s="38"/>
      <c r="E230" s="30"/>
      <c r="F230" s="46"/>
      <c r="G230" s="46"/>
      <c r="H230" s="46"/>
      <c r="I230" s="46"/>
      <c r="J230" s="46"/>
      <c r="K230" s="46"/>
      <c r="L230" s="41" t="str">
        <f t="shared" ca="1" si="13"/>
        <v/>
      </c>
      <c r="M230" s="47" t="str">
        <f t="shared" ca="1" si="14"/>
        <v/>
      </c>
      <c r="R230" s="48" t="str">
        <f t="shared" si="15"/>
        <v/>
      </c>
      <c r="S230" s="48" t="str">
        <f t="shared" si="16"/>
        <v/>
      </c>
    </row>
    <row r="231" spans="2:19" x14ac:dyDescent="0.35">
      <c r="B231" s="30"/>
      <c r="C231" s="38"/>
      <c r="D231" s="38"/>
      <c r="E231" s="30"/>
      <c r="F231" s="46"/>
      <c r="G231" s="46"/>
      <c r="H231" s="46"/>
      <c r="I231" s="46"/>
      <c r="J231" s="46"/>
      <c r="K231" s="46"/>
      <c r="L231" s="41" t="str">
        <f t="shared" ca="1" si="13"/>
        <v/>
      </c>
      <c r="M231" s="47" t="str">
        <f t="shared" ca="1" si="14"/>
        <v/>
      </c>
      <c r="R231" s="48" t="str">
        <f t="shared" si="15"/>
        <v/>
      </c>
      <c r="S231" s="48" t="str">
        <f t="shared" si="16"/>
        <v/>
      </c>
    </row>
    <row r="232" spans="2:19" x14ac:dyDescent="0.35">
      <c r="B232" s="30"/>
      <c r="C232" s="38"/>
      <c r="D232" s="38"/>
      <c r="E232" s="30"/>
      <c r="F232" s="46"/>
      <c r="G232" s="46"/>
      <c r="H232" s="46"/>
      <c r="I232" s="46"/>
      <c r="J232" s="46"/>
      <c r="K232" s="46"/>
      <c r="L232" s="41" t="str">
        <f t="shared" ca="1" si="13"/>
        <v/>
      </c>
      <c r="M232" s="47" t="str">
        <f t="shared" ca="1" si="14"/>
        <v/>
      </c>
      <c r="R232" s="48" t="str">
        <f t="shared" si="15"/>
        <v/>
      </c>
      <c r="S232" s="48" t="str">
        <f t="shared" si="16"/>
        <v/>
      </c>
    </row>
    <row r="233" spans="2:19" x14ac:dyDescent="0.35">
      <c r="B233" s="30"/>
      <c r="C233" s="38"/>
      <c r="D233" s="38"/>
      <c r="E233" s="30"/>
      <c r="F233" s="46"/>
      <c r="G233" s="46"/>
      <c r="H233" s="46"/>
      <c r="I233" s="46"/>
      <c r="J233" s="46"/>
      <c r="K233" s="46"/>
      <c r="L233" s="41" t="str">
        <f t="shared" ca="1" si="13"/>
        <v/>
      </c>
      <c r="M233" s="47" t="str">
        <f t="shared" ca="1" si="14"/>
        <v/>
      </c>
      <c r="R233" s="48" t="str">
        <f t="shared" si="15"/>
        <v/>
      </c>
      <c r="S233" s="48" t="str">
        <f t="shared" si="16"/>
        <v/>
      </c>
    </row>
    <row r="234" spans="2:19" x14ac:dyDescent="0.35">
      <c r="B234" s="30"/>
      <c r="C234" s="38"/>
      <c r="D234" s="38"/>
      <c r="E234" s="30"/>
      <c r="F234" s="46"/>
      <c r="G234" s="46"/>
      <c r="H234" s="46"/>
      <c r="I234" s="46"/>
      <c r="J234" s="46"/>
      <c r="K234" s="46"/>
      <c r="L234" s="41" t="str">
        <f t="shared" ca="1" si="13"/>
        <v/>
      </c>
      <c r="M234" s="47" t="str">
        <f t="shared" ca="1" si="14"/>
        <v/>
      </c>
      <c r="R234" s="48" t="str">
        <f t="shared" si="15"/>
        <v/>
      </c>
      <c r="S234" s="48" t="str">
        <f t="shared" si="16"/>
        <v/>
      </c>
    </row>
    <row r="235" spans="2:19" x14ac:dyDescent="0.35">
      <c r="B235" s="30"/>
      <c r="C235" s="38"/>
      <c r="D235" s="38"/>
      <c r="E235" s="30"/>
      <c r="F235" s="46"/>
      <c r="G235" s="46"/>
      <c r="H235" s="46"/>
      <c r="I235" s="46"/>
      <c r="J235" s="46"/>
      <c r="K235" s="46"/>
      <c r="L235" s="41" t="str">
        <f t="shared" ca="1" si="13"/>
        <v/>
      </c>
      <c r="M235" s="47" t="str">
        <f t="shared" ca="1" si="14"/>
        <v/>
      </c>
      <c r="R235" s="48" t="str">
        <f t="shared" si="15"/>
        <v/>
      </c>
      <c r="S235" s="48" t="str">
        <f t="shared" si="16"/>
        <v/>
      </c>
    </row>
    <row r="236" spans="2:19" x14ac:dyDescent="0.35">
      <c r="B236" s="30"/>
      <c r="C236" s="38"/>
      <c r="D236" s="38"/>
      <c r="E236" s="30"/>
      <c r="F236" s="46"/>
      <c r="G236" s="46"/>
      <c r="H236" s="46"/>
      <c r="I236" s="46"/>
      <c r="J236" s="46"/>
      <c r="K236" s="46"/>
      <c r="L236" s="41" t="str">
        <f t="shared" ca="1" si="13"/>
        <v/>
      </c>
      <c r="M236" s="47" t="str">
        <f t="shared" ca="1" si="14"/>
        <v/>
      </c>
      <c r="R236" s="48" t="str">
        <f t="shared" si="15"/>
        <v/>
      </c>
      <c r="S236" s="48" t="str">
        <f t="shared" si="16"/>
        <v/>
      </c>
    </row>
    <row r="237" spans="2:19" x14ac:dyDescent="0.35">
      <c r="B237" s="30"/>
      <c r="C237" s="38"/>
      <c r="D237" s="38"/>
      <c r="E237" s="30"/>
      <c r="F237" s="46"/>
      <c r="G237" s="46"/>
      <c r="H237" s="46"/>
      <c r="I237" s="46"/>
      <c r="J237" s="46"/>
      <c r="K237" s="46"/>
      <c r="L237" s="41" t="str">
        <f t="shared" ca="1" si="13"/>
        <v/>
      </c>
      <c r="M237" s="47" t="str">
        <f t="shared" ca="1" si="14"/>
        <v/>
      </c>
      <c r="R237" s="48" t="str">
        <f t="shared" si="15"/>
        <v/>
      </c>
      <c r="S237" s="48" t="str">
        <f t="shared" si="16"/>
        <v/>
      </c>
    </row>
    <row r="238" spans="2:19" x14ac:dyDescent="0.35">
      <c r="B238" s="30"/>
      <c r="C238" s="38"/>
      <c r="D238" s="38"/>
      <c r="E238" s="30"/>
      <c r="F238" s="46"/>
      <c r="G238" s="46"/>
      <c r="H238" s="46"/>
      <c r="I238" s="46"/>
      <c r="J238" s="46"/>
      <c r="K238" s="46"/>
      <c r="L238" s="41" t="str">
        <f t="shared" ca="1" si="13"/>
        <v/>
      </c>
      <c r="M238" s="47" t="str">
        <f t="shared" ca="1" si="14"/>
        <v/>
      </c>
      <c r="R238" s="48" t="str">
        <f t="shared" si="15"/>
        <v/>
      </c>
      <c r="S238" s="48" t="str">
        <f t="shared" si="16"/>
        <v/>
      </c>
    </row>
    <row r="239" spans="2:19" x14ac:dyDescent="0.35">
      <c r="B239" s="30"/>
      <c r="C239" s="38"/>
      <c r="D239" s="38"/>
      <c r="E239" s="30"/>
      <c r="F239" s="46"/>
      <c r="G239" s="46"/>
      <c r="H239" s="46"/>
      <c r="I239" s="46"/>
      <c r="J239" s="46"/>
      <c r="K239" s="46"/>
      <c r="L239" s="41" t="str">
        <f t="shared" ca="1" si="13"/>
        <v/>
      </c>
      <c r="M239" s="47" t="str">
        <f t="shared" ca="1" si="14"/>
        <v/>
      </c>
      <c r="R239" s="48" t="str">
        <f t="shared" si="15"/>
        <v/>
      </c>
      <c r="S239" s="48" t="str">
        <f t="shared" si="16"/>
        <v/>
      </c>
    </row>
    <row r="240" spans="2:19" x14ac:dyDescent="0.35">
      <c r="B240" s="30"/>
      <c r="C240" s="38"/>
      <c r="D240" s="38"/>
      <c r="E240" s="30"/>
      <c r="F240" s="46"/>
      <c r="G240" s="46"/>
      <c r="H240" s="46"/>
      <c r="I240" s="46"/>
      <c r="J240" s="46"/>
      <c r="K240" s="46"/>
      <c r="L240" s="41" t="str">
        <f t="shared" ca="1" si="13"/>
        <v/>
      </c>
      <c r="M240" s="47" t="str">
        <f t="shared" ca="1" si="14"/>
        <v/>
      </c>
      <c r="R240" s="48" t="str">
        <f t="shared" si="15"/>
        <v/>
      </c>
      <c r="S240" s="48" t="str">
        <f t="shared" si="16"/>
        <v/>
      </c>
    </row>
    <row r="241" spans="2:19" x14ac:dyDescent="0.35">
      <c r="B241" s="30"/>
      <c r="C241" s="38"/>
      <c r="D241" s="38"/>
      <c r="E241" s="30"/>
      <c r="F241" s="46"/>
      <c r="G241" s="46"/>
      <c r="H241" s="46"/>
      <c r="I241" s="46"/>
      <c r="J241" s="46"/>
      <c r="K241" s="46"/>
      <c r="L241" s="41" t="str">
        <f t="shared" ca="1" si="13"/>
        <v/>
      </c>
      <c r="M241" s="47" t="str">
        <f t="shared" ca="1" si="14"/>
        <v/>
      </c>
      <c r="R241" s="48" t="str">
        <f t="shared" si="15"/>
        <v/>
      </c>
      <c r="S241" s="48" t="str">
        <f t="shared" si="16"/>
        <v/>
      </c>
    </row>
    <row r="242" spans="2:19" x14ac:dyDescent="0.35">
      <c r="B242" s="30"/>
      <c r="C242" s="38"/>
      <c r="D242" s="38"/>
      <c r="E242" s="30"/>
      <c r="F242" s="46"/>
      <c r="G242" s="46"/>
      <c r="H242" s="46"/>
      <c r="I242" s="46"/>
      <c r="J242" s="46"/>
      <c r="K242" s="46"/>
      <c r="L242" s="41" t="str">
        <f t="shared" ca="1" si="13"/>
        <v/>
      </c>
      <c r="M242" s="47" t="str">
        <f t="shared" ca="1" si="14"/>
        <v/>
      </c>
      <c r="R242" s="48" t="str">
        <f t="shared" si="15"/>
        <v/>
      </c>
      <c r="S242" s="48" t="str">
        <f t="shared" si="16"/>
        <v/>
      </c>
    </row>
    <row r="243" spans="2:19" x14ac:dyDescent="0.35">
      <c r="B243" s="30"/>
      <c r="C243" s="38"/>
      <c r="D243" s="38"/>
      <c r="E243" s="30"/>
      <c r="F243" s="46"/>
      <c r="G243" s="46"/>
      <c r="H243" s="46"/>
      <c r="I243" s="46"/>
      <c r="J243" s="46"/>
      <c r="K243" s="46"/>
      <c r="L243" s="41" t="str">
        <f t="shared" ca="1" si="13"/>
        <v/>
      </c>
      <c r="M243" s="47" t="str">
        <f t="shared" ca="1" si="14"/>
        <v/>
      </c>
      <c r="R243" s="48" t="str">
        <f t="shared" si="15"/>
        <v/>
      </c>
      <c r="S243" s="48" t="str">
        <f t="shared" si="16"/>
        <v/>
      </c>
    </row>
    <row r="244" spans="2:19" x14ac:dyDescent="0.35">
      <c r="B244" s="30"/>
      <c r="C244" s="38"/>
      <c r="D244" s="38"/>
      <c r="E244" s="30"/>
      <c r="F244" s="46"/>
      <c r="G244" s="46"/>
      <c r="H244" s="46"/>
      <c r="I244" s="46"/>
      <c r="J244" s="46"/>
      <c r="K244" s="46"/>
      <c r="L244" s="41" t="str">
        <f t="shared" ca="1" si="13"/>
        <v/>
      </c>
      <c r="M244" s="47" t="str">
        <f t="shared" ca="1" si="14"/>
        <v/>
      </c>
      <c r="R244" s="48" t="str">
        <f t="shared" si="15"/>
        <v/>
      </c>
      <c r="S244" s="48" t="str">
        <f t="shared" si="16"/>
        <v/>
      </c>
    </row>
    <row r="245" spans="2:19" x14ac:dyDescent="0.35">
      <c r="B245" s="30"/>
      <c r="C245" s="38"/>
      <c r="D245" s="38"/>
      <c r="E245" s="30"/>
      <c r="F245" s="46"/>
      <c r="G245" s="46"/>
      <c r="H245" s="46"/>
      <c r="I245" s="46"/>
      <c r="J245" s="46"/>
      <c r="K245" s="46"/>
      <c r="L245" s="41" t="str">
        <f t="shared" ca="1" si="13"/>
        <v/>
      </c>
      <c r="M245" s="47" t="str">
        <f t="shared" ca="1" si="14"/>
        <v/>
      </c>
      <c r="R245" s="48" t="str">
        <f t="shared" si="15"/>
        <v/>
      </c>
      <c r="S245" s="48" t="str">
        <f t="shared" si="16"/>
        <v/>
      </c>
    </row>
    <row r="246" spans="2:19" x14ac:dyDescent="0.35">
      <c r="B246" s="30"/>
      <c r="C246" s="38"/>
      <c r="D246" s="38"/>
      <c r="E246" s="30"/>
      <c r="F246" s="46"/>
      <c r="G246" s="46"/>
      <c r="H246" s="46"/>
      <c r="I246" s="46"/>
      <c r="J246" s="46"/>
      <c r="K246" s="46"/>
      <c r="L246" s="41" t="str">
        <f t="shared" ca="1" si="13"/>
        <v/>
      </c>
      <c r="M246" s="47" t="str">
        <f t="shared" ca="1" si="14"/>
        <v/>
      </c>
      <c r="R246" s="48" t="str">
        <f t="shared" si="15"/>
        <v/>
      </c>
      <c r="S246" s="48" t="str">
        <f t="shared" si="16"/>
        <v/>
      </c>
    </row>
    <row r="247" spans="2:19" x14ac:dyDescent="0.35">
      <c r="B247" s="30"/>
      <c r="C247" s="38"/>
      <c r="D247" s="38"/>
      <c r="E247" s="30"/>
      <c r="F247" s="46"/>
      <c r="G247" s="46"/>
      <c r="H247" s="46"/>
      <c r="I247" s="46"/>
      <c r="J247" s="46"/>
      <c r="K247" s="46"/>
      <c r="L247" s="41" t="str">
        <f t="shared" ca="1" si="13"/>
        <v/>
      </c>
      <c r="M247" s="47" t="str">
        <f t="shared" ca="1" si="14"/>
        <v/>
      </c>
      <c r="R247" s="48" t="str">
        <f t="shared" si="15"/>
        <v/>
      </c>
      <c r="S247" s="48" t="str">
        <f t="shared" si="16"/>
        <v/>
      </c>
    </row>
    <row r="248" spans="2:19" x14ac:dyDescent="0.35">
      <c r="B248" s="30"/>
      <c r="C248" s="38"/>
      <c r="D248" s="38"/>
      <c r="E248" s="30"/>
      <c r="F248" s="46"/>
      <c r="G248" s="46"/>
      <c r="H248" s="46"/>
      <c r="I248" s="46"/>
      <c r="J248" s="46"/>
      <c r="K248" s="46"/>
      <c r="L248" s="41" t="str">
        <f t="shared" ca="1" si="13"/>
        <v/>
      </c>
      <c r="M248" s="47" t="str">
        <f t="shared" ca="1" si="14"/>
        <v/>
      </c>
      <c r="R248" s="48" t="str">
        <f t="shared" si="15"/>
        <v/>
      </c>
      <c r="S248" s="48" t="str">
        <f t="shared" si="16"/>
        <v/>
      </c>
    </row>
    <row r="249" spans="2:19" x14ac:dyDescent="0.35">
      <c r="B249" s="30"/>
      <c r="C249" s="38"/>
      <c r="D249" s="38"/>
      <c r="E249" s="30"/>
      <c r="F249" s="46"/>
      <c r="G249" s="46"/>
      <c r="H249" s="46"/>
      <c r="I249" s="46"/>
      <c r="J249" s="46"/>
      <c r="K249" s="46"/>
      <c r="L249" s="41" t="str">
        <f t="shared" ca="1" si="13"/>
        <v/>
      </c>
      <c r="M249" s="47" t="str">
        <f t="shared" ca="1" si="14"/>
        <v/>
      </c>
      <c r="R249" s="48" t="str">
        <f t="shared" si="15"/>
        <v/>
      </c>
      <c r="S249" s="48" t="str">
        <f t="shared" si="16"/>
        <v/>
      </c>
    </row>
    <row r="250" spans="2:19" x14ac:dyDescent="0.35">
      <c r="B250" s="30"/>
      <c r="C250" s="38"/>
      <c r="D250" s="38"/>
      <c r="E250" s="30"/>
      <c r="F250" s="46"/>
      <c r="G250" s="46"/>
      <c r="H250" s="46"/>
      <c r="I250" s="46"/>
      <c r="J250" s="46"/>
      <c r="K250" s="46"/>
      <c r="L250" s="41" t="str">
        <f t="shared" ca="1" si="13"/>
        <v/>
      </c>
      <c r="M250" s="47" t="str">
        <f t="shared" ca="1" si="14"/>
        <v/>
      </c>
      <c r="R250" s="48" t="str">
        <f t="shared" si="15"/>
        <v/>
      </c>
      <c r="S250" s="48" t="str">
        <f t="shared" si="16"/>
        <v/>
      </c>
    </row>
    <row r="251" spans="2:19" x14ac:dyDescent="0.35">
      <c r="B251" s="30"/>
      <c r="C251" s="38"/>
      <c r="D251" s="38"/>
      <c r="E251" s="30"/>
      <c r="F251" s="46"/>
      <c r="G251" s="46"/>
      <c r="H251" s="46"/>
      <c r="I251" s="46"/>
      <c r="J251" s="46"/>
      <c r="K251" s="46"/>
      <c r="L251" s="41" t="str">
        <f t="shared" ca="1" si="13"/>
        <v/>
      </c>
      <c r="M251" s="47" t="str">
        <f t="shared" ca="1" si="14"/>
        <v/>
      </c>
      <c r="R251" s="48" t="str">
        <f t="shared" si="15"/>
        <v/>
      </c>
      <c r="S251" s="48" t="str">
        <f t="shared" si="16"/>
        <v/>
      </c>
    </row>
    <row r="252" spans="2:19" x14ac:dyDescent="0.35">
      <c r="B252" s="30"/>
      <c r="C252" s="38"/>
      <c r="D252" s="38"/>
      <c r="E252" s="30"/>
      <c r="F252" s="46"/>
      <c r="G252" s="46"/>
      <c r="H252" s="46"/>
      <c r="I252" s="46"/>
      <c r="J252" s="46"/>
      <c r="K252" s="46"/>
      <c r="L252" s="41" t="str">
        <f t="shared" ca="1" si="13"/>
        <v/>
      </c>
      <c r="M252" s="47" t="str">
        <f t="shared" ca="1" si="14"/>
        <v/>
      </c>
      <c r="R252" s="48" t="str">
        <f t="shared" si="15"/>
        <v/>
      </c>
      <c r="S252" s="48" t="str">
        <f t="shared" si="16"/>
        <v/>
      </c>
    </row>
    <row r="253" spans="2:19" x14ac:dyDescent="0.35">
      <c r="B253" s="30"/>
      <c r="C253" s="38"/>
      <c r="D253" s="38"/>
      <c r="E253" s="30"/>
      <c r="F253" s="46"/>
      <c r="G253" s="46"/>
      <c r="H253" s="46"/>
      <c r="I253" s="46"/>
      <c r="J253" s="46"/>
      <c r="K253" s="46"/>
      <c r="L253" s="41" t="str">
        <f t="shared" ca="1" si="13"/>
        <v/>
      </c>
      <c r="M253" s="47" t="str">
        <f t="shared" ca="1" si="14"/>
        <v/>
      </c>
      <c r="R253" s="48" t="str">
        <f t="shared" si="15"/>
        <v/>
      </c>
      <c r="S253" s="48" t="str">
        <f t="shared" si="16"/>
        <v/>
      </c>
    </row>
    <row r="254" spans="2:19" x14ac:dyDescent="0.35">
      <c r="B254" s="30"/>
      <c r="C254" s="38"/>
      <c r="D254" s="38"/>
      <c r="E254" s="30" t="s">
        <v>42</v>
      </c>
      <c r="F254" s="46"/>
      <c r="G254" s="46"/>
      <c r="H254" s="46"/>
      <c r="I254" s="46"/>
      <c r="J254" s="46"/>
      <c r="K254" s="46"/>
      <c r="L254" s="41" t="str">
        <f t="shared" ca="1" si="13"/>
        <v/>
      </c>
      <c r="M254" s="47" t="str">
        <f t="shared" ca="1" si="14"/>
        <v/>
      </c>
      <c r="R254" s="48" t="str">
        <f t="shared" si="15"/>
        <v/>
      </c>
      <c r="S254" s="48" t="str">
        <f t="shared" si="16"/>
        <v/>
      </c>
    </row>
    <row r="255" spans="2:19" x14ac:dyDescent="0.35">
      <c r="B255" s="30"/>
      <c r="C255" s="38"/>
      <c r="D255" s="38"/>
      <c r="E255" s="30" t="s">
        <v>42</v>
      </c>
      <c r="F255" s="46"/>
      <c r="G255" s="46"/>
      <c r="H255" s="46"/>
      <c r="I255" s="46"/>
      <c r="J255" s="46"/>
      <c r="K255" s="46"/>
      <c r="L255" s="41" t="str">
        <f t="shared" ca="1" si="13"/>
        <v/>
      </c>
      <c r="M255" s="47" t="str">
        <f t="shared" ca="1" si="14"/>
        <v/>
      </c>
      <c r="R255" s="48" t="str">
        <f t="shared" si="15"/>
        <v/>
      </c>
      <c r="S255" s="48" t="str">
        <f t="shared" si="16"/>
        <v/>
      </c>
    </row>
    <row r="256" spans="2:19" x14ac:dyDescent="0.35">
      <c r="B256" s="30"/>
      <c r="C256" s="38"/>
      <c r="D256" s="38"/>
      <c r="E256" s="30" t="s">
        <v>42</v>
      </c>
      <c r="F256" s="46"/>
      <c r="G256" s="46"/>
      <c r="H256" s="46"/>
      <c r="I256" s="46"/>
      <c r="J256" s="46"/>
      <c r="K256" s="46"/>
      <c r="L256" s="41" t="str">
        <f t="shared" ca="1" si="13"/>
        <v/>
      </c>
      <c r="M256" s="47" t="str">
        <f t="shared" ca="1" si="14"/>
        <v/>
      </c>
      <c r="R256" s="48" t="str">
        <f t="shared" si="15"/>
        <v/>
      </c>
      <c r="S256" s="48" t="str">
        <f t="shared" si="16"/>
        <v/>
      </c>
    </row>
    <row r="257" spans="2:19" x14ac:dyDescent="0.35">
      <c r="B257" s="30"/>
      <c r="C257" s="38"/>
      <c r="D257" s="38"/>
      <c r="E257" s="30" t="s">
        <v>42</v>
      </c>
      <c r="F257" s="46"/>
      <c r="G257" s="46"/>
      <c r="H257" s="46"/>
      <c r="I257" s="46"/>
      <c r="J257" s="46"/>
      <c r="K257" s="46"/>
      <c r="L257" s="41" t="str">
        <f t="shared" ca="1" si="13"/>
        <v/>
      </c>
      <c r="M257" s="47" t="str">
        <f t="shared" ca="1" si="14"/>
        <v/>
      </c>
      <c r="R257" s="48" t="str">
        <f t="shared" si="15"/>
        <v/>
      </c>
      <c r="S257" s="48" t="str">
        <f t="shared" si="16"/>
        <v/>
      </c>
    </row>
    <row r="258" spans="2:19" x14ac:dyDescent="0.35">
      <c r="B258" s="30"/>
      <c r="C258" s="38"/>
      <c r="D258" s="38"/>
      <c r="E258" s="30" t="s">
        <v>42</v>
      </c>
      <c r="F258" s="46"/>
      <c r="G258" s="46"/>
      <c r="H258" s="46"/>
      <c r="I258" s="46"/>
      <c r="J258" s="46"/>
      <c r="K258" s="46"/>
      <c r="L258" s="41" t="str">
        <f t="shared" ca="1" si="13"/>
        <v/>
      </c>
      <c r="M258" s="47" t="str">
        <f t="shared" ca="1" si="14"/>
        <v/>
      </c>
      <c r="R258" s="48" t="str">
        <f t="shared" si="15"/>
        <v/>
      </c>
      <c r="S258" s="48" t="str">
        <f t="shared" si="16"/>
        <v/>
      </c>
    </row>
    <row r="259" spans="2:19" x14ac:dyDescent="0.35">
      <c r="B259" s="30"/>
      <c r="C259" s="30"/>
      <c r="D259" s="30"/>
      <c r="E259" s="30" t="s">
        <v>42</v>
      </c>
      <c r="F259" s="46"/>
      <c r="G259" s="46"/>
      <c r="H259" s="46"/>
      <c r="I259" s="46"/>
      <c r="J259" s="46"/>
      <c r="K259" s="46"/>
      <c r="L259" s="41" t="str">
        <f t="shared" ca="1" si="13"/>
        <v/>
      </c>
      <c r="M259" s="47" t="str">
        <f t="shared" ca="1" si="14"/>
        <v/>
      </c>
      <c r="R259" s="48" t="str">
        <f t="shared" si="15"/>
        <v/>
      </c>
      <c r="S259" s="48" t="str">
        <f t="shared" si="16"/>
        <v/>
      </c>
    </row>
    <row r="260" spans="2:19" x14ac:dyDescent="0.35">
      <c r="B260" s="30"/>
      <c r="C260" s="30"/>
      <c r="D260" s="30"/>
      <c r="E260" s="30" t="s">
        <v>42</v>
      </c>
      <c r="F260" s="46"/>
      <c r="G260" s="46"/>
      <c r="H260" s="46"/>
      <c r="I260" s="46"/>
      <c r="J260" s="46"/>
      <c r="K260" s="46"/>
      <c r="L260" s="41" t="str">
        <f t="shared" ca="1" si="13"/>
        <v/>
      </c>
      <c r="M260" s="47" t="str">
        <f t="shared" ca="1" si="14"/>
        <v/>
      </c>
      <c r="R260" s="48" t="str">
        <f t="shared" si="15"/>
        <v/>
      </c>
      <c r="S260" s="48" t="str">
        <f t="shared" si="16"/>
        <v/>
      </c>
    </row>
    <row r="261" spans="2:19" x14ac:dyDescent="0.35">
      <c r="B261" s="30"/>
      <c r="C261" s="30"/>
      <c r="D261" s="30"/>
      <c r="E261" s="30" t="s">
        <v>42</v>
      </c>
      <c r="F261" s="46"/>
      <c r="G261" s="46"/>
      <c r="H261" s="46"/>
      <c r="I261" s="46"/>
      <c r="J261" s="46"/>
      <c r="K261" s="46"/>
      <c r="L261" s="41" t="str">
        <f t="shared" ca="1" si="13"/>
        <v/>
      </c>
      <c r="M261" s="47" t="str">
        <f t="shared" ca="1" si="14"/>
        <v/>
      </c>
      <c r="R261" s="48" t="str">
        <f t="shared" si="15"/>
        <v/>
      </c>
      <c r="S261" s="48" t="str">
        <f t="shared" si="16"/>
        <v/>
      </c>
    </row>
    <row r="262" spans="2:19" x14ac:dyDescent="0.35">
      <c r="B262" s="30"/>
      <c r="C262" s="30"/>
      <c r="D262" s="30"/>
      <c r="E262" s="30" t="s">
        <v>42</v>
      </c>
      <c r="F262" s="46"/>
      <c r="G262" s="46"/>
      <c r="H262" s="46"/>
      <c r="I262" s="46"/>
      <c r="J262" s="46"/>
      <c r="K262" s="46"/>
      <c r="L262" s="41" t="str">
        <f t="shared" ref="L262:L325" ca="1" si="17">IF(AND(C262&lt;&gt;"",C262&lt;&gt;R262),TODAY(),IF(C262="","",L262))</f>
        <v/>
      </c>
      <c r="M262" s="47" t="str">
        <f t="shared" ref="M262:M325" ca="1" si="18">IF(AND(C262&lt;&gt;"",C262&lt;&gt;S262),NOW(),IF(C262="","",M262))</f>
        <v/>
      </c>
      <c r="R262" s="48" t="str">
        <f t="shared" ref="R262:R325" si="19">IF(C262="","",IF(OR(L262="",AND(ISNUMBER(R262),C262=R262)),R262,C262))</f>
        <v/>
      </c>
      <c r="S262" s="48" t="str">
        <f t="shared" ref="S262:S325" si="20">IF(C262="","",IF(OR(M262="",AND(ISNUMBER(S262),C262=S262)),S262,C262))</f>
        <v/>
      </c>
    </row>
    <row r="263" spans="2:19" x14ac:dyDescent="0.35">
      <c r="B263" s="30"/>
      <c r="C263" s="30"/>
      <c r="D263" s="30"/>
      <c r="E263" s="30" t="s">
        <v>42</v>
      </c>
      <c r="F263" s="46"/>
      <c r="G263" s="46"/>
      <c r="H263" s="46"/>
      <c r="I263" s="46"/>
      <c r="J263" s="46"/>
      <c r="K263" s="46"/>
      <c r="L263" s="41" t="str">
        <f t="shared" ca="1" si="17"/>
        <v/>
      </c>
      <c r="M263" s="47" t="str">
        <f t="shared" ca="1" si="18"/>
        <v/>
      </c>
      <c r="R263" s="48" t="str">
        <f t="shared" si="19"/>
        <v/>
      </c>
      <c r="S263" s="48" t="str">
        <f t="shared" si="20"/>
        <v/>
      </c>
    </row>
    <row r="264" spans="2:19" x14ac:dyDescent="0.35">
      <c r="B264" s="30"/>
      <c r="C264" s="30"/>
      <c r="D264" s="30"/>
      <c r="E264" s="30" t="s">
        <v>42</v>
      </c>
      <c r="F264" s="46"/>
      <c r="G264" s="46"/>
      <c r="H264" s="46"/>
      <c r="I264" s="46"/>
      <c r="J264" s="46"/>
      <c r="K264" s="46"/>
      <c r="L264" s="41" t="str">
        <f t="shared" ca="1" si="17"/>
        <v/>
      </c>
      <c r="M264" s="47" t="str">
        <f t="shared" ca="1" si="18"/>
        <v/>
      </c>
      <c r="R264" s="48" t="str">
        <f t="shared" si="19"/>
        <v/>
      </c>
      <c r="S264" s="48" t="str">
        <f t="shared" si="20"/>
        <v/>
      </c>
    </row>
    <row r="265" spans="2:19" x14ac:dyDescent="0.35">
      <c r="B265" s="30"/>
      <c r="C265" s="30"/>
      <c r="D265" s="30"/>
      <c r="E265" s="30" t="s">
        <v>42</v>
      </c>
      <c r="F265" s="46"/>
      <c r="G265" s="46"/>
      <c r="H265" s="46"/>
      <c r="I265" s="46"/>
      <c r="J265" s="46"/>
      <c r="K265" s="46"/>
      <c r="L265" s="41" t="str">
        <f t="shared" ca="1" si="17"/>
        <v/>
      </c>
      <c r="M265" s="47" t="str">
        <f t="shared" ca="1" si="18"/>
        <v/>
      </c>
      <c r="R265" s="48" t="str">
        <f t="shared" si="19"/>
        <v/>
      </c>
      <c r="S265" s="48" t="str">
        <f t="shared" si="20"/>
        <v/>
      </c>
    </row>
    <row r="266" spans="2:19" x14ac:dyDescent="0.35">
      <c r="B266" s="30"/>
      <c r="C266" s="30"/>
      <c r="D266" s="30"/>
      <c r="E266" s="30" t="s">
        <v>42</v>
      </c>
      <c r="F266" s="46"/>
      <c r="G266" s="46"/>
      <c r="H266" s="46"/>
      <c r="I266" s="46"/>
      <c r="J266" s="46"/>
      <c r="K266" s="46"/>
      <c r="L266" s="41" t="str">
        <f t="shared" ca="1" si="17"/>
        <v/>
      </c>
      <c r="M266" s="47" t="str">
        <f t="shared" ca="1" si="18"/>
        <v/>
      </c>
      <c r="R266" s="48" t="str">
        <f t="shared" si="19"/>
        <v/>
      </c>
      <c r="S266" s="48" t="str">
        <f t="shared" si="20"/>
        <v/>
      </c>
    </row>
    <row r="267" spans="2:19" x14ac:dyDescent="0.35">
      <c r="B267" s="30"/>
      <c r="C267" s="30"/>
      <c r="D267" s="30"/>
      <c r="E267" s="30" t="s">
        <v>42</v>
      </c>
      <c r="F267" s="46"/>
      <c r="G267" s="46"/>
      <c r="H267" s="46"/>
      <c r="I267" s="46"/>
      <c r="J267" s="46"/>
      <c r="K267" s="46"/>
      <c r="L267" s="41" t="str">
        <f t="shared" ca="1" si="17"/>
        <v/>
      </c>
      <c r="M267" s="47" t="str">
        <f t="shared" ca="1" si="18"/>
        <v/>
      </c>
      <c r="R267" s="48" t="str">
        <f t="shared" si="19"/>
        <v/>
      </c>
      <c r="S267" s="48" t="str">
        <f t="shared" si="20"/>
        <v/>
      </c>
    </row>
    <row r="268" spans="2:19" x14ac:dyDescent="0.35">
      <c r="B268" s="30"/>
      <c r="C268" s="30"/>
      <c r="D268" s="30"/>
      <c r="E268" s="30" t="s">
        <v>42</v>
      </c>
      <c r="F268" s="46"/>
      <c r="G268" s="46"/>
      <c r="H268" s="46"/>
      <c r="I268" s="46"/>
      <c r="J268" s="46"/>
      <c r="K268" s="46"/>
      <c r="L268" s="41" t="str">
        <f t="shared" ca="1" si="17"/>
        <v/>
      </c>
      <c r="M268" s="47" t="str">
        <f t="shared" ca="1" si="18"/>
        <v/>
      </c>
      <c r="R268" s="48" t="str">
        <f t="shared" si="19"/>
        <v/>
      </c>
      <c r="S268" s="48" t="str">
        <f t="shared" si="20"/>
        <v/>
      </c>
    </row>
    <row r="269" spans="2:19" x14ac:dyDescent="0.35">
      <c r="B269" s="30"/>
      <c r="C269" s="30"/>
      <c r="D269" s="30"/>
      <c r="E269" s="30" t="s">
        <v>42</v>
      </c>
      <c r="F269" s="46"/>
      <c r="G269" s="46"/>
      <c r="H269" s="46"/>
      <c r="I269" s="46"/>
      <c r="J269" s="46"/>
      <c r="K269" s="46"/>
      <c r="L269" s="41" t="str">
        <f t="shared" ca="1" si="17"/>
        <v/>
      </c>
      <c r="M269" s="47" t="str">
        <f t="shared" ca="1" si="18"/>
        <v/>
      </c>
      <c r="R269" s="48" t="str">
        <f t="shared" si="19"/>
        <v/>
      </c>
      <c r="S269" s="48" t="str">
        <f t="shared" si="20"/>
        <v/>
      </c>
    </row>
    <row r="270" spans="2:19" x14ac:dyDescent="0.35">
      <c r="B270" s="30"/>
      <c r="C270" s="30"/>
      <c r="D270" s="30"/>
      <c r="E270" s="30" t="s">
        <v>42</v>
      </c>
      <c r="F270" s="46"/>
      <c r="G270" s="46"/>
      <c r="H270" s="46"/>
      <c r="I270" s="46"/>
      <c r="J270" s="46"/>
      <c r="K270" s="46"/>
      <c r="L270" s="41" t="str">
        <f t="shared" ca="1" si="17"/>
        <v/>
      </c>
      <c r="M270" s="47" t="str">
        <f t="shared" ca="1" si="18"/>
        <v/>
      </c>
      <c r="R270" s="48" t="str">
        <f t="shared" si="19"/>
        <v/>
      </c>
      <c r="S270" s="48" t="str">
        <f t="shared" si="20"/>
        <v/>
      </c>
    </row>
    <row r="271" spans="2:19" x14ac:dyDescent="0.35">
      <c r="B271" s="30"/>
      <c r="C271" s="30"/>
      <c r="D271" s="30"/>
      <c r="E271" s="30" t="s">
        <v>42</v>
      </c>
      <c r="F271" s="46"/>
      <c r="G271" s="46"/>
      <c r="H271" s="46"/>
      <c r="I271" s="46"/>
      <c r="J271" s="46"/>
      <c r="K271" s="46"/>
      <c r="L271" s="41" t="str">
        <f t="shared" ca="1" si="17"/>
        <v/>
      </c>
      <c r="M271" s="47" t="str">
        <f t="shared" ca="1" si="18"/>
        <v/>
      </c>
      <c r="R271" s="48" t="str">
        <f t="shared" si="19"/>
        <v/>
      </c>
      <c r="S271" s="48" t="str">
        <f t="shared" si="20"/>
        <v/>
      </c>
    </row>
    <row r="272" spans="2:19" x14ac:dyDescent="0.35">
      <c r="B272" s="30"/>
      <c r="C272" s="30"/>
      <c r="D272" s="30"/>
      <c r="E272" s="30" t="s">
        <v>42</v>
      </c>
      <c r="F272" s="46"/>
      <c r="G272" s="46"/>
      <c r="H272" s="46"/>
      <c r="I272" s="46"/>
      <c r="J272" s="46"/>
      <c r="K272" s="46"/>
      <c r="L272" s="41" t="str">
        <f t="shared" ca="1" si="17"/>
        <v/>
      </c>
      <c r="M272" s="47" t="str">
        <f t="shared" ca="1" si="18"/>
        <v/>
      </c>
      <c r="R272" s="48" t="str">
        <f t="shared" si="19"/>
        <v/>
      </c>
      <c r="S272" s="48" t="str">
        <f t="shared" si="20"/>
        <v/>
      </c>
    </row>
    <row r="273" spans="2:19" x14ac:dyDescent="0.35">
      <c r="B273" s="30"/>
      <c r="C273" s="30"/>
      <c r="D273" s="30"/>
      <c r="E273" s="30" t="s">
        <v>42</v>
      </c>
      <c r="F273" s="46"/>
      <c r="G273" s="46"/>
      <c r="H273" s="46"/>
      <c r="I273" s="46"/>
      <c r="J273" s="46"/>
      <c r="K273" s="46"/>
      <c r="L273" s="41" t="str">
        <f t="shared" ca="1" si="17"/>
        <v/>
      </c>
      <c r="M273" s="47" t="str">
        <f t="shared" ca="1" si="18"/>
        <v/>
      </c>
      <c r="R273" s="48" t="str">
        <f t="shared" si="19"/>
        <v/>
      </c>
      <c r="S273" s="48" t="str">
        <f t="shared" si="20"/>
        <v/>
      </c>
    </row>
    <row r="274" spans="2:19" x14ac:dyDescent="0.35">
      <c r="B274" s="30"/>
      <c r="C274" s="30"/>
      <c r="D274" s="30"/>
      <c r="E274" s="30" t="s">
        <v>42</v>
      </c>
      <c r="F274" s="46"/>
      <c r="G274" s="46"/>
      <c r="H274" s="46"/>
      <c r="I274" s="46"/>
      <c r="J274" s="46"/>
      <c r="K274" s="46"/>
      <c r="L274" s="41" t="str">
        <f t="shared" ca="1" si="17"/>
        <v/>
      </c>
      <c r="M274" s="47" t="str">
        <f t="shared" ca="1" si="18"/>
        <v/>
      </c>
      <c r="R274" s="48" t="str">
        <f t="shared" si="19"/>
        <v/>
      </c>
      <c r="S274" s="48" t="str">
        <f t="shared" si="20"/>
        <v/>
      </c>
    </row>
    <row r="275" spans="2:19" x14ac:dyDescent="0.35">
      <c r="B275" s="30"/>
      <c r="C275" s="30"/>
      <c r="D275" s="30"/>
      <c r="E275" s="30" t="s">
        <v>42</v>
      </c>
      <c r="F275" s="46"/>
      <c r="G275" s="46"/>
      <c r="H275" s="46"/>
      <c r="I275" s="46"/>
      <c r="J275" s="46"/>
      <c r="K275" s="46"/>
      <c r="L275" s="41" t="str">
        <f t="shared" ca="1" si="17"/>
        <v/>
      </c>
      <c r="M275" s="47" t="str">
        <f t="shared" ca="1" si="18"/>
        <v/>
      </c>
      <c r="R275" s="48" t="str">
        <f t="shared" si="19"/>
        <v/>
      </c>
      <c r="S275" s="48" t="str">
        <f t="shared" si="20"/>
        <v/>
      </c>
    </row>
    <row r="276" spans="2:19" x14ac:dyDescent="0.35">
      <c r="B276" s="30"/>
      <c r="C276" s="30"/>
      <c r="D276" s="30"/>
      <c r="E276" s="30" t="s">
        <v>42</v>
      </c>
      <c r="F276" s="46"/>
      <c r="G276" s="46"/>
      <c r="H276" s="46"/>
      <c r="I276" s="46"/>
      <c r="J276" s="46"/>
      <c r="K276" s="46"/>
      <c r="L276" s="41" t="str">
        <f t="shared" ca="1" si="17"/>
        <v/>
      </c>
      <c r="M276" s="47" t="str">
        <f t="shared" ca="1" si="18"/>
        <v/>
      </c>
      <c r="R276" s="48" t="str">
        <f t="shared" si="19"/>
        <v/>
      </c>
      <c r="S276" s="48" t="str">
        <f t="shared" si="20"/>
        <v/>
      </c>
    </row>
    <row r="277" spans="2:19" x14ac:dyDescent="0.35">
      <c r="B277" s="30"/>
      <c r="C277" s="30"/>
      <c r="D277" s="30"/>
      <c r="E277" s="30" t="s">
        <v>42</v>
      </c>
      <c r="F277" s="46"/>
      <c r="G277" s="46"/>
      <c r="H277" s="46"/>
      <c r="I277" s="46"/>
      <c r="J277" s="46"/>
      <c r="K277" s="46"/>
      <c r="L277" s="41" t="str">
        <f t="shared" ca="1" si="17"/>
        <v/>
      </c>
      <c r="M277" s="47" t="str">
        <f t="shared" ca="1" si="18"/>
        <v/>
      </c>
      <c r="R277" s="48" t="str">
        <f t="shared" si="19"/>
        <v/>
      </c>
      <c r="S277" s="48" t="str">
        <f t="shared" si="20"/>
        <v/>
      </c>
    </row>
    <row r="278" spans="2:19" x14ac:dyDescent="0.35">
      <c r="B278" s="30"/>
      <c r="C278" s="30"/>
      <c r="D278" s="30"/>
      <c r="E278" s="30" t="s">
        <v>42</v>
      </c>
      <c r="F278" s="46"/>
      <c r="G278" s="46"/>
      <c r="H278" s="46"/>
      <c r="I278" s="46"/>
      <c r="J278" s="46"/>
      <c r="K278" s="46"/>
      <c r="L278" s="41" t="str">
        <f t="shared" ca="1" si="17"/>
        <v/>
      </c>
      <c r="M278" s="47" t="str">
        <f t="shared" ca="1" si="18"/>
        <v/>
      </c>
      <c r="R278" s="48" t="str">
        <f t="shared" si="19"/>
        <v/>
      </c>
      <c r="S278" s="48" t="str">
        <f t="shared" si="20"/>
        <v/>
      </c>
    </row>
    <row r="279" spans="2:19" x14ac:dyDescent="0.35">
      <c r="B279" s="30"/>
      <c r="C279" s="30"/>
      <c r="D279" s="30"/>
      <c r="E279" s="30" t="s">
        <v>42</v>
      </c>
      <c r="F279" s="46"/>
      <c r="G279" s="46"/>
      <c r="H279" s="46"/>
      <c r="I279" s="46"/>
      <c r="J279" s="46"/>
      <c r="K279" s="46"/>
      <c r="L279" s="41" t="str">
        <f t="shared" ca="1" si="17"/>
        <v/>
      </c>
      <c r="M279" s="47" t="str">
        <f t="shared" ca="1" si="18"/>
        <v/>
      </c>
      <c r="R279" s="48" t="str">
        <f t="shared" si="19"/>
        <v/>
      </c>
      <c r="S279" s="48" t="str">
        <f t="shared" si="20"/>
        <v/>
      </c>
    </row>
    <row r="280" spans="2:19" x14ac:dyDescent="0.35">
      <c r="B280" s="30"/>
      <c r="C280" s="30"/>
      <c r="D280" s="30"/>
      <c r="E280" s="30" t="s">
        <v>42</v>
      </c>
      <c r="F280" s="46"/>
      <c r="G280" s="46"/>
      <c r="H280" s="46"/>
      <c r="I280" s="46"/>
      <c r="J280" s="46"/>
      <c r="K280" s="46"/>
      <c r="L280" s="41" t="str">
        <f t="shared" ca="1" si="17"/>
        <v/>
      </c>
      <c r="M280" s="47" t="str">
        <f t="shared" ca="1" si="18"/>
        <v/>
      </c>
      <c r="R280" s="48" t="str">
        <f t="shared" si="19"/>
        <v/>
      </c>
      <c r="S280" s="48" t="str">
        <f t="shared" si="20"/>
        <v/>
      </c>
    </row>
    <row r="281" spans="2:19" x14ac:dyDescent="0.35">
      <c r="B281" s="30"/>
      <c r="C281" s="30"/>
      <c r="D281" s="30"/>
      <c r="E281" s="30" t="s">
        <v>42</v>
      </c>
      <c r="F281" s="46"/>
      <c r="G281" s="46"/>
      <c r="H281" s="46"/>
      <c r="I281" s="46"/>
      <c r="J281" s="46"/>
      <c r="K281" s="46"/>
      <c r="L281" s="41" t="str">
        <f t="shared" ca="1" si="17"/>
        <v/>
      </c>
      <c r="M281" s="47" t="str">
        <f t="shared" ca="1" si="18"/>
        <v/>
      </c>
      <c r="R281" s="48" t="str">
        <f t="shared" si="19"/>
        <v/>
      </c>
      <c r="S281" s="48" t="str">
        <f t="shared" si="20"/>
        <v/>
      </c>
    </row>
    <row r="282" spans="2:19" x14ac:dyDescent="0.35">
      <c r="B282" s="30"/>
      <c r="C282" s="30"/>
      <c r="D282" s="30"/>
      <c r="E282" s="30" t="s">
        <v>42</v>
      </c>
      <c r="F282" s="46"/>
      <c r="G282" s="46"/>
      <c r="H282" s="46"/>
      <c r="I282" s="46"/>
      <c r="J282" s="46"/>
      <c r="K282" s="46"/>
      <c r="L282" s="41" t="str">
        <f t="shared" ca="1" si="17"/>
        <v/>
      </c>
      <c r="M282" s="47" t="str">
        <f t="shared" ca="1" si="18"/>
        <v/>
      </c>
      <c r="R282" s="48" t="str">
        <f t="shared" si="19"/>
        <v/>
      </c>
      <c r="S282" s="48" t="str">
        <f t="shared" si="20"/>
        <v/>
      </c>
    </row>
    <row r="283" spans="2:19" x14ac:dyDescent="0.35">
      <c r="B283" s="30"/>
      <c r="C283" s="30"/>
      <c r="D283" s="30"/>
      <c r="E283" s="30" t="s">
        <v>42</v>
      </c>
      <c r="F283" s="46"/>
      <c r="G283" s="46"/>
      <c r="H283" s="46"/>
      <c r="I283" s="46"/>
      <c r="J283" s="46"/>
      <c r="K283" s="46"/>
      <c r="L283" s="41" t="str">
        <f t="shared" ca="1" si="17"/>
        <v/>
      </c>
      <c r="M283" s="47" t="str">
        <f t="shared" ca="1" si="18"/>
        <v/>
      </c>
      <c r="R283" s="48" t="str">
        <f t="shared" si="19"/>
        <v/>
      </c>
      <c r="S283" s="48" t="str">
        <f t="shared" si="20"/>
        <v/>
      </c>
    </row>
    <row r="284" spans="2:19" x14ac:dyDescent="0.35">
      <c r="B284" s="30"/>
      <c r="C284" s="30"/>
      <c r="D284" s="30"/>
      <c r="E284" s="30" t="s">
        <v>42</v>
      </c>
      <c r="F284" s="46"/>
      <c r="G284" s="46"/>
      <c r="H284" s="46"/>
      <c r="I284" s="46"/>
      <c r="J284" s="46"/>
      <c r="K284" s="46"/>
      <c r="L284" s="41" t="str">
        <f t="shared" ca="1" si="17"/>
        <v/>
      </c>
      <c r="M284" s="47" t="str">
        <f t="shared" ca="1" si="18"/>
        <v/>
      </c>
      <c r="R284" s="48" t="str">
        <f t="shared" si="19"/>
        <v/>
      </c>
      <c r="S284" s="48" t="str">
        <f t="shared" si="20"/>
        <v/>
      </c>
    </row>
    <row r="285" spans="2:19" x14ac:dyDescent="0.35">
      <c r="B285" s="30"/>
      <c r="C285" s="30"/>
      <c r="D285" s="30"/>
      <c r="E285" s="30" t="s">
        <v>42</v>
      </c>
      <c r="F285" s="46"/>
      <c r="G285" s="46"/>
      <c r="H285" s="46"/>
      <c r="I285" s="46"/>
      <c r="J285" s="46"/>
      <c r="K285" s="46"/>
      <c r="L285" s="41" t="str">
        <f t="shared" ca="1" si="17"/>
        <v/>
      </c>
      <c r="M285" s="47" t="str">
        <f t="shared" ca="1" si="18"/>
        <v/>
      </c>
      <c r="R285" s="48" t="str">
        <f t="shared" si="19"/>
        <v/>
      </c>
      <c r="S285" s="48" t="str">
        <f t="shared" si="20"/>
        <v/>
      </c>
    </row>
    <row r="286" spans="2:19" x14ac:dyDescent="0.35">
      <c r="B286" s="30"/>
      <c r="C286" s="30"/>
      <c r="D286" s="30"/>
      <c r="E286" s="30" t="s">
        <v>42</v>
      </c>
      <c r="F286" s="46"/>
      <c r="G286" s="46"/>
      <c r="H286" s="46"/>
      <c r="I286" s="46"/>
      <c r="J286" s="46"/>
      <c r="K286" s="46"/>
      <c r="L286" s="41" t="str">
        <f t="shared" ca="1" si="17"/>
        <v/>
      </c>
      <c r="M286" s="47" t="str">
        <f t="shared" ca="1" si="18"/>
        <v/>
      </c>
      <c r="R286" s="48" t="str">
        <f t="shared" si="19"/>
        <v/>
      </c>
      <c r="S286" s="48" t="str">
        <f t="shared" si="20"/>
        <v/>
      </c>
    </row>
    <row r="287" spans="2:19" x14ac:dyDescent="0.35">
      <c r="B287" s="30"/>
      <c r="C287" s="30"/>
      <c r="D287" s="30"/>
      <c r="E287" s="30" t="s">
        <v>42</v>
      </c>
      <c r="F287" s="46"/>
      <c r="G287" s="46"/>
      <c r="H287" s="46"/>
      <c r="I287" s="46"/>
      <c r="J287" s="46"/>
      <c r="K287" s="46"/>
      <c r="L287" s="41" t="str">
        <f t="shared" ca="1" si="17"/>
        <v/>
      </c>
      <c r="M287" s="47" t="str">
        <f t="shared" ca="1" si="18"/>
        <v/>
      </c>
      <c r="R287" s="48" t="str">
        <f t="shared" si="19"/>
        <v/>
      </c>
      <c r="S287" s="48" t="str">
        <f t="shared" si="20"/>
        <v/>
      </c>
    </row>
    <row r="288" spans="2:19" x14ac:dyDescent="0.35">
      <c r="B288" s="30"/>
      <c r="C288" s="30"/>
      <c r="D288" s="30"/>
      <c r="E288" s="30" t="s">
        <v>42</v>
      </c>
      <c r="F288" s="46"/>
      <c r="G288" s="46"/>
      <c r="H288" s="46"/>
      <c r="I288" s="46"/>
      <c r="J288" s="46"/>
      <c r="K288" s="46"/>
      <c r="L288" s="41" t="str">
        <f t="shared" ca="1" si="17"/>
        <v/>
      </c>
      <c r="M288" s="47" t="str">
        <f t="shared" ca="1" si="18"/>
        <v/>
      </c>
      <c r="R288" s="48" t="str">
        <f t="shared" si="19"/>
        <v/>
      </c>
      <c r="S288" s="48" t="str">
        <f t="shared" si="20"/>
        <v/>
      </c>
    </row>
    <row r="289" spans="2:19" x14ac:dyDescent="0.35">
      <c r="B289" s="30"/>
      <c r="C289" s="30"/>
      <c r="D289" s="30"/>
      <c r="E289" s="30" t="s">
        <v>42</v>
      </c>
      <c r="F289" s="46"/>
      <c r="G289" s="46"/>
      <c r="H289" s="46"/>
      <c r="I289" s="46"/>
      <c r="J289" s="46"/>
      <c r="K289" s="46"/>
      <c r="L289" s="41" t="str">
        <f t="shared" ca="1" si="17"/>
        <v/>
      </c>
      <c r="M289" s="47" t="str">
        <f t="shared" ca="1" si="18"/>
        <v/>
      </c>
      <c r="R289" s="48" t="str">
        <f t="shared" si="19"/>
        <v/>
      </c>
      <c r="S289" s="48" t="str">
        <f t="shared" si="20"/>
        <v/>
      </c>
    </row>
    <row r="290" spans="2:19" x14ac:dyDescent="0.35">
      <c r="B290" s="30"/>
      <c r="C290" s="30"/>
      <c r="D290" s="30"/>
      <c r="E290" s="30" t="s">
        <v>42</v>
      </c>
      <c r="F290" s="46"/>
      <c r="G290" s="46"/>
      <c r="H290" s="46"/>
      <c r="I290" s="46"/>
      <c r="J290" s="46"/>
      <c r="K290" s="46"/>
      <c r="L290" s="41" t="str">
        <f t="shared" ca="1" si="17"/>
        <v/>
      </c>
      <c r="M290" s="47" t="str">
        <f t="shared" ca="1" si="18"/>
        <v/>
      </c>
      <c r="R290" s="48" t="str">
        <f t="shared" si="19"/>
        <v/>
      </c>
      <c r="S290" s="48" t="str">
        <f t="shared" si="20"/>
        <v/>
      </c>
    </row>
    <row r="291" spans="2:19" x14ac:dyDescent="0.35">
      <c r="B291" s="30"/>
      <c r="C291" s="30"/>
      <c r="D291" s="30"/>
      <c r="E291" s="30" t="s">
        <v>42</v>
      </c>
      <c r="F291" s="46"/>
      <c r="G291" s="46"/>
      <c r="H291" s="46"/>
      <c r="I291" s="46"/>
      <c r="J291" s="46"/>
      <c r="K291" s="46"/>
      <c r="L291" s="41" t="str">
        <f t="shared" ca="1" si="17"/>
        <v/>
      </c>
      <c r="M291" s="47" t="str">
        <f t="shared" ca="1" si="18"/>
        <v/>
      </c>
      <c r="R291" s="48" t="str">
        <f t="shared" si="19"/>
        <v/>
      </c>
      <c r="S291" s="48" t="str">
        <f t="shared" si="20"/>
        <v/>
      </c>
    </row>
    <row r="292" spans="2:19" x14ac:dyDescent="0.35">
      <c r="B292" s="30"/>
      <c r="C292" s="30"/>
      <c r="D292" s="30"/>
      <c r="E292" s="30" t="s">
        <v>42</v>
      </c>
      <c r="F292" s="46"/>
      <c r="G292" s="46"/>
      <c r="H292" s="46"/>
      <c r="I292" s="46"/>
      <c r="J292" s="46"/>
      <c r="K292" s="46"/>
      <c r="L292" s="41" t="str">
        <f t="shared" ca="1" si="17"/>
        <v/>
      </c>
      <c r="M292" s="47" t="str">
        <f t="shared" ca="1" si="18"/>
        <v/>
      </c>
      <c r="R292" s="48" t="str">
        <f t="shared" si="19"/>
        <v/>
      </c>
      <c r="S292" s="48" t="str">
        <f t="shared" si="20"/>
        <v/>
      </c>
    </row>
    <row r="293" spans="2:19" x14ac:dyDescent="0.35">
      <c r="B293" s="30"/>
      <c r="C293" s="30"/>
      <c r="D293" s="30"/>
      <c r="E293" s="30" t="s">
        <v>42</v>
      </c>
      <c r="F293" s="46"/>
      <c r="G293" s="46"/>
      <c r="H293" s="46"/>
      <c r="I293" s="46"/>
      <c r="J293" s="46"/>
      <c r="K293" s="46"/>
      <c r="L293" s="41" t="str">
        <f t="shared" ca="1" si="17"/>
        <v/>
      </c>
      <c r="M293" s="47" t="str">
        <f t="shared" ca="1" si="18"/>
        <v/>
      </c>
      <c r="R293" s="48" t="str">
        <f t="shared" si="19"/>
        <v/>
      </c>
      <c r="S293" s="48" t="str">
        <f t="shared" si="20"/>
        <v/>
      </c>
    </row>
    <row r="294" spans="2:19" x14ac:dyDescent="0.35">
      <c r="E294" s="30" t="s">
        <v>42</v>
      </c>
      <c r="F294" s="46"/>
      <c r="G294" s="46"/>
      <c r="H294" s="46"/>
      <c r="I294" s="46"/>
      <c r="J294" s="46"/>
      <c r="K294" s="46"/>
      <c r="L294" s="41" t="str">
        <f t="shared" ca="1" si="17"/>
        <v/>
      </c>
      <c r="M294" s="47" t="str">
        <f t="shared" ca="1" si="18"/>
        <v/>
      </c>
      <c r="R294" s="48" t="str">
        <f t="shared" si="19"/>
        <v/>
      </c>
      <c r="S294" s="48" t="str">
        <f t="shared" si="20"/>
        <v/>
      </c>
    </row>
    <row r="295" spans="2:19" x14ac:dyDescent="0.35">
      <c r="E295" s="30" t="s">
        <v>42</v>
      </c>
      <c r="F295" s="46"/>
      <c r="G295" s="46"/>
      <c r="H295" s="46"/>
      <c r="I295" s="46"/>
      <c r="J295" s="46"/>
      <c r="K295" s="46"/>
      <c r="L295" s="41" t="str">
        <f t="shared" ca="1" si="17"/>
        <v/>
      </c>
      <c r="M295" s="47" t="str">
        <f t="shared" ca="1" si="18"/>
        <v/>
      </c>
      <c r="R295" s="48" t="str">
        <f t="shared" si="19"/>
        <v/>
      </c>
      <c r="S295" s="48" t="str">
        <f t="shared" si="20"/>
        <v/>
      </c>
    </row>
    <row r="296" spans="2:19" x14ac:dyDescent="0.35">
      <c r="E296" s="30" t="s">
        <v>42</v>
      </c>
      <c r="F296" s="46"/>
      <c r="G296" s="46"/>
      <c r="H296" s="46"/>
      <c r="I296" s="46"/>
      <c r="J296" s="46"/>
      <c r="K296" s="46"/>
      <c r="L296" s="41" t="str">
        <f t="shared" ca="1" si="17"/>
        <v/>
      </c>
      <c r="M296" s="47" t="str">
        <f t="shared" ca="1" si="18"/>
        <v/>
      </c>
      <c r="R296" s="48" t="str">
        <f t="shared" si="19"/>
        <v/>
      </c>
      <c r="S296" s="48" t="str">
        <f t="shared" si="20"/>
        <v/>
      </c>
    </row>
    <row r="297" spans="2:19" x14ac:dyDescent="0.35">
      <c r="E297" s="30" t="s">
        <v>42</v>
      </c>
      <c r="F297" s="46"/>
      <c r="G297" s="46"/>
      <c r="H297" s="46"/>
      <c r="I297" s="46"/>
      <c r="J297" s="46"/>
      <c r="K297" s="46"/>
      <c r="L297" s="41" t="str">
        <f t="shared" ca="1" si="17"/>
        <v/>
      </c>
      <c r="M297" s="47" t="str">
        <f t="shared" ca="1" si="18"/>
        <v/>
      </c>
      <c r="R297" s="48" t="str">
        <f t="shared" si="19"/>
        <v/>
      </c>
      <c r="S297" s="48" t="str">
        <f t="shared" si="20"/>
        <v/>
      </c>
    </row>
    <row r="298" spans="2:19" x14ac:dyDescent="0.35">
      <c r="E298" s="30" t="s">
        <v>42</v>
      </c>
      <c r="F298" s="46"/>
      <c r="G298" s="46"/>
      <c r="H298" s="46"/>
      <c r="I298" s="46"/>
      <c r="J298" s="46"/>
      <c r="K298" s="46"/>
      <c r="L298" s="41" t="str">
        <f t="shared" ca="1" si="17"/>
        <v/>
      </c>
      <c r="M298" s="47" t="str">
        <f t="shared" ca="1" si="18"/>
        <v/>
      </c>
      <c r="R298" s="48" t="str">
        <f t="shared" si="19"/>
        <v/>
      </c>
      <c r="S298" s="48" t="str">
        <f t="shared" si="20"/>
        <v/>
      </c>
    </row>
    <row r="299" spans="2:19" x14ac:dyDescent="0.35">
      <c r="E299" s="30" t="s">
        <v>42</v>
      </c>
      <c r="F299" s="46"/>
      <c r="G299" s="46"/>
      <c r="H299" s="46"/>
      <c r="I299" s="46"/>
      <c r="J299" s="46"/>
      <c r="K299" s="46"/>
      <c r="L299" s="41" t="str">
        <f t="shared" ca="1" si="17"/>
        <v/>
      </c>
      <c r="M299" s="47" t="str">
        <f t="shared" ca="1" si="18"/>
        <v/>
      </c>
      <c r="R299" s="48" t="str">
        <f t="shared" si="19"/>
        <v/>
      </c>
      <c r="S299" s="48" t="str">
        <f t="shared" si="20"/>
        <v/>
      </c>
    </row>
    <row r="300" spans="2:19" x14ac:dyDescent="0.35">
      <c r="E300" s="30" t="s">
        <v>42</v>
      </c>
      <c r="F300" s="46"/>
      <c r="G300" s="46"/>
      <c r="H300" s="46"/>
      <c r="I300" s="46"/>
      <c r="J300" s="46"/>
      <c r="K300" s="46"/>
      <c r="L300" s="41" t="str">
        <f t="shared" ca="1" si="17"/>
        <v/>
      </c>
      <c r="M300" s="47" t="str">
        <f t="shared" ca="1" si="18"/>
        <v/>
      </c>
      <c r="R300" s="48" t="str">
        <f t="shared" si="19"/>
        <v/>
      </c>
      <c r="S300" s="48" t="str">
        <f t="shared" si="20"/>
        <v/>
      </c>
    </row>
    <row r="301" spans="2:19" x14ac:dyDescent="0.35">
      <c r="E301" s="30" t="s">
        <v>42</v>
      </c>
      <c r="F301" s="46"/>
      <c r="G301" s="46"/>
      <c r="H301" s="46"/>
      <c r="I301" s="46"/>
      <c r="J301" s="46"/>
      <c r="K301" s="46"/>
      <c r="L301" s="41" t="str">
        <f t="shared" ca="1" si="17"/>
        <v/>
      </c>
      <c r="M301" s="47" t="str">
        <f t="shared" ca="1" si="18"/>
        <v/>
      </c>
      <c r="R301" s="48" t="str">
        <f t="shared" si="19"/>
        <v/>
      </c>
      <c r="S301" s="48" t="str">
        <f t="shared" si="20"/>
        <v/>
      </c>
    </row>
    <row r="302" spans="2:19" x14ac:dyDescent="0.35">
      <c r="E302" s="30" t="s">
        <v>42</v>
      </c>
      <c r="F302" s="46"/>
      <c r="G302" s="46"/>
      <c r="H302" s="46"/>
      <c r="I302" s="46"/>
      <c r="J302" s="46"/>
      <c r="K302" s="46"/>
      <c r="L302" s="41" t="str">
        <f t="shared" ca="1" si="17"/>
        <v/>
      </c>
      <c r="M302" s="47" t="str">
        <f t="shared" ca="1" si="18"/>
        <v/>
      </c>
      <c r="R302" s="48" t="str">
        <f t="shared" si="19"/>
        <v/>
      </c>
      <c r="S302" s="48" t="str">
        <f t="shared" si="20"/>
        <v/>
      </c>
    </row>
    <row r="303" spans="2:19" x14ac:dyDescent="0.35">
      <c r="E303" s="30" t="s">
        <v>42</v>
      </c>
      <c r="F303" s="46"/>
      <c r="G303" s="46"/>
      <c r="H303" s="46"/>
      <c r="I303" s="46"/>
      <c r="J303" s="46"/>
      <c r="K303" s="46"/>
      <c r="L303" s="41" t="str">
        <f t="shared" ca="1" si="17"/>
        <v/>
      </c>
      <c r="M303" s="47" t="str">
        <f t="shared" ca="1" si="18"/>
        <v/>
      </c>
      <c r="R303" s="48" t="str">
        <f t="shared" si="19"/>
        <v/>
      </c>
      <c r="S303" s="48" t="str">
        <f t="shared" si="20"/>
        <v/>
      </c>
    </row>
    <row r="304" spans="2:19" x14ac:dyDescent="0.35">
      <c r="E304" s="30" t="s">
        <v>42</v>
      </c>
      <c r="F304" s="46"/>
      <c r="G304" s="46"/>
      <c r="H304" s="46"/>
      <c r="I304" s="46"/>
      <c r="J304" s="46"/>
      <c r="K304" s="46"/>
      <c r="L304" s="41" t="str">
        <f t="shared" ca="1" si="17"/>
        <v/>
      </c>
      <c r="M304" s="47" t="str">
        <f t="shared" ca="1" si="18"/>
        <v/>
      </c>
      <c r="R304" s="48" t="str">
        <f t="shared" si="19"/>
        <v/>
      </c>
      <c r="S304" s="48" t="str">
        <f t="shared" si="20"/>
        <v/>
      </c>
    </row>
    <row r="305" spans="5:19" x14ac:dyDescent="0.35">
      <c r="E305" s="30" t="s">
        <v>42</v>
      </c>
      <c r="F305" s="46"/>
      <c r="G305" s="46"/>
      <c r="H305" s="46"/>
      <c r="I305" s="46"/>
      <c r="J305" s="46"/>
      <c r="K305" s="46"/>
      <c r="L305" s="41" t="str">
        <f t="shared" ca="1" si="17"/>
        <v/>
      </c>
      <c r="M305" s="47" t="str">
        <f t="shared" ca="1" si="18"/>
        <v/>
      </c>
      <c r="R305" s="48" t="str">
        <f t="shared" si="19"/>
        <v/>
      </c>
      <c r="S305" s="48" t="str">
        <f t="shared" si="20"/>
        <v/>
      </c>
    </row>
    <row r="306" spans="5:19" x14ac:dyDescent="0.35">
      <c r="E306" s="30" t="s">
        <v>42</v>
      </c>
      <c r="F306" s="46"/>
      <c r="G306" s="46"/>
      <c r="H306" s="46"/>
      <c r="I306" s="46"/>
      <c r="J306" s="46"/>
      <c r="K306" s="46"/>
      <c r="L306" s="41" t="str">
        <f t="shared" ca="1" si="17"/>
        <v/>
      </c>
      <c r="M306" s="47" t="str">
        <f t="shared" ca="1" si="18"/>
        <v/>
      </c>
      <c r="R306" s="48" t="str">
        <f t="shared" si="19"/>
        <v/>
      </c>
      <c r="S306" s="48" t="str">
        <f t="shared" si="20"/>
        <v/>
      </c>
    </row>
    <row r="307" spans="5:19" x14ac:dyDescent="0.35">
      <c r="E307" s="30" t="s">
        <v>42</v>
      </c>
      <c r="F307" s="46"/>
      <c r="G307" s="46"/>
      <c r="H307" s="46"/>
      <c r="I307" s="46"/>
      <c r="J307" s="46"/>
      <c r="K307" s="46"/>
      <c r="L307" s="41" t="str">
        <f t="shared" ca="1" si="17"/>
        <v/>
      </c>
      <c r="M307" s="47" t="str">
        <f t="shared" ca="1" si="18"/>
        <v/>
      </c>
      <c r="R307" s="48" t="str">
        <f t="shared" si="19"/>
        <v/>
      </c>
      <c r="S307" s="48" t="str">
        <f t="shared" si="20"/>
        <v/>
      </c>
    </row>
    <row r="308" spans="5:19" x14ac:dyDescent="0.35">
      <c r="E308" s="30" t="s">
        <v>42</v>
      </c>
      <c r="F308" s="46"/>
      <c r="G308" s="46"/>
      <c r="H308" s="46"/>
      <c r="I308" s="46"/>
      <c r="J308" s="46"/>
      <c r="K308" s="46"/>
      <c r="L308" s="41" t="str">
        <f t="shared" ca="1" si="17"/>
        <v/>
      </c>
      <c r="M308" s="47" t="str">
        <f t="shared" ca="1" si="18"/>
        <v/>
      </c>
      <c r="R308" s="48" t="str">
        <f t="shared" si="19"/>
        <v/>
      </c>
      <c r="S308" s="48" t="str">
        <f t="shared" si="20"/>
        <v/>
      </c>
    </row>
    <row r="309" spans="5:19" x14ac:dyDescent="0.35">
      <c r="E309" s="30" t="s">
        <v>42</v>
      </c>
      <c r="F309" s="46"/>
      <c r="G309" s="46"/>
      <c r="H309" s="46"/>
      <c r="I309" s="46"/>
      <c r="J309" s="46"/>
      <c r="K309" s="46"/>
      <c r="L309" s="41" t="str">
        <f t="shared" ca="1" si="17"/>
        <v/>
      </c>
      <c r="M309" s="47" t="str">
        <f t="shared" ca="1" si="18"/>
        <v/>
      </c>
      <c r="R309" s="48" t="str">
        <f t="shared" si="19"/>
        <v/>
      </c>
      <c r="S309" s="48" t="str">
        <f t="shared" si="20"/>
        <v/>
      </c>
    </row>
    <row r="310" spans="5:19" x14ac:dyDescent="0.35">
      <c r="E310" s="30" t="s">
        <v>42</v>
      </c>
      <c r="F310" s="46"/>
      <c r="G310" s="46"/>
      <c r="H310" s="46"/>
      <c r="I310" s="46"/>
      <c r="J310" s="46"/>
      <c r="K310" s="46"/>
      <c r="L310" s="41" t="str">
        <f t="shared" ca="1" si="17"/>
        <v/>
      </c>
      <c r="M310" s="47" t="str">
        <f t="shared" ca="1" si="18"/>
        <v/>
      </c>
      <c r="R310" s="48" t="str">
        <f t="shared" si="19"/>
        <v/>
      </c>
      <c r="S310" s="48" t="str">
        <f t="shared" si="20"/>
        <v/>
      </c>
    </row>
    <row r="311" spans="5:19" x14ac:dyDescent="0.35">
      <c r="E311" s="30" t="s">
        <v>42</v>
      </c>
      <c r="F311" s="46"/>
      <c r="G311" s="46"/>
      <c r="H311" s="46"/>
      <c r="I311" s="46"/>
      <c r="J311" s="46"/>
      <c r="K311" s="46"/>
      <c r="L311" s="41" t="str">
        <f t="shared" ca="1" si="17"/>
        <v/>
      </c>
      <c r="M311" s="47" t="str">
        <f t="shared" ca="1" si="18"/>
        <v/>
      </c>
      <c r="R311" s="48" t="str">
        <f t="shared" si="19"/>
        <v/>
      </c>
      <c r="S311" s="48" t="str">
        <f t="shared" si="20"/>
        <v/>
      </c>
    </row>
    <row r="312" spans="5:19" x14ac:dyDescent="0.35">
      <c r="E312" s="30" t="s">
        <v>42</v>
      </c>
      <c r="F312" s="46"/>
      <c r="G312" s="46"/>
      <c r="H312" s="46"/>
      <c r="I312" s="46"/>
      <c r="J312" s="46"/>
      <c r="K312" s="46"/>
      <c r="L312" s="41" t="str">
        <f t="shared" ca="1" si="17"/>
        <v/>
      </c>
      <c r="M312" s="47" t="str">
        <f t="shared" ca="1" si="18"/>
        <v/>
      </c>
      <c r="R312" s="48" t="str">
        <f t="shared" si="19"/>
        <v/>
      </c>
      <c r="S312" s="48" t="str">
        <f t="shared" si="20"/>
        <v/>
      </c>
    </row>
    <row r="313" spans="5:19" x14ac:dyDescent="0.35">
      <c r="E313" s="30" t="s">
        <v>42</v>
      </c>
      <c r="F313" s="46"/>
      <c r="G313" s="46"/>
      <c r="H313" s="46"/>
      <c r="I313" s="46"/>
      <c r="J313" s="46"/>
      <c r="K313" s="46"/>
      <c r="L313" s="41" t="str">
        <f t="shared" ca="1" si="17"/>
        <v/>
      </c>
      <c r="M313" s="47" t="str">
        <f t="shared" ca="1" si="18"/>
        <v/>
      </c>
      <c r="R313" s="48" t="str">
        <f t="shared" si="19"/>
        <v/>
      </c>
      <c r="S313" s="48" t="str">
        <f t="shared" si="20"/>
        <v/>
      </c>
    </row>
    <row r="314" spans="5:19" x14ac:dyDescent="0.35">
      <c r="E314" s="30" t="s">
        <v>42</v>
      </c>
      <c r="F314" s="46"/>
      <c r="G314" s="46"/>
      <c r="H314" s="46"/>
      <c r="I314" s="46"/>
      <c r="J314" s="46"/>
      <c r="K314" s="46"/>
      <c r="L314" s="41" t="str">
        <f t="shared" ca="1" si="17"/>
        <v/>
      </c>
      <c r="M314" s="47" t="str">
        <f t="shared" ca="1" si="18"/>
        <v/>
      </c>
      <c r="R314" s="48" t="str">
        <f t="shared" si="19"/>
        <v/>
      </c>
      <c r="S314" s="48" t="str">
        <f t="shared" si="20"/>
        <v/>
      </c>
    </row>
    <row r="315" spans="5:19" x14ac:dyDescent="0.35">
      <c r="E315" s="30" t="s">
        <v>42</v>
      </c>
      <c r="F315" s="46"/>
      <c r="G315" s="46"/>
      <c r="H315" s="46"/>
      <c r="I315" s="46"/>
      <c r="J315" s="46"/>
      <c r="K315" s="46"/>
      <c r="L315" s="41" t="str">
        <f t="shared" ca="1" si="17"/>
        <v/>
      </c>
      <c r="M315" s="47" t="str">
        <f t="shared" ca="1" si="18"/>
        <v/>
      </c>
      <c r="R315" s="48" t="str">
        <f t="shared" si="19"/>
        <v/>
      </c>
      <c r="S315" s="48" t="str">
        <f t="shared" si="20"/>
        <v/>
      </c>
    </row>
    <row r="316" spans="5:19" x14ac:dyDescent="0.35">
      <c r="E316" s="30" t="s">
        <v>42</v>
      </c>
      <c r="F316" s="46"/>
      <c r="G316" s="46"/>
      <c r="H316" s="46"/>
      <c r="I316" s="46"/>
      <c r="J316" s="46"/>
      <c r="K316" s="46"/>
      <c r="L316" s="41" t="str">
        <f t="shared" ca="1" si="17"/>
        <v/>
      </c>
      <c r="M316" s="47" t="str">
        <f t="shared" ca="1" si="18"/>
        <v/>
      </c>
      <c r="R316" s="48" t="str">
        <f t="shared" si="19"/>
        <v/>
      </c>
      <c r="S316" s="48" t="str">
        <f t="shared" si="20"/>
        <v/>
      </c>
    </row>
    <row r="317" spans="5:19" x14ac:dyDescent="0.35">
      <c r="E317" s="30" t="s">
        <v>42</v>
      </c>
      <c r="F317" s="46"/>
      <c r="G317" s="46"/>
      <c r="H317" s="46"/>
      <c r="I317" s="46"/>
      <c r="J317" s="46"/>
      <c r="K317" s="46"/>
      <c r="L317" s="41" t="str">
        <f t="shared" ca="1" si="17"/>
        <v/>
      </c>
      <c r="M317" s="47" t="str">
        <f t="shared" ca="1" si="18"/>
        <v/>
      </c>
      <c r="R317" s="48" t="str">
        <f t="shared" si="19"/>
        <v/>
      </c>
      <c r="S317" s="48" t="str">
        <f t="shared" si="20"/>
        <v/>
      </c>
    </row>
    <row r="318" spans="5:19" x14ac:dyDescent="0.35">
      <c r="E318" s="30" t="s">
        <v>42</v>
      </c>
      <c r="F318" s="46"/>
      <c r="G318" s="46"/>
      <c r="H318" s="46"/>
      <c r="I318" s="46"/>
      <c r="J318" s="46"/>
      <c r="K318" s="46"/>
      <c r="L318" s="41" t="str">
        <f t="shared" ca="1" si="17"/>
        <v/>
      </c>
      <c r="M318" s="47" t="str">
        <f t="shared" ca="1" si="18"/>
        <v/>
      </c>
      <c r="R318" s="48" t="str">
        <f t="shared" si="19"/>
        <v/>
      </c>
      <c r="S318" s="48" t="str">
        <f t="shared" si="20"/>
        <v/>
      </c>
    </row>
    <row r="319" spans="5:19" x14ac:dyDescent="0.35">
      <c r="E319" s="30" t="s">
        <v>42</v>
      </c>
      <c r="F319" s="46"/>
      <c r="G319" s="46"/>
      <c r="H319" s="46"/>
      <c r="I319" s="46"/>
      <c r="J319" s="46"/>
      <c r="K319" s="46"/>
      <c r="L319" s="41" t="str">
        <f t="shared" ca="1" si="17"/>
        <v/>
      </c>
      <c r="M319" s="47" t="str">
        <f t="shared" ca="1" si="18"/>
        <v/>
      </c>
      <c r="R319" s="48" t="str">
        <f t="shared" si="19"/>
        <v/>
      </c>
      <c r="S319" s="48" t="str">
        <f t="shared" si="20"/>
        <v/>
      </c>
    </row>
    <row r="320" spans="5:19" x14ac:dyDescent="0.35">
      <c r="E320" s="30" t="s">
        <v>42</v>
      </c>
      <c r="F320" s="46"/>
      <c r="G320" s="46"/>
      <c r="H320" s="46"/>
      <c r="I320" s="46"/>
      <c r="J320" s="46"/>
      <c r="K320" s="46"/>
      <c r="L320" s="41" t="str">
        <f t="shared" ca="1" si="17"/>
        <v/>
      </c>
      <c r="M320" s="47" t="str">
        <f t="shared" ca="1" si="18"/>
        <v/>
      </c>
      <c r="R320" s="48" t="str">
        <f t="shared" si="19"/>
        <v/>
      </c>
      <c r="S320" s="48" t="str">
        <f t="shared" si="20"/>
        <v/>
      </c>
    </row>
    <row r="321" spans="5:19" x14ac:dyDescent="0.35">
      <c r="E321" s="30" t="s">
        <v>42</v>
      </c>
      <c r="F321" s="46"/>
      <c r="G321" s="46"/>
      <c r="H321" s="46"/>
      <c r="I321" s="46"/>
      <c r="J321" s="46"/>
      <c r="K321" s="46"/>
      <c r="L321" s="41" t="str">
        <f t="shared" ca="1" si="17"/>
        <v/>
      </c>
      <c r="M321" s="47" t="str">
        <f t="shared" ca="1" si="18"/>
        <v/>
      </c>
      <c r="R321" s="48" t="str">
        <f t="shared" si="19"/>
        <v/>
      </c>
      <c r="S321" s="48" t="str">
        <f t="shared" si="20"/>
        <v/>
      </c>
    </row>
    <row r="322" spans="5:19" x14ac:dyDescent="0.35">
      <c r="E322" s="30" t="s">
        <v>42</v>
      </c>
      <c r="F322" s="46"/>
      <c r="G322" s="46"/>
      <c r="H322" s="46"/>
      <c r="I322" s="46"/>
      <c r="J322" s="46"/>
      <c r="K322" s="46"/>
      <c r="L322" s="41" t="str">
        <f t="shared" ca="1" si="17"/>
        <v/>
      </c>
      <c r="M322" s="47" t="str">
        <f t="shared" ca="1" si="18"/>
        <v/>
      </c>
      <c r="R322" s="48" t="str">
        <f t="shared" si="19"/>
        <v/>
      </c>
      <c r="S322" s="48" t="str">
        <f t="shared" si="20"/>
        <v/>
      </c>
    </row>
    <row r="323" spans="5:19" x14ac:dyDescent="0.35">
      <c r="E323" s="30" t="s">
        <v>42</v>
      </c>
      <c r="F323" s="46"/>
      <c r="G323" s="46"/>
      <c r="H323" s="46"/>
      <c r="I323" s="46"/>
      <c r="J323" s="46"/>
      <c r="K323" s="46"/>
      <c r="L323" s="41" t="str">
        <f t="shared" ca="1" si="17"/>
        <v/>
      </c>
      <c r="M323" s="47" t="str">
        <f t="shared" ca="1" si="18"/>
        <v/>
      </c>
      <c r="R323" s="48" t="str">
        <f t="shared" si="19"/>
        <v/>
      </c>
      <c r="S323" s="48" t="str">
        <f t="shared" si="20"/>
        <v/>
      </c>
    </row>
    <row r="324" spans="5:19" x14ac:dyDescent="0.35">
      <c r="E324" s="30" t="s">
        <v>42</v>
      </c>
      <c r="F324" s="46"/>
      <c r="G324" s="46"/>
      <c r="H324" s="46"/>
      <c r="I324" s="46"/>
      <c r="J324" s="46"/>
      <c r="K324" s="46"/>
      <c r="L324" s="41" t="str">
        <f t="shared" ca="1" si="17"/>
        <v/>
      </c>
      <c r="M324" s="47" t="str">
        <f t="shared" ca="1" si="18"/>
        <v/>
      </c>
      <c r="R324" s="48" t="str">
        <f t="shared" si="19"/>
        <v/>
      </c>
      <c r="S324" s="48" t="str">
        <f t="shared" si="20"/>
        <v/>
      </c>
    </row>
    <row r="325" spans="5:19" x14ac:dyDescent="0.35">
      <c r="E325" s="30" t="s">
        <v>42</v>
      </c>
      <c r="F325" s="46"/>
      <c r="G325" s="46"/>
      <c r="H325" s="46"/>
      <c r="I325" s="46"/>
      <c r="J325" s="46"/>
      <c r="K325" s="46"/>
      <c r="L325" s="41" t="str">
        <f t="shared" ca="1" si="17"/>
        <v/>
      </c>
      <c r="M325" s="47" t="str">
        <f t="shared" ca="1" si="18"/>
        <v/>
      </c>
      <c r="R325" s="48" t="str">
        <f t="shared" si="19"/>
        <v/>
      </c>
      <c r="S325" s="48" t="str">
        <f t="shared" si="20"/>
        <v/>
      </c>
    </row>
    <row r="326" spans="5:19" x14ac:dyDescent="0.35">
      <c r="E326" s="30" t="s">
        <v>42</v>
      </c>
      <c r="F326" s="46"/>
      <c r="G326" s="46"/>
      <c r="H326" s="46"/>
      <c r="I326" s="46"/>
      <c r="J326" s="46"/>
      <c r="K326" s="46"/>
      <c r="L326" s="41" t="str">
        <f t="shared" ref="L326:L389" ca="1" si="21">IF(AND(C326&lt;&gt;"",C326&lt;&gt;R326),TODAY(),IF(C326="","",L326))</f>
        <v/>
      </c>
      <c r="M326" s="47" t="str">
        <f t="shared" ref="M326:M389" ca="1" si="22">IF(AND(C326&lt;&gt;"",C326&lt;&gt;S326),NOW(),IF(C326="","",M326))</f>
        <v/>
      </c>
      <c r="R326" s="48" t="str">
        <f t="shared" ref="R326:R389" si="23">IF(C326="","",IF(OR(L326="",AND(ISNUMBER(R326),C326=R326)),R326,C326))</f>
        <v/>
      </c>
      <c r="S326" s="48" t="str">
        <f t="shared" ref="S326:S389" si="24">IF(C326="","",IF(OR(M326="",AND(ISNUMBER(S326),C326=S326)),S326,C326))</f>
        <v/>
      </c>
    </row>
    <row r="327" spans="5:19" x14ac:dyDescent="0.35">
      <c r="E327" s="30" t="s">
        <v>42</v>
      </c>
      <c r="F327" s="46"/>
      <c r="G327" s="46"/>
      <c r="H327" s="46"/>
      <c r="I327" s="46"/>
      <c r="J327" s="46"/>
      <c r="K327" s="46"/>
      <c r="L327" s="41" t="str">
        <f t="shared" ca="1" si="21"/>
        <v/>
      </c>
      <c r="M327" s="47" t="str">
        <f t="shared" ca="1" si="22"/>
        <v/>
      </c>
      <c r="R327" s="48" t="str">
        <f t="shared" si="23"/>
        <v/>
      </c>
      <c r="S327" s="48" t="str">
        <f t="shared" si="24"/>
        <v/>
      </c>
    </row>
    <row r="328" spans="5:19" x14ac:dyDescent="0.35">
      <c r="E328" s="30" t="s">
        <v>42</v>
      </c>
      <c r="F328" s="46"/>
      <c r="G328" s="46"/>
      <c r="H328" s="46"/>
      <c r="I328" s="46"/>
      <c r="J328" s="46"/>
      <c r="K328" s="46"/>
      <c r="L328" s="41" t="str">
        <f t="shared" ca="1" si="21"/>
        <v/>
      </c>
      <c r="M328" s="47" t="str">
        <f t="shared" ca="1" si="22"/>
        <v/>
      </c>
      <c r="R328" s="48" t="str">
        <f t="shared" si="23"/>
        <v/>
      </c>
      <c r="S328" s="48" t="str">
        <f t="shared" si="24"/>
        <v/>
      </c>
    </row>
    <row r="329" spans="5:19" x14ac:dyDescent="0.35">
      <c r="E329" s="30" t="s">
        <v>42</v>
      </c>
      <c r="F329" s="46"/>
      <c r="G329" s="46"/>
      <c r="H329" s="46"/>
      <c r="I329" s="46"/>
      <c r="J329" s="46"/>
      <c r="K329" s="46"/>
      <c r="L329" s="41" t="str">
        <f t="shared" ca="1" si="21"/>
        <v/>
      </c>
      <c r="M329" s="47" t="str">
        <f t="shared" ca="1" si="22"/>
        <v/>
      </c>
      <c r="R329" s="48" t="str">
        <f t="shared" si="23"/>
        <v/>
      </c>
      <c r="S329" s="48" t="str">
        <f t="shared" si="24"/>
        <v/>
      </c>
    </row>
    <row r="330" spans="5:19" x14ac:dyDescent="0.35">
      <c r="E330" s="30" t="s">
        <v>42</v>
      </c>
      <c r="F330" s="46"/>
      <c r="G330" s="46"/>
      <c r="H330" s="46"/>
      <c r="I330" s="46"/>
      <c r="J330" s="46"/>
      <c r="K330" s="46"/>
      <c r="L330" s="41" t="str">
        <f t="shared" ca="1" si="21"/>
        <v/>
      </c>
      <c r="M330" s="47" t="str">
        <f t="shared" ca="1" si="22"/>
        <v/>
      </c>
      <c r="R330" s="48" t="str">
        <f t="shared" si="23"/>
        <v/>
      </c>
      <c r="S330" s="48" t="str">
        <f t="shared" si="24"/>
        <v/>
      </c>
    </row>
    <row r="331" spans="5:19" x14ac:dyDescent="0.35">
      <c r="E331" s="30" t="s">
        <v>42</v>
      </c>
      <c r="F331" s="46"/>
      <c r="G331" s="46"/>
      <c r="H331" s="46"/>
      <c r="I331" s="46"/>
      <c r="J331" s="46"/>
      <c r="K331" s="46"/>
      <c r="L331" s="41" t="str">
        <f t="shared" ca="1" si="21"/>
        <v/>
      </c>
      <c r="M331" s="47" t="str">
        <f t="shared" ca="1" si="22"/>
        <v/>
      </c>
      <c r="R331" s="48" t="str">
        <f t="shared" si="23"/>
        <v/>
      </c>
      <c r="S331" s="48" t="str">
        <f t="shared" si="24"/>
        <v/>
      </c>
    </row>
    <row r="332" spans="5:19" x14ac:dyDescent="0.35">
      <c r="E332" s="30" t="s">
        <v>42</v>
      </c>
      <c r="F332" s="46"/>
      <c r="G332" s="46"/>
      <c r="H332" s="46"/>
      <c r="I332" s="46"/>
      <c r="J332" s="46"/>
      <c r="K332" s="46"/>
      <c r="L332" s="41" t="str">
        <f t="shared" ca="1" si="21"/>
        <v/>
      </c>
      <c r="M332" s="47" t="str">
        <f t="shared" ca="1" si="22"/>
        <v/>
      </c>
      <c r="R332" s="48" t="str">
        <f t="shared" si="23"/>
        <v/>
      </c>
      <c r="S332" s="48" t="str">
        <f t="shared" si="24"/>
        <v/>
      </c>
    </row>
    <row r="333" spans="5:19" x14ac:dyDescent="0.35">
      <c r="E333" s="30" t="s">
        <v>42</v>
      </c>
      <c r="F333" s="46"/>
      <c r="G333" s="46"/>
      <c r="H333" s="46"/>
      <c r="I333" s="46"/>
      <c r="J333" s="46"/>
      <c r="K333" s="46"/>
      <c r="L333" s="41" t="str">
        <f t="shared" ca="1" si="21"/>
        <v/>
      </c>
      <c r="M333" s="47" t="str">
        <f t="shared" ca="1" si="22"/>
        <v/>
      </c>
      <c r="R333" s="48" t="str">
        <f t="shared" si="23"/>
        <v/>
      </c>
      <c r="S333" s="48" t="str">
        <f t="shared" si="24"/>
        <v/>
      </c>
    </row>
    <row r="334" spans="5:19" x14ac:dyDescent="0.35">
      <c r="E334" s="30" t="s">
        <v>42</v>
      </c>
      <c r="F334" s="46"/>
      <c r="G334" s="46"/>
      <c r="H334" s="46"/>
      <c r="I334" s="46"/>
      <c r="J334" s="46"/>
      <c r="K334" s="46"/>
      <c r="L334" s="41" t="str">
        <f t="shared" ca="1" si="21"/>
        <v/>
      </c>
      <c r="M334" s="47" t="str">
        <f t="shared" ca="1" si="22"/>
        <v/>
      </c>
      <c r="R334" s="48" t="str">
        <f t="shared" si="23"/>
        <v/>
      </c>
      <c r="S334" s="48" t="str">
        <f t="shared" si="24"/>
        <v/>
      </c>
    </row>
    <row r="335" spans="5:19" x14ac:dyDescent="0.35">
      <c r="E335" s="30" t="s">
        <v>42</v>
      </c>
      <c r="F335" s="46"/>
      <c r="G335" s="46"/>
      <c r="H335" s="46"/>
      <c r="I335" s="46"/>
      <c r="J335" s="46"/>
      <c r="K335" s="46"/>
      <c r="L335" s="41" t="str">
        <f t="shared" ca="1" si="21"/>
        <v/>
      </c>
      <c r="M335" s="47" t="str">
        <f t="shared" ca="1" si="22"/>
        <v/>
      </c>
      <c r="R335" s="48" t="str">
        <f t="shared" si="23"/>
        <v/>
      </c>
      <c r="S335" s="48" t="str">
        <f t="shared" si="24"/>
        <v/>
      </c>
    </row>
    <row r="336" spans="5:19" x14ac:dyDescent="0.35">
      <c r="E336" s="30" t="s">
        <v>42</v>
      </c>
      <c r="F336" s="46"/>
      <c r="G336" s="46"/>
      <c r="H336" s="46"/>
      <c r="I336" s="46"/>
      <c r="J336" s="46"/>
      <c r="K336" s="46"/>
      <c r="L336" s="41" t="str">
        <f t="shared" ca="1" si="21"/>
        <v/>
      </c>
      <c r="M336" s="47" t="str">
        <f t="shared" ca="1" si="22"/>
        <v/>
      </c>
      <c r="R336" s="48" t="str">
        <f t="shared" si="23"/>
        <v/>
      </c>
      <c r="S336" s="48" t="str">
        <f t="shared" si="24"/>
        <v/>
      </c>
    </row>
    <row r="337" spans="5:19" x14ac:dyDescent="0.35">
      <c r="E337" s="30" t="s">
        <v>42</v>
      </c>
      <c r="F337" s="46"/>
      <c r="G337" s="46"/>
      <c r="H337" s="46"/>
      <c r="I337" s="46"/>
      <c r="J337" s="46"/>
      <c r="K337" s="46"/>
      <c r="L337" s="41" t="str">
        <f t="shared" ca="1" si="21"/>
        <v/>
      </c>
      <c r="M337" s="47" t="str">
        <f t="shared" ca="1" si="22"/>
        <v/>
      </c>
      <c r="R337" s="48" t="str">
        <f t="shared" si="23"/>
        <v/>
      </c>
      <c r="S337" s="48" t="str">
        <f t="shared" si="24"/>
        <v/>
      </c>
    </row>
    <row r="338" spans="5:19" x14ac:dyDescent="0.35">
      <c r="E338" s="30" t="s">
        <v>42</v>
      </c>
      <c r="F338" s="46"/>
      <c r="G338" s="46"/>
      <c r="H338" s="46"/>
      <c r="I338" s="46"/>
      <c r="J338" s="46"/>
      <c r="K338" s="46"/>
      <c r="L338" s="41" t="str">
        <f t="shared" ca="1" si="21"/>
        <v/>
      </c>
      <c r="M338" s="47" t="str">
        <f t="shared" ca="1" si="22"/>
        <v/>
      </c>
      <c r="R338" s="48" t="str">
        <f t="shared" si="23"/>
        <v/>
      </c>
      <c r="S338" s="48" t="str">
        <f t="shared" si="24"/>
        <v/>
      </c>
    </row>
    <row r="339" spans="5:19" x14ac:dyDescent="0.35">
      <c r="E339" s="30" t="s">
        <v>42</v>
      </c>
      <c r="F339" s="46"/>
      <c r="G339" s="46"/>
      <c r="H339" s="46"/>
      <c r="I339" s="46"/>
      <c r="J339" s="46"/>
      <c r="K339" s="46"/>
      <c r="L339" s="41" t="str">
        <f t="shared" ca="1" si="21"/>
        <v/>
      </c>
      <c r="M339" s="47" t="str">
        <f t="shared" ca="1" si="22"/>
        <v/>
      </c>
      <c r="R339" s="48" t="str">
        <f t="shared" si="23"/>
        <v/>
      </c>
      <c r="S339" s="48" t="str">
        <f t="shared" si="24"/>
        <v/>
      </c>
    </row>
    <row r="340" spans="5:19" x14ac:dyDescent="0.35">
      <c r="E340" s="30" t="s">
        <v>42</v>
      </c>
      <c r="F340" s="46"/>
      <c r="G340" s="46"/>
      <c r="H340" s="46"/>
      <c r="I340" s="46"/>
      <c r="J340" s="46"/>
      <c r="K340" s="46"/>
      <c r="L340" s="41" t="str">
        <f t="shared" ca="1" si="21"/>
        <v/>
      </c>
      <c r="M340" s="47" t="str">
        <f t="shared" ca="1" si="22"/>
        <v/>
      </c>
      <c r="R340" s="48" t="str">
        <f t="shared" si="23"/>
        <v/>
      </c>
      <c r="S340" s="48" t="str">
        <f t="shared" si="24"/>
        <v/>
      </c>
    </row>
    <row r="341" spans="5:19" x14ac:dyDescent="0.35">
      <c r="E341" s="30" t="s">
        <v>42</v>
      </c>
      <c r="F341" s="46"/>
      <c r="G341" s="46"/>
      <c r="H341" s="46"/>
      <c r="I341" s="46"/>
      <c r="J341" s="46"/>
      <c r="K341" s="46"/>
      <c r="L341" s="41" t="str">
        <f t="shared" ca="1" si="21"/>
        <v/>
      </c>
      <c r="M341" s="47" t="str">
        <f t="shared" ca="1" si="22"/>
        <v/>
      </c>
      <c r="R341" s="48" t="str">
        <f t="shared" si="23"/>
        <v/>
      </c>
      <c r="S341" s="48" t="str">
        <f t="shared" si="24"/>
        <v/>
      </c>
    </row>
    <row r="342" spans="5:19" x14ac:dyDescent="0.35">
      <c r="E342" s="30" t="s">
        <v>42</v>
      </c>
      <c r="F342" s="46"/>
      <c r="G342" s="46"/>
      <c r="H342" s="46"/>
      <c r="I342" s="46"/>
      <c r="J342" s="46"/>
      <c r="K342" s="46"/>
      <c r="L342" s="41" t="str">
        <f t="shared" ca="1" si="21"/>
        <v/>
      </c>
      <c r="M342" s="47" t="str">
        <f t="shared" ca="1" si="22"/>
        <v/>
      </c>
      <c r="R342" s="48" t="str">
        <f t="shared" si="23"/>
        <v/>
      </c>
      <c r="S342" s="48" t="str">
        <f t="shared" si="24"/>
        <v/>
      </c>
    </row>
    <row r="343" spans="5:19" x14ac:dyDescent="0.35">
      <c r="E343" s="30" t="s">
        <v>42</v>
      </c>
      <c r="F343" s="46"/>
      <c r="G343" s="46"/>
      <c r="H343" s="46"/>
      <c r="I343" s="46"/>
      <c r="J343" s="46"/>
      <c r="K343" s="46"/>
      <c r="L343" s="41" t="str">
        <f t="shared" ca="1" si="21"/>
        <v/>
      </c>
      <c r="M343" s="47" t="str">
        <f t="shared" ca="1" si="22"/>
        <v/>
      </c>
      <c r="R343" s="48" t="str">
        <f t="shared" si="23"/>
        <v/>
      </c>
      <c r="S343" s="48" t="str">
        <f t="shared" si="24"/>
        <v/>
      </c>
    </row>
    <row r="344" spans="5:19" x14ac:dyDescent="0.35">
      <c r="E344" s="30" t="s">
        <v>42</v>
      </c>
      <c r="F344" s="46"/>
      <c r="G344" s="46"/>
      <c r="H344" s="46"/>
      <c r="I344" s="46"/>
      <c r="J344" s="46"/>
      <c r="K344" s="46"/>
      <c r="L344" s="41" t="str">
        <f t="shared" ca="1" si="21"/>
        <v/>
      </c>
      <c r="M344" s="47" t="str">
        <f t="shared" ca="1" si="22"/>
        <v/>
      </c>
      <c r="R344" s="48" t="str">
        <f t="shared" si="23"/>
        <v/>
      </c>
      <c r="S344" s="48" t="str">
        <f t="shared" si="24"/>
        <v/>
      </c>
    </row>
    <row r="345" spans="5:19" x14ac:dyDescent="0.35">
      <c r="E345" s="30" t="s">
        <v>42</v>
      </c>
      <c r="F345" s="46"/>
      <c r="G345" s="46"/>
      <c r="H345" s="46"/>
      <c r="I345" s="46"/>
      <c r="J345" s="46"/>
      <c r="K345" s="46"/>
      <c r="L345" s="41" t="str">
        <f t="shared" ca="1" si="21"/>
        <v/>
      </c>
      <c r="M345" s="47" t="str">
        <f t="shared" ca="1" si="22"/>
        <v/>
      </c>
      <c r="R345" s="48" t="str">
        <f t="shared" si="23"/>
        <v/>
      </c>
      <c r="S345" s="48" t="str">
        <f t="shared" si="24"/>
        <v/>
      </c>
    </row>
    <row r="346" spans="5:19" x14ac:dyDescent="0.35">
      <c r="E346" s="30" t="s">
        <v>42</v>
      </c>
      <c r="F346" s="46"/>
      <c r="G346" s="46"/>
      <c r="H346" s="46"/>
      <c r="I346" s="46"/>
      <c r="J346" s="46"/>
      <c r="K346" s="46"/>
      <c r="L346" s="41" t="str">
        <f t="shared" ca="1" si="21"/>
        <v/>
      </c>
      <c r="M346" s="47" t="str">
        <f t="shared" ca="1" si="22"/>
        <v/>
      </c>
      <c r="R346" s="48" t="str">
        <f t="shared" si="23"/>
        <v/>
      </c>
      <c r="S346" s="48" t="str">
        <f t="shared" si="24"/>
        <v/>
      </c>
    </row>
    <row r="347" spans="5:19" x14ac:dyDescent="0.35">
      <c r="E347" s="30" t="s">
        <v>42</v>
      </c>
      <c r="F347" s="46"/>
      <c r="G347" s="46"/>
      <c r="H347" s="46"/>
      <c r="I347" s="46"/>
      <c r="J347" s="46"/>
      <c r="K347" s="46"/>
      <c r="L347" s="41" t="str">
        <f t="shared" ca="1" si="21"/>
        <v/>
      </c>
      <c r="M347" s="47" t="str">
        <f t="shared" ca="1" si="22"/>
        <v/>
      </c>
      <c r="R347" s="48" t="str">
        <f t="shared" si="23"/>
        <v/>
      </c>
      <c r="S347" s="48" t="str">
        <f t="shared" si="24"/>
        <v/>
      </c>
    </row>
    <row r="348" spans="5:19" x14ac:dyDescent="0.35">
      <c r="E348" s="30" t="s">
        <v>42</v>
      </c>
      <c r="F348" s="46"/>
      <c r="G348" s="46"/>
      <c r="H348" s="46"/>
      <c r="I348" s="46"/>
      <c r="J348" s="46"/>
      <c r="K348" s="46"/>
      <c r="L348" s="41" t="str">
        <f t="shared" ca="1" si="21"/>
        <v/>
      </c>
      <c r="M348" s="47" t="str">
        <f t="shared" ca="1" si="22"/>
        <v/>
      </c>
      <c r="R348" s="48" t="str">
        <f t="shared" si="23"/>
        <v/>
      </c>
      <c r="S348" s="48" t="str">
        <f t="shared" si="24"/>
        <v/>
      </c>
    </row>
    <row r="349" spans="5:19" x14ac:dyDescent="0.35">
      <c r="E349" s="30" t="s">
        <v>42</v>
      </c>
      <c r="F349" s="46"/>
      <c r="G349" s="46"/>
      <c r="H349" s="46"/>
      <c r="I349" s="46"/>
      <c r="J349" s="46"/>
      <c r="K349" s="46"/>
      <c r="L349" s="41" t="str">
        <f t="shared" ca="1" si="21"/>
        <v/>
      </c>
      <c r="M349" s="47" t="str">
        <f t="shared" ca="1" si="22"/>
        <v/>
      </c>
      <c r="R349" s="48" t="str">
        <f t="shared" si="23"/>
        <v/>
      </c>
      <c r="S349" s="48" t="str">
        <f t="shared" si="24"/>
        <v/>
      </c>
    </row>
    <row r="350" spans="5:19" x14ac:dyDescent="0.35">
      <c r="E350" s="30" t="s">
        <v>42</v>
      </c>
      <c r="F350" s="46"/>
      <c r="G350" s="46"/>
      <c r="H350" s="46"/>
      <c r="I350" s="46"/>
      <c r="J350" s="46"/>
      <c r="K350" s="46"/>
      <c r="L350" s="41" t="str">
        <f t="shared" ca="1" si="21"/>
        <v/>
      </c>
      <c r="M350" s="47" t="str">
        <f t="shared" ca="1" si="22"/>
        <v/>
      </c>
      <c r="R350" s="48" t="str">
        <f t="shared" si="23"/>
        <v/>
      </c>
      <c r="S350" s="48" t="str">
        <f t="shared" si="24"/>
        <v/>
      </c>
    </row>
    <row r="351" spans="5:19" x14ac:dyDescent="0.35">
      <c r="E351" s="30" t="s">
        <v>42</v>
      </c>
      <c r="F351" s="46"/>
      <c r="G351" s="46"/>
      <c r="H351" s="46"/>
      <c r="I351" s="46"/>
      <c r="J351" s="46"/>
      <c r="K351" s="46"/>
      <c r="L351" s="41" t="str">
        <f t="shared" ca="1" si="21"/>
        <v/>
      </c>
      <c r="M351" s="47" t="str">
        <f t="shared" ca="1" si="22"/>
        <v/>
      </c>
      <c r="R351" s="48" t="str">
        <f t="shared" si="23"/>
        <v/>
      </c>
      <c r="S351" s="48" t="str">
        <f t="shared" si="24"/>
        <v/>
      </c>
    </row>
    <row r="352" spans="5:19" x14ac:dyDescent="0.35">
      <c r="E352" s="30" t="s">
        <v>42</v>
      </c>
      <c r="F352" s="46"/>
      <c r="G352" s="46"/>
      <c r="H352" s="46"/>
      <c r="I352" s="46"/>
      <c r="J352" s="46"/>
      <c r="K352" s="46"/>
      <c r="L352" s="41" t="str">
        <f t="shared" ca="1" si="21"/>
        <v/>
      </c>
      <c r="M352" s="47" t="str">
        <f t="shared" ca="1" si="22"/>
        <v/>
      </c>
      <c r="R352" s="48" t="str">
        <f t="shared" si="23"/>
        <v/>
      </c>
      <c r="S352" s="48" t="str">
        <f t="shared" si="24"/>
        <v/>
      </c>
    </row>
    <row r="353" spans="5:19" x14ac:dyDescent="0.35">
      <c r="E353" s="30" t="s">
        <v>42</v>
      </c>
      <c r="F353" s="46"/>
      <c r="G353" s="46"/>
      <c r="H353" s="46"/>
      <c r="I353" s="46"/>
      <c r="J353" s="46"/>
      <c r="K353" s="46"/>
      <c r="L353" s="41" t="str">
        <f t="shared" ca="1" si="21"/>
        <v/>
      </c>
      <c r="M353" s="47" t="str">
        <f t="shared" ca="1" si="22"/>
        <v/>
      </c>
      <c r="R353" s="48" t="str">
        <f t="shared" si="23"/>
        <v/>
      </c>
      <c r="S353" s="48" t="str">
        <f t="shared" si="24"/>
        <v/>
      </c>
    </row>
    <row r="354" spans="5:19" x14ac:dyDescent="0.35">
      <c r="E354" s="30" t="s">
        <v>42</v>
      </c>
      <c r="F354" s="46"/>
      <c r="G354" s="46"/>
      <c r="H354" s="46"/>
      <c r="I354" s="46"/>
      <c r="J354" s="46"/>
      <c r="K354" s="46"/>
      <c r="L354" s="41" t="str">
        <f t="shared" ca="1" si="21"/>
        <v/>
      </c>
      <c r="M354" s="47" t="str">
        <f t="shared" ca="1" si="22"/>
        <v/>
      </c>
      <c r="R354" s="48" t="str">
        <f t="shared" si="23"/>
        <v/>
      </c>
      <c r="S354" s="48" t="str">
        <f t="shared" si="24"/>
        <v/>
      </c>
    </row>
    <row r="355" spans="5:19" x14ac:dyDescent="0.35">
      <c r="E355" s="30" t="s">
        <v>42</v>
      </c>
      <c r="F355" s="46"/>
      <c r="G355" s="46"/>
      <c r="H355" s="46"/>
      <c r="I355" s="46"/>
      <c r="J355" s="46"/>
      <c r="K355" s="46"/>
      <c r="L355" s="41" t="str">
        <f t="shared" ca="1" si="21"/>
        <v/>
      </c>
      <c r="M355" s="47" t="str">
        <f t="shared" ca="1" si="22"/>
        <v/>
      </c>
      <c r="R355" s="48" t="str">
        <f t="shared" si="23"/>
        <v/>
      </c>
      <c r="S355" s="48" t="str">
        <f t="shared" si="24"/>
        <v/>
      </c>
    </row>
    <row r="356" spans="5:19" x14ac:dyDescent="0.35">
      <c r="E356" s="30" t="s">
        <v>42</v>
      </c>
      <c r="F356" s="46"/>
      <c r="G356" s="46"/>
      <c r="H356" s="46"/>
      <c r="I356" s="46"/>
      <c r="J356" s="46"/>
      <c r="K356" s="46"/>
      <c r="L356" s="41" t="str">
        <f t="shared" ca="1" si="21"/>
        <v/>
      </c>
      <c r="M356" s="47" t="str">
        <f t="shared" ca="1" si="22"/>
        <v/>
      </c>
      <c r="R356" s="48" t="str">
        <f t="shared" si="23"/>
        <v/>
      </c>
      <c r="S356" s="48" t="str">
        <f t="shared" si="24"/>
        <v/>
      </c>
    </row>
    <row r="357" spans="5:19" x14ac:dyDescent="0.35">
      <c r="E357" s="30" t="s">
        <v>42</v>
      </c>
      <c r="F357" s="46"/>
      <c r="G357" s="46"/>
      <c r="H357" s="46"/>
      <c r="I357" s="46"/>
      <c r="J357" s="46"/>
      <c r="K357" s="46"/>
      <c r="L357" s="41" t="str">
        <f t="shared" ca="1" si="21"/>
        <v/>
      </c>
      <c r="M357" s="47" t="str">
        <f t="shared" ca="1" si="22"/>
        <v/>
      </c>
      <c r="R357" s="48" t="str">
        <f t="shared" si="23"/>
        <v/>
      </c>
      <c r="S357" s="48" t="str">
        <f t="shared" si="24"/>
        <v/>
      </c>
    </row>
    <row r="358" spans="5:19" x14ac:dyDescent="0.35">
      <c r="E358" s="30" t="s">
        <v>42</v>
      </c>
      <c r="F358" s="46"/>
      <c r="G358" s="46"/>
      <c r="H358" s="46"/>
      <c r="I358" s="46"/>
      <c r="J358" s="46"/>
      <c r="K358" s="46"/>
      <c r="L358" s="41" t="str">
        <f t="shared" ca="1" si="21"/>
        <v/>
      </c>
      <c r="M358" s="47" t="str">
        <f t="shared" ca="1" si="22"/>
        <v/>
      </c>
      <c r="R358" s="48" t="str">
        <f t="shared" si="23"/>
        <v/>
      </c>
      <c r="S358" s="48" t="str">
        <f t="shared" si="24"/>
        <v/>
      </c>
    </row>
    <row r="359" spans="5:19" x14ac:dyDescent="0.35">
      <c r="E359" s="30" t="s">
        <v>42</v>
      </c>
      <c r="F359" s="46"/>
      <c r="G359" s="46"/>
      <c r="H359" s="46"/>
      <c r="I359" s="46"/>
      <c r="J359" s="46"/>
      <c r="K359" s="46"/>
      <c r="L359" s="41" t="str">
        <f t="shared" ca="1" si="21"/>
        <v/>
      </c>
      <c r="M359" s="47" t="str">
        <f t="shared" ca="1" si="22"/>
        <v/>
      </c>
      <c r="R359" s="48" t="str">
        <f t="shared" si="23"/>
        <v/>
      </c>
      <c r="S359" s="48" t="str">
        <f t="shared" si="24"/>
        <v/>
      </c>
    </row>
    <row r="360" spans="5:19" x14ac:dyDescent="0.35">
      <c r="E360" s="30" t="s">
        <v>42</v>
      </c>
      <c r="F360" s="46"/>
      <c r="G360" s="46"/>
      <c r="H360" s="46"/>
      <c r="I360" s="46"/>
      <c r="J360" s="46"/>
      <c r="K360" s="46"/>
      <c r="L360" s="41" t="str">
        <f t="shared" ca="1" si="21"/>
        <v/>
      </c>
      <c r="M360" s="47" t="str">
        <f t="shared" ca="1" si="22"/>
        <v/>
      </c>
      <c r="R360" s="48" t="str">
        <f t="shared" si="23"/>
        <v/>
      </c>
      <c r="S360" s="48" t="str">
        <f t="shared" si="24"/>
        <v/>
      </c>
    </row>
    <row r="361" spans="5:19" x14ac:dyDescent="0.35">
      <c r="E361" s="30" t="s">
        <v>42</v>
      </c>
      <c r="F361" s="46"/>
      <c r="G361" s="46"/>
      <c r="H361" s="46"/>
      <c r="I361" s="46"/>
      <c r="J361" s="46"/>
      <c r="K361" s="46"/>
      <c r="L361" s="41" t="str">
        <f t="shared" ca="1" si="21"/>
        <v/>
      </c>
      <c r="M361" s="47" t="str">
        <f t="shared" ca="1" si="22"/>
        <v/>
      </c>
      <c r="R361" s="48" t="str">
        <f t="shared" si="23"/>
        <v/>
      </c>
      <c r="S361" s="48" t="str">
        <f t="shared" si="24"/>
        <v/>
      </c>
    </row>
    <row r="362" spans="5:19" x14ac:dyDescent="0.35">
      <c r="E362" s="30" t="s">
        <v>42</v>
      </c>
      <c r="F362" s="46"/>
      <c r="G362" s="46"/>
      <c r="H362" s="46"/>
      <c r="I362" s="46"/>
      <c r="J362" s="46"/>
      <c r="K362" s="46"/>
      <c r="L362" s="41" t="str">
        <f t="shared" ca="1" si="21"/>
        <v/>
      </c>
      <c r="M362" s="47" t="str">
        <f t="shared" ca="1" si="22"/>
        <v/>
      </c>
      <c r="R362" s="48" t="str">
        <f t="shared" si="23"/>
        <v/>
      </c>
      <c r="S362" s="48" t="str">
        <f t="shared" si="24"/>
        <v/>
      </c>
    </row>
    <row r="363" spans="5:19" x14ac:dyDescent="0.35">
      <c r="E363" s="30" t="s">
        <v>42</v>
      </c>
      <c r="F363" s="46"/>
      <c r="G363" s="46"/>
      <c r="H363" s="46"/>
      <c r="I363" s="46"/>
      <c r="J363" s="46"/>
      <c r="K363" s="46"/>
      <c r="L363" s="41" t="str">
        <f t="shared" ca="1" si="21"/>
        <v/>
      </c>
      <c r="M363" s="47" t="str">
        <f t="shared" ca="1" si="22"/>
        <v/>
      </c>
      <c r="R363" s="48" t="str">
        <f t="shared" si="23"/>
        <v/>
      </c>
      <c r="S363" s="48" t="str">
        <f t="shared" si="24"/>
        <v/>
      </c>
    </row>
    <row r="364" spans="5:19" x14ac:dyDescent="0.35">
      <c r="E364" s="30" t="s">
        <v>42</v>
      </c>
      <c r="F364" s="46"/>
      <c r="G364" s="46"/>
      <c r="H364" s="46"/>
      <c r="I364" s="46"/>
      <c r="J364" s="46"/>
      <c r="K364" s="46"/>
      <c r="L364" s="41" t="str">
        <f t="shared" ca="1" si="21"/>
        <v/>
      </c>
      <c r="M364" s="47" t="str">
        <f t="shared" ca="1" si="22"/>
        <v/>
      </c>
      <c r="R364" s="48" t="str">
        <f t="shared" si="23"/>
        <v/>
      </c>
      <c r="S364" s="48" t="str">
        <f t="shared" si="24"/>
        <v/>
      </c>
    </row>
    <row r="365" spans="5:19" x14ac:dyDescent="0.35">
      <c r="E365" s="30" t="s">
        <v>42</v>
      </c>
      <c r="F365" s="46"/>
      <c r="G365" s="46"/>
      <c r="H365" s="46"/>
      <c r="I365" s="46"/>
      <c r="J365" s="46"/>
      <c r="K365" s="46"/>
      <c r="L365" s="41" t="str">
        <f t="shared" ca="1" si="21"/>
        <v/>
      </c>
      <c r="M365" s="47" t="str">
        <f t="shared" ca="1" si="22"/>
        <v/>
      </c>
      <c r="R365" s="48" t="str">
        <f t="shared" si="23"/>
        <v/>
      </c>
      <c r="S365" s="48" t="str">
        <f t="shared" si="24"/>
        <v/>
      </c>
    </row>
    <row r="366" spans="5:19" x14ac:dyDescent="0.35">
      <c r="E366" s="30" t="s">
        <v>42</v>
      </c>
      <c r="F366" s="46"/>
      <c r="G366" s="46"/>
      <c r="H366" s="46"/>
      <c r="I366" s="46"/>
      <c r="J366" s="46"/>
      <c r="K366" s="46"/>
      <c r="L366" s="41" t="str">
        <f t="shared" ca="1" si="21"/>
        <v/>
      </c>
      <c r="M366" s="47" t="str">
        <f t="shared" ca="1" si="22"/>
        <v/>
      </c>
      <c r="R366" s="48" t="str">
        <f t="shared" si="23"/>
        <v/>
      </c>
      <c r="S366" s="48" t="str">
        <f t="shared" si="24"/>
        <v/>
      </c>
    </row>
    <row r="367" spans="5:19" x14ac:dyDescent="0.35">
      <c r="E367" s="30" t="s">
        <v>42</v>
      </c>
      <c r="F367" s="46"/>
      <c r="G367" s="46"/>
      <c r="H367" s="46"/>
      <c r="I367" s="46"/>
      <c r="J367" s="46"/>
      <c r="K367" s="46"/>
      <c r="L367" s="41" t="str">
        <f t="shared" ca="1" si="21"/>
        <v/>
      </c>
      <c r="M367" s="47" t="str">
        <f t="shared" ca="1" si="22"/>
        <v/>
      </c>
      <c r="R367" s="48" t="str">
        <f t="shared" si="23"/>
        <v/>
      </c>
      <c r="S367" s="48" t="str">
        <f t="shared" si="24"/>
        <v/>
      </c>
    </row>
    <row r="368" spans="5:19" x14ac:dyDescent="0.35">
      <c r="E368" s="30" t="s">
        <v>42</v>
      </c>
      <c r="F368" s="46"/>
      <c r="G368" s="46"/>
      <c r="H368" s="46"/>
      <c r="I368" s="46"/>
      <c r="J368" s="46"/>
      <c r="K368" s="46"/>
      <c r="L368" s="41" t="str">
        <f t="shared" ca="1" si="21"/>
        <v/>
      </c>
      <c r="M368" s="47" t="str">
        <f t="shared" ca="1" si="22"/>
        <v/>
      </c>
      <c r="R368" s="48" t="str">
        <f t="shared" si="23"/>
        <v/>
      </c>
      <c r="S368" s="48" t="str">
        <f t="shared" si="24"/>
        <v/>
      </c>
    </row>
    <row r="369" spans="5:19" x14ac:dyDescent="0.35">
      <c r="E369" s="30" t="s">
        <v>42</v>
      </c>
      <c r="F369" s="46"/>
      <c r="G369" s="46"/>
      <c r="H369" s="46"/>
      <c r="I369" s="46"/>
      <c r="J369" s="46"/>
      <c r="K369" s="46"/>
      <c r="L369" s="41" t="str">
        <f t="shared" ca="1" si="21"/>
        <v/>
      </c>
      <c r="M369" s="47" t="str">
        <f t="shared" ca="1" si="22"/>
        <v/>
      </c>
      <c r="R369" s="48" t="str">
        <f t="shared" si="23"/>
        <v/>
      </c>
      <c r="S369" s="48" t="str">
        <f t="shared" si="24"/>
        <v/>
      </c>
    </row>
    <row r="370" spans="5:19" x14ac:dyDescent="0.35">
      <c r="E370" s="30" t="s">
        <v>42</v>
      </c>
      <c r="F370" s="46"/>
      <c r="G370" s="46"/>
      <c r="H370" s="46"/>
      <c r="I370" s="46"/>
      <c r="J370" s="46"/>
      <c r="K370" s="46"/>
      <c r="L370" s="41" t="str">
        <f t="shared" ca="1" si="21"/>
        <v/>
      </c>
      <c r="M370" s="47" t="str">
        <f t="shared" ca="1" si="22"/>
        <v/>
      </c>
      <c r="R370" s="48" t="str">
        <f t="shared" si="23"/>
        <v/>
      </c>
      <c r="S370" s="48" t="str">
        <f t="shared" si="24"/>
        <v/>
      </c>
    </row>
    <row r="371" spans="5:19" x14ac:dyDescent="0.35">
      <c r="E371" s="30" t="s">
        <v>42</v>
      </c>
      <c r="F371" s="46"/>
      <c r="G371" s="46"/>
      <c r="H371" s="46"/>
      <c r="I371" s="46"/>
      <c r="J371" s="46"/>
      <c r="K371" s="46"/>
      <c r="L371" s="41" t="str">
        <f t="shared" ca="1" si="21"/>
        <v/>
      </c>
      <c r="M371" s="47" t="str">
        <f t="shared" ca="1" si="22"/>
        <v/>
      </c>
      <c r="R371" s="48" t="str">
        <f t="shared" si="23"/>
        <v/>
      </c>
      <c r="S371" s="48" t="str">
        <f t="shared" si="24"/>
        <v/>
      </c>
    </row>
    <row r="372" spans="5:19" x14ac:dyDescent="0.35">
      <c r="E372" s="30" t="s">
        <v>42</v>
      </c>
      <c r="F372" s="46"/>
      <c r="G372" s="46"/>
      <c r="H372" s="46"/>
      <c r="I372" s="46"/>
      <c r="J372" s="46"/>
      <c r="K372" s="46"/>
      <c r="L372" s="41" t="str">
        <f t="shared" ca="1" si="21"/>
        <v/>
      </c>
      <c r="M372" s="47" t="str">
        <f t="shared" ca="1" si="22"/>
        <v/>
      </c>
      <c r="R372" s="48" t="str">
        <f t="shared" si="23"/>
        <v/>
      </c>
      <c r="S372" s="48" t="str">
        <f t="shared" si="24"/>
        <v/>
      </c>
    </row>
    <row r="373" spans="5:19" x14ac:dyDescent="0.35">
      <c r="E373" s="30" t="s">
        <v>42</v>
      </c>
      <c r="F373" s="46"/>
      <c r="G373" s="46"/>
      <c r="H373" s="46"/>
      <c r="I373" s="46"/>
      <c r="J373" s="46"/>
      <c r="K373" s="46"/>
      <c r="L373" s="41" t="str">
        <f t="shared" ca="1" si="21"/>
        <v/>
      </c>
      <c r="M373" s="47" t="str">
        <f t="shared" ca="1" si="22"/>
        <v/>
      </c>
      <c r="R373" s="48" t="str">
        <f t="shared" si="23"/>
        <v/>
      </c>
      <c r="S373" s="48" t="str">
        <f t="shared" si="24"/>
        <v/>
      </c>
    </row>
    <row r="374" spans="5:19" x14ac:dyDescent="0.35">
      <c r="E374" s="30" t="s">
        <v>42</v>
      </c>
      <c r="F374" s="46"/>
      <c r="G374" s="46"/>
      <c r="H374" s="46"/>
      <c r="I374" s="46"/>
      <c r="J374" s="46"/>
      <c r="K374" s="46"/>
      <c r="L374" s="41" t="str">
        <f t="shared" ca="1" si="21"/>
        <v/>
      </c>
      <c r="M374" s="47" t="str">
        <f t="shared" ca="1" si="22"/>
        <v/>
      </c>
      <c r="R374" s="48" t="str">
        <f t="shared" si="23"/>
        <v/>
      </c>
      <c r="S374" s="48" t="str">
        <f t="shared" si="24"/>
        <v/>
      </c>
    </row>
    <row r="375" spans="5:19" x14ac:dyDescent="0.35">
      <c r="E375" s="30" t="s">
        <v>42</v>
      </c>
      <c r="F375" s="46"/>
      <c r="G375" s="46"/>
      <c r="H375" s="46"/>
      <c r="I375" s="46"/>
      <c r="J375" s="46"/>
      <c r="K375" s="46"/>
      <c r="L375" s="41" t="str">
        <f t="shared" ca="1" si="21"/>
        <v/>
      </c>
      <c r="M375" s="47" t="str">
        <f t="shared" ca="1" si="22"/>
        <v/>
      </c>
      <c r="R375" s="48" t="str">
        <f t="shared" si="23"/>
        <v/>
      </c>
      <c r="S375" s="48" t="str">
        <f t="shared" si="24"/>
        <v/>
      </c>
    </row>
    <row r="376" spans="5:19" x14ac:dyDescent="0.35">
      <c r="E376" s="30" t="s">
        <v>42</v>
      </c>
      <c r="F376" s="46"/>
      <c r="G376" s="46"/>
      <c r="H376" s="46"/>
      <c r="I376" s="46"/>
      <c r="J376" s="46"/>
      <c r="K376" s="46"/>
      <c r="L376" s="41" t="str">
        <f t="shared" ca="1" si="21"/>
        <v/>
      </c>
      <c r="M376" s="47" t="str">
        <f t="shared" ca="1" si="22"/>
        <v/>
      </c>
      <c r="R376" s="48" t="str">
        <f t="shared" si="23"/>
        <v/>
      </c>
      <c r="S376" s="48" t="str">
        <f t="shared" si="24"/>
        <v/>
      </c>
    </row>
    <row r="377" spans="5:19" x14ac:dyDescent="0.35">
      <c r="E377" s="30" t="s">
        <v>42</v>
      </c>
      <c r="F377" s="46"/>
      <c r="G377" s="46"/>
      <c r="H377" s="46"/>
      <c r="I377" s="46"/>
      <c r="J377" s="46"/>
      <c r="K377" s="46"/>
      <c r="L377" s="41" t="str">
        <f t="shared" ca="1" si="21"/>
        <v/>
      </c>
      <c r="M377" s="47" t="str">
        <f t="shared" ca="1" si="22"/>
        <v/>
      </c>
      <c r="R377" s="48" t="str">
        <f t="shared" si="23"/>
        <v/>
      </c>
      <c r="S377" s="48" t="str">
        <f t="shared" si="24"/>
        <v/>
      </c>
    </row>
    <row r="378" spans="5:19" x14ac:dyDescent="0.35">
      <c r="E378" s="30" t="s">
        <v>42</v>
      </c>
      <c r="F378" s="46"/>
      <c r="G378" s="46"/>
      <c r="H378" s="46"/>
      <c r="I378" s="46"/>
      <c r="J378" s="46"/>
      <c r="K378" s="46"/>
      <c r="L378" s="41" t="str">
        <f t="shared" ca="1" si="21"/>
        <v/>
      </c>
      <c r="M378" s="47" t="str">
        <f t="shared" ca="1" si="22"/>
        <v/>
      </c>
      <c r="R378" s="48" t="str">
        <f t="shared" si="23"/>
        <v/>
      </c>
      <c r="S378" s="48" t="str">
        <f t="shared" si="24"/>
        <v/>
      </c>
    </row>
    <row r="379" spans="5:19" x14ac:dyDescent="0.35">
      <c r="E379" s="30" t="s">
        <v>42</v>
      </c>
      <c r="F379" s="46"/>
      <c r="G379" s="46"/>
      <c r="H379" s="46"/>
      <c r="I379" s="46"/>
      <c r="J379" s="46"/>
      <c r="K379" s="46"/>
      <c r="L379" s="41" t="str">
        <f t="shared" ca="1" si="21"/>
        <v/>
      </c>
      <c r="M379" s="47" t="str">
        <f t="shared" ca="1" si="22"/>
        <v/>
      </c>
      <c r="R379" s="48" t="str">
        <f t="shared" si="23"/>
        <v/>
      </c>
      <c r="S379" s="48" t="str">
        <f t="shared" si="24"/>
        <v/>
      </c>
    </row>
    <row r="380" spans="5:19" x14ac:dyDescent="0.35">
      <c r="E380" s="30" t="s">
        <v>42</v>
      </c>
      <c r="F380" s="46"/>
      <c r="G380" s="46"/>
      <c r="H380" s="46"/>
      <c r="I380" s="46"/>
      <c r="J380" s="46"/>
      <c r="K380" s="46"/>
      <c r="L380" s="41" t="str">
        <f t="shared" ca="1" si="21"/>
        <v/>
      </c>
      <c r="M380" s="47" t="str">
        <f t="shared" ca="1" si="22"/>
        <v/>
      </c>
      <c r="R380" s="48" t="str">
        <f t="shared" si="23"/>
        <v/>
      </c>
      <c r="S380" s="48" t="str">
        <f t="shared" si="24"/>
        <v/>
      </c>
    </row>
    <row r="381" spans="5:19" x14ac:dyDescent="0.35">
      <c r="E381" s="30" t="s">
        <v>42</v>
      </c>
      <c r="F381" s="46"/>
      <c r="G381" s="46"/>
      <c r="H381" s="46"/>
      <c r="I381" s="46"/>
      <c r="J381" s="46"/>
      <c r="K381" s="46"/>
      <c r="L381" s="41" t="str">
        <f t="shared" ca="1" si="21"/>
        <v/>
      </c>
      <c r="M381" s="47" t="str">
        <f t="shared" ca="1" si="22"/>
        <v/>
      </c>
      <c r="R381" s="48" t="str">
        <f t="shared" si="23"/>
        <v/>
      </c>
      <c r="S381" s="48" t="str">
        <f t="shared" si="24"/>
        <v/>
      </c>
    </row>
    <row r="382" spans="5:19" x14ac:dyDescent="0.35">
      <c r="E382" s="30" t="s">
        <v>42</v>
      </c>
      <c r="F382" s="46"/>
      <c r="G382" s="46"/>
      <c r="H382" s="46"/>
      <c r="I382" s="46"/>
      <c r="J382" s="46"/>
      <c r="K382" s="46"/>
      <c r="L382" s="41" t="str">
        <f t="shared" ca="1" si="21"/>
        <v/>
      </c>
      <c r="M382" s="47" t="str">
        <f t="shared" ca="1" si="22"/>
        <v/>
      </c>
      <c r="R382" s="48" t="str">
        <f t="shared" si="23"/>
        <v/>
      </c>
      <c r="S382" s="48" t="str">
        <f t="shared" si="24"/>
        <v/>
      </c>
    </row>
    <row r="383" spans="5:19" x14ac:dyDescent="0.35">
      <c r="E383" s="30" t="s">
        <v>42</v>
      </c>
      <c r="F383" s="46"/>
      <c r="G383" s="46"/>
      <c r="H383" s="46"/>
      <c r="I383" s="46"/>
      <c r="J383" s="46"/>
      <c r="K383" s="46"/>
      <c r="L383" s="41" t="str">
        <f t="shared" ca="1" si="21"/>
        <v/>
      </c>
      <c r="M383" s="47" t="str">
        <f t="shared" ca="1" si="22"/>
        <v/>
      </c>
      <c r="R383" s="48" t="str">
        <f t="shared" si="23"/>
        <v/>
      </c>
      <c r="S383" s="48" t="str">
        <f t="shared" si="24"/>
        <v/>
      </c>
    </row>
    <row r="384" spans="5:19" x14ac:dyDescent="0.35">
      <c r="E384" s="30" t="s">
        <v>42</v>
      </c>
      <c r="F384" s="46"/>
      <c r="G384" s="46"/>
      <c r="H384" s="46"/>
      <c r="I384" s="46"/>
      <c r="J384" s="46"/>
      <c r="K384" s="46"/>
      <c r="L384" s="41" t="str">
        <f t="shared" ca="1" si="21"/>
        <v/>
      </c>
      <c r="M384" s="47" t="str">
        <f t="shared" ca="1" si="22"/>
        <v/>
      </c>
      <c r="R384" s="48" t="str">
        <f t="shared" si="23"/>
        <v/>
      </c>
      <c r="S384" s="48" t="str">
        <f t="shared" si="24"/>
        <v/>
      </c>
    </row>
    <row r="385" spans="5:19" x14ac:dyDescent="0.35">
      <c r="E385" s="30" t="s">
        <v>42</v>
      </c>
      <c r="F385" s="46"/>
      <c r="G385" s="46"/>
      <c r="H385" s="46"/>
      <c r="I385" s="46"/>
      <c r="J385" s="46"/>
      <c r="K385" s="46"/>
      <c r="L385" s="41" t="str">
        <f t="shared" ca="1" si="21"/>
        <v/>
      </c>
      <c r="M385" s="47" t="str">
        <f t="shared" ca="1" si="22"/>
        <v/>
      </c>
      <c r="R385" s="48" t="str">
        <f t="shared" si="23"/>
        <v/>
      </c>
      <c r="S385" s="48" t="str">
        <f t="shared" si="24"/>
        <v/>
      </c>
    </row>
    <row r="386" spans="5:19" x14ac:dyDescent="0.35">
      <c r="E386" s="30" t="s">
        <v>42</v>
      </c>
      <c r="F386" s="46"/>
      <c r="G386" s="46"/>
      <c r="H386" s="46"/>
      <c r="I386" s="46"/>
      <c r="J386" s="46"/>
      <c r="K386" s="46"/>
      <c r="L386" s="41" t="str">
        <f t="shared" ca="1" si="21"/>
        <v/>
      </c>
      <c r="M386" s="47" t="str">
        <f t="shared" ca="1" si="22"/>
        <v/>
      </c>
      <c r="R386" s="48" t="str">
        <f t="shared" si="23"/>
        <v/>
      </c>
      <c r="S386" s="48" t="str">
        <f t="shared" si="24"/>
        <v/>
      </c>
    </row>
    <row r="387" spans="5:19" x14ac:dyDescent="0.35">
      <c r="E387" s="30" t="s">
        <v>42</v>
      </c>
      <c r="F387" s="46"/>
      <c r="G387" s="46"/>
      <c r="H387" s="46"/>
      <c r="I387" s="46"/>
      <c r="J387" s="46"/>
      <c r="K387" s="46"/>
      <c r="L387" s="41" t="str">
        <f t="shared" ca="1" si="21"/>
        <v/>
      </c>
      <c r="M387" s="47" t="str">
        <f t="shared" ca="1" si="22"/>
        <v/>
      </c>
      <c r="R387" s="48" t="str">
        <f t="shared" si="23"/>
        <v/>
      </c>
      <c r="S387" s="48" t="str">
        <f t="shared" si="24"/>
        <v/>
      </c>
    </row>
    <row r="388" spans="5:19" x14ac:dyDescent="0.35">
      <c r="E388" s="30" t="s">
        <v>42</v>
      </c>
      <c r="F388" s="46"/>
      <c r="G388" s="46"/>
      <c r="H388" s="46"/>
      <c r="I388" s="46"/>
      <c r="J388" s="46"/>
      <c r="K388" s="46"/>
      <c r="L388" s="41" t="str">
        <f t="shared" ca="1" si="21"/>
        <v/>
      </c>
      <c r="M388" s="47" t="str">
        <f t="shared" ca="1" si="22"/>
        <v/>
      </c>
      <c r="R388" s="48" t="str">
        <f t="shared" si="23"/>
        <v/>
      </c>
      <c r="S388" s="48" t="str">
        <f t="shared" si="24"/>
        <v/>
      </c>
    </row>
    <row r="389" spans="5:19" x14ac:dyDescent="0.35">
      <c r="E389" s="30" t="s">
        <v>42</v>
      </c>
      <c r="F389" s="46"/>
      <c r="G389" s="46"/>
      <c r="H389" s="46"/>
      <c r="I389" s="46"/>
      <c r="J389" s="46"/>
      <c r="K389" s="46"/>
      <c r="L389" s="41" t="str">
        <f t="shared" ca="1" si="21"/>
        <v/>
      </c>
      <c r="M389" s="47" t="str">
        <f t="shared" ca="1" si="22"/>
        <v/>
      </c>
      <c r="R389" s="48" t="str">
        <f t="shared" si="23"/>
        <v/>
      </c>
      <c r="S389" s="48" t="str">
        <f t="shared" si="24"/>
        <v/>
      </c>
    </row>
    <row r="390" spans="5:19" x14ac:dyDescent="0.35">
      <c r="E390" s="30" t="s">
        <v>42</v>
      </c>
      <c r="F390" s="46"/>
      <c r="G390" s="46"/>
      <c r="H390" s="46"/>
      <c r="I390" s="46"/>
      <c r="J390" s="46"/>
      <c r="K390" s="46"/>
      <c r="L390" s="41" t="str">
        <f t="shared" ref="L390:L453" ca="1" si="25">IF(AND(C390&lt;&gt;"",C390&lt;&gt;R390),TODAY(),IF(C390="","",L390))</f>
        <v/>
      </c>
      <c r="M390" s="47" t="str">
        <f t="shared" ref="M390:M453" ca="1" si="26">IF(AND(C390&lt;&gt;"",C390&lt;&gt;S390),NOW(),IF(C390="","",M390))</f>
        <v/>
      </c>
      <c r="R390" s="48" t="str">
        <f t="shared" ref="R390:R453" si="27">IF(C390="","",IF(OR(L390="",AND(ISNUMBER(R390),C390=R390)),R390,C390))</f>
        <v/>
      </c>
      <c r="S390" s="48" t="str">
        <f t="shared" ref="S390:S453" si="28">IF(C390="","",IF(OR(M390="",AND(ISNUMBER(S390),C390=S390)),S390,C390))</f>
        <v/>
      </c>
    </row>
    <row r="391" spans="5:19" x14ac:dyDescent="0.35">
      <c r="E391" s="30" t="s">
        <v>42</v>
      </c>
      <c r="F391" s="46"/>
      <c r="G391" s="46"/>
      <c r="H391" s="46"/>
      <c r="I391" s="46"/>
      <c r="J391" s="46"/>
      <c r="K391" s="46"/>
      <c r="L391" s="41" t="str">
        <f t="shared" ca="1" si="25"/>
        <v/>
      </c>
      <c r="M391" s="47" t="str">
        <f t="shared" ca="1" si="26"/>
        <v/>
      </c>
      <c r="R391" s="48" t="str">
        <f t="shared" si="27"/>
        <v/>
      </c>
      <c r="S391" s="48" t="str">
        <f t="shared" si="28"/>
        <v/>
      </c>
    </row>
    <row r="392" spans="5:19" x14ac:dyDescent="0.35">
      <c r="E392" s="30" t="s">
        <v>42</v>
      </c>
      <c r="F392" s="46"/>
      <c r="G392" s="46"/>
      <c r="H392" s="46"/>
      <c r="I392" s="46"/>
      <c r="J392" s="46"/>
      <c r="K392" s="46"/>
      <c r="L392" s="41" t="str">
        <f t="shared" ca="1" si="25"/>
        <v/>
      </c>
      <c r="M392" s="47" t="str">
        <f t="shared" ca="1" si="26"/>
        <v/>
      </c>
      <c r="R392" s="48" t="str">
        <f t="shared" si="27"/>
        <v/>
      </c>
      <c r="S392" s="48" t="str">
        <f t="shared" si="28"/>
        <v/>
      </c>
    </row>
    <row r="393" spans="5:19" x14ac:dyDescent="0.35">
      <c r="E393" s="30" t="s">
        <v>42</v>
      </c>
      <c r="F393" s="46"/>
      <c r="G393" s="46"/>
      <c r="H393" s="46"/>
      <c r="I393" s="46"/>
      <c r="J393" s="46"/>
      <c r="K393" s="46"/>
      <c r="L393" s="41" t="str">
        <f t="shared" ca="1" si="25"/>
        <v/>
      </c>
      <c r="M393" s="47" t="str">
        <f t="shared" ca="1" si="26"/>
        <v/>
      </c>
      <c r="R393" s="48" t="str">
        <f t="shared" si="27"/>
        <v/>
      </c>
      <c r="S393" s="48" t="str">
        <f t="shared" si="28"/>
        <v/>
      </c>
    </row>
    <row r="394" spans="5:19" x14ac:dyDescent="0.35">
      <c r="E394" s="30" t="s">
        <v>42</v>
      </c>
      <c r="F394" s="46"/>
      <c r="G394" s="46"/>
      <c r="H394" s="46"/>
      <c r="I394" s="46"/>
      <c r="J394" s="46"/>
      <c r="K394" s="46"/>
      <c r="L394" s="41" t="str">
        <f t="shared" ca="1" si="25"/>
        <v/>
      </c>
      <c r="M394" s="47" t="str">
        <f t="shared" ca="1" si="26"/>
        <v/>
      </c>
      <c r="R394" s="48" t="str">
        <f t="shared" si="27"/>
        <v/>
      </c>
      <c r="S394" s="48" t="str">
        <f t="shared" si="28"/>
        <v/>
      </c>
    </row>
    <row r="395" spans="5:19" x14ac:dyDescent="0.35">
      <c r="E395" s="30" t="s">
        <v>42</v>
      </c>
      <c r="F395" s="46"/>
      <c r="G395" s="46"/>
      <c r="H395" s="46"/>
      <c r="I395" s="46"/>
      <c r="J395" s="46"/>
      <c r="K395" s="46"/>
      <c r="L395" s="41" t="str">
        <f t="shared" ca="1" si="25"/>
        <v/>
      </c>
      <c r="M395" s="47" t="str">
        <f t="shared" ca="1" si="26"/>
        <v/>
      </c>
      <c r="R395" s="48" t="str">
        <f t="shared" si="27"/>
        <v/>
      </c>
      <c r="S395" s="48" t="str">
        <f t="shared" si="28"/>
        <v/>
      </c>
    </row>
    <row r="396" spans="5:19" x14ac:dyDescent="0.35">
      <c r="E396" s="30" t="s">
        <v>42</v>
      </c>
      <c r="F396" s="46"/>
      <c r="G396" s="46"/>
      <c r="H396" s="46"/>
      <c r="I396" s="46"/>
      <c r="J396" s="46"/>
      <c r="K396" s="46"/>
      <c r="L396" s="41" t="str">
        <f t="shared" ca="1" si="25"/>
        <v/>
      </c>
      <c r="M396" s="47" t="str">
        <f t="shared" ca="1" si="26"/>
        <v/>
      </c>
      <c r="R396" s="48" t="str">
        <f t="shared" si="27"/>
        <v/>
      </c>
      <c r="S396" s="48" t="str">
        <f t="shared" si="28"/>
        <v/>
      </c>
    </row>
    <row r="397" spans="5:19" x14ac:dyDescent="0.35">
      <c r="E397" s="30" t="s">
        <v>42</v>
      </c>
      <c r="F397" s="46"/>
      <c r="G397" s="46"/>
      <c r="H397" s="46"/>
      <c r="I397" s="46"/>
      <c r="J397" s="46"/>
      <c r="K397" s="46"/>
      <c r="L397" s="41" t="str">
        <f t="shared" ca="1" si="25"/>
        <v/>
      </c>
      <c r="M397" s="47" t="str">
        <f t="shared" ca="1" si="26"/>
        <v/>
      </c>
      <c r="R397" s="48" t="str">
        <f t="shared" si="27"/>
        <v/>
      </c>
      <c r="S397" s="48" t="str">
        <f t="shared" si="28"/>
        <v/>
      </c>
    </row>
    <row r="398" spans="5:19" x14ac:dyDescent="0.35">
      <c r="E398" s="30" t="s">
        <v>42</v>
      </c>
      <c r="F398" s="46"/>
      <c r="G398" s="46"/>
      <c r="H398" s="46"/>
      <c r="I398" s="46"/>
      <c r="J398" s="46"/>
      <c r="K398" s="46"/>
      <c r="L398" s="41" t="str">
        <f t="shared" ca="1" si="25"/>
        <v/>
      </c>
      <c r="M398" s="47" t="str">
        <f t="shared" ca="1" si="26"/>
        <v/>
      </c>
      <c r="R398" s="48" t="str">
        <f t="shared" si="27"/>
        <v/>
      </c>
      <c r="S398" s="48" t="str">
        <f t="shared" si="28"/>
        <v/>
      </c>
    </row>
    <row r="399" spans="5:19" x14ac:dyDescent="0.35">
      <c r="E399" s="30" t="s">
        <v>42</v>
      </c>
      <c r="F399" s="46"/>
      <c r="G399" s="46"/>
      <c r="H399" s="46"/>
      <c r="I399" s="46"/>
      <c r="J399" s="46"/>
      <c r="K399" s="46"/>
      <c r="L399" s="41" t="str">
        <f t="shared" ca="1" si="25"/>
        <v/>
      </c>
      <c r="M399" s="47" t="str">
        <f t="shared" ca="1" si="26"/>
        <v/>
      </c>
      <c r="R399" s="48" t="str">
        <f t="shared" si="27"/>
        <v/>
      </c>
      <c r="S399" s="48" t="str">
        <f t="shared" si="28"/>
        <v/>
      </c>
    </row>
    <row r="400" spans="5:19" x14ac:dyDescent="0.35">
      <c r="E400" s="30" t="s">
        <v>42</v>
      </c>
      <c r="F400" s="46"/>
      <c r="G400" s="46"/>
      <c r="H400" s="46"/>
      <c r="I400" s="46"/>
      <c r="J400" s="46"/>
      <c r="K400" s="46"/>
      <c r="L400" s="41" t="str">
        <f t="shared" ca="1" si="25"/>
        <v/>
      </c>
      <c r="M400" s="47" t="str">
        <f t="shared" ca="1" si="26"/>
        <v/>
      </c>
      <c r="R400" s="48" t="str">
        <f t="shared" si="27"/>
        <v/>
      </c>
      <c r="S400" s="48" t="str">
        <f t="shared" si="28"/>
        <v/>
      </c>
    </row>
    <row r="401" spans="5:19" x14ac:dyDescent="0.35">
      <c r="E401" s="30" t="s">
        <v>42</v>
      </c>
      <c r="F401" s="46"/>
      <c r="G401" s="46"/>
      <c r="H401" s="46"/>
      <c r="I401" s="46"/>
      <c r="J401" s="46"/>
      <c r="K401" s="46"/>
      <c r="L401" s="41" t="str">
        <f t="shared" ca="1" si="25"/>
        <v/>
      </c>
      <c r="M401" s="47" t="str">
        <f t="shared" ca="1" si="26"/>
        <v/>
      </c>
      <c r="R401" s="48" t="str">
        <f t="shared" si="27"/>
        <v/>
      </c>
      <c r="S401" s="48" t="str">
        <f t="shared" si="28"/>
        <v/>
      </c>
    </row>
    <row r="402" spans="5:19" x14ac:dyDescent="0.35">
      <c r="E402" s="30" t="s">
        <v>42</v>
      </c>
      <c r="F402" s="46"/>
      <c r="G402" s="46"/>
      <c r="H402" s="46"/>
      <c r="I402" s="46"/>
      <c r="J402" s="46"/>
      <c r="K402" s="46"/>
      <c r="L402" s="41" t="str">
        <f t="shared" ca="1" si="25"/>
        <v/>
      </c>
      <c r="M402" s="47" t="str">
        <f t="shared" ca="1" si="26"/>
        <v/>
      </c>
      <c r="R402" s="48" t="str">
        <f t="shared" si="27"/>
        <v/>
      </c>
      <c r="S402" s="48" t="str">
        <f t="shared" si="28"/>
        <v/>
      </c>
    </row>
    <row r="403" spans="5:19" x14ac:dyDescent="0.35">
      <c r="E403" s="30" t="s">
        <v>42</v>
      </c>
      <c r="F403" s="46"/>
      <c r="G403" s="46"/>
      <c r="H403" s="46"/>
      <c r="I403" s="46"/>
      <c r="J403" s="46"/>
      <c r="K403" s="46"/>
      <c r="L403" s="41" t="str">
        <f t="shared" ca="1" si="25"/>
        <v/>
      </c>
      <c r="M403" s="47" t="str">
        <f t="shared" ca="1" si="26"/>
        <v/>
      </c>
      <c r="R403" s="48" t="str">
        <f t="shared" si="27"/>
        <v/>
      </c>
      <c r="S403" s="48" t="str">
        <f t="shared" si="28"/>
        <v/>
      </c>
    </row>
    <row r="404" spans="5:19" x14ac:dyDescent="0.35">
      <c r="E404" s="30" t="s">
        <v>42</v>
      </c>
      <c r="F404" s="46"/>
      <c r="G404" s="46"/>
      <c r="H404" s="46"/>
      <c r="I404" s="46"/>
      <c r="J404" s="46"/>
      <c r="K404" s="46"/>
      <c r="L404" s="41" t="str">
        <f t="shared" ca="1" si="25"/>
        <v/>
      </c>
      <c r="M404" s="47" t="str">
        <f t="shared" ca="1" si="26"/>
        <v/>
      </c>
      <c r="R404" s="48" t="str">
        <f t="shared" si="27"/>
        <v/>
      </c>
      <c r="S404" s="48" t="str">
        <f t="shared" si="28"/>
        <v/>
      </c>
    </row>
    <row r="405" spans="5:19" x14ac:dyDescent="0.35">
      <c r="E405" s="30" t="s">
        <v>42</v>
      </c>
      <c r="F405" s="46"/>
      <c r="G405" s="46"/>
      <c r="H405" s="46"/>
      <c r="I405" s="46"/>
      <c r="J405" s="46"/>
      <c r="K405" s="46"/>
      <c r="L405" s="41" t="str">
        <f t="shared" ca="1" si="25"/>
        <v/>
      </c>
      <c r="M405" s="47" t="str">
        <f t="shared" ca="1" si="26"/>
        <v/>
      </c>
      <c r="R405" s="48" t="str">
        <f t="shared" si="27"/>
        <v/>
      </c>
      <c r="S405" s="48" t="str">
        <f t="shared" si="28"/>
        <v/>
      </c>
    </row>
    <row r="406" spans="5:19" x14ac:dyDescent="0.35">
      <c r="E406" s="30" t="s">
        <v>42</v>
      </c>
      <c r="F406" s="46"/>
      <c r="G406" s="46"/>
      <c r="H406" s="46"/>
      <c r="I406" s="46"/>
      <c r="J406" s="46"/>
      <c r="K406" s="46"/>
      <c r="L406" s="41" t="str">
        <f t="shared" ca="1" si="25"/>
        <v/>
      </c>
      <c r="M406" s="47" t="str">
        <f t="shared" ca="1" si="26"/>
        <v/>
      </c>
      <c r="R406" s="48" t="str">
        <f t="shared" si="27"/>
        <v/>
      </c>
      <c r="S406" s="48" t="str">
        <f t="shared" si="28"/>
        <v/>
      </c>
    </row>
    <row r="407" spans="5:19" x14ac:dyDescent="0.35">
      <c r="E407" s="30" t="s">
        <v>42</v>
      </c>
      <c r="F407" s="46"/>
      <c r="G407" s="46"/>
      <c r="H407" s="46"/>
      <c r="I407" s="46"/>
      <c r="J407" s="46"/>
      <c r="K407" s="46"/>
      <c r="L407" s="41" t="str">
        <f t="shared" ca="1" si="25"/>
        <v/>
      </c>
      <c r="M407" s="47" t="str">
        <f t="shared" ca="1" si="26"/>
        <v/>
      </c>
      <c r="R407" s="48" t="str">
        <f t="shared" si="27"/>
        <v/>
      </c>
      <c r="S407" s="48" t="str">
        <f t="shared" si="28"/>
        <v/>
      </c>
    </row>
    <row r="408" spans="5:19" x14ac:dyDescent="0.35">
      <c r="E408" s="30" t="s">
        <v>42</v>
      </c>
      <c r="F408" s="46"/>
      <c r="G408" s="46"/>
      <c r="H408" s="46"/>
      <c r="I408" s="46"/>
      <c r="J408" s="46"/>
      <c r="K408" s="46"/>
      <c r="L408" s="41" t="str">
        <f t="shared" ca="1" si="25"/>
        <v/>
      </c>
      <c r="M408" s="47" t="str">
        <f t="shared" ca="1" si="26"/>
        <v/>
      </c>
      <c r="R408" s="48" t="str">
        <f t="shared" si="27"/>
        <v/>
      </c>
      <c r="S408" s="48" t="str">
        <f t="shared" si="28"/>
        <v/>
      </c>
    </row>
    <row r="409" spans="5:19" x14ac:dyDescent="0.35">
      <c r="E409" s="30" t="s">
        <v>42</v>
      </c>
      <c r="F409" s="46"/>
      <c r="G409" s="46"/>
      <c r="H409" s="46"/>
      <c r="I409" s="46"/>
      <c r="J409" s="46"/>
      <c r="K409" s="46"/>
      <c r="L409" s="41" t="str">
        <f t="shared" ca="1" si="25"/>
        <v/>
      </c>
      <c r="M409" s="47" t="str">
        <f t="shared" ca="1" si="26"/>
        <v/>
      </c>
      <c r="R409" s="48" t="str">
        <f t="shared" si="27"/>
        <v/>
      </c>
      <c r="S409" s="48" t="str">
        <f t="shared" si="28"/>
        <v/>
      </c>
    </row>
    <row r="410" spans="5:19" x14ac:dyDescent="0.35">
      <c r="E410" s="30" t="s">
        <v>42</v>
      </c>
      <c r="F410" s="46"/>
      <c r="G410" s="46"/>
      <c r="H410" s="46"/>
      <c r="I410" s="46"/>
      <c r="J410" s="46"/>
      <c r="K410" s="46"/>
      <c r="L410" s="41" t="str">
        <f t="shared" ca="1" si="25"/>
        <v/>
      </c>
      <c r="M410" s="47" t="str">
        <f t="shared" ca="1" si="26"/>
        <v/>
      </c>
      <c r="R410" s="48" t="str">
        <f t="shared" si="27"/>
        <v/>
      </c>
      <c r="S410" s="48" t="str">
        <f t="shared" si="28"/>
        <v/>
      </c>
    </row>
    <row r="411" spans="5:19" x14ac:dyDescent="0.35">
      <c r="E411" s="30" t="s">
        <v>42</v>
      </c>
      <c r="F411" s="46"/>
      <c r="G411" s="46"/>
      <c r="H411" s="46"/>
      <c r="I411" s="46"/>
      <c r="J411" s="46"/>
      <c r="K411" s="46"/>
      <c r="L411" s="41" t="str">
        <f t="shared" ca="1" si="25"/>
        <v/>
      </c>
      <c r="M411" s="47" t="str">
        <f t="shared" ca="1" si="26"/>
        <v/>
      </c>
      <c r="R411" s="48" t="str">
        <f t="shared" si="27"/>
        <v/>
      </c>
      <c r="S411" s="48" t="str">
        <f t="shared" si="28"/>
        <v/>
      </c>
    </row>
    <row r="412" spans="5:19" x14ac:dyDescent="0.35">
      <c r="E412" s="30" t="s">
        <v>42</v>
      </c>
      <c r="F412" s="46"/>
      <c r="G412" s="46"/>
      <c r="H412" s="46"/>
      <c r="I412" s="46"/>
      <c r="J412" s="46"/>
      <c r="K412" s="46"/>
      <c r="L412" s="41" t="str">
        <f t="shared" ca="1" si="25"/>
        <v/>
      </c>
      <c r="M412" s="47" t="str">
        <f t="shared" ca="1" si="26"/>
        <v/>
      </c>
      <c r="R412" s="48" t="str">
        <f t="shared" si="27"/>
        <v/>
      </c>
      <c r="S412" s="48" t="str">
        <f t="shared" si="28"/>
        <v/>
      </c>
    </row>
    <row r="413" spans="5:19" x14ac:dyDescent="0.35">
      <c r="E413" s="30" t="s">
        <v>42</v>
      </c>
      <c r="F413" s="46"/>
      <c r="G413" s="46"/>
      <c r="H413" s="46"/>
      <c r="I413" s="46"/>
      <c r="J413" s="46"/>
      <c r="K413" s="46"/>
      <c r="L413" s="41" t="str">
        <f t="shared" ca="1" si="25"/>
        <v/>
      </c>
      <c r="M413" s="47" t="str">
        <f t="shared" ca="1" si="26"/>
        <v/>
      </c>
      <c r="R413" s="48" t="str">
        <f t="shared" si="27"/>
        <v/>
      </c>
      <c r="S413" s="48" t="str">
        <f t="shared" si="28"/>
        <v/>
      </c>
    </row>
    <row r="414" spans="5:19" x14ac:dyDescent="0.35">
      <c r="E414" s="30" t="s">
        <v>42</v>
      </c>
      <c r="F414" s="46"/>
      <c r="G414" s="46"/>
      <c r="H414" s="46"/>
      <c r="I414" s="46"/>
      <c r="J414" s="46"/>
      <c r="K414" s="46"/>
      <c r="L414" s="41" t="str">
        <f t="shared" ca="1" si="25"/>
        <v/>
      </c>
      <c r="M414" s="47" t="str">
        <f t="shared" ca="1" si="26"/>
        <v/>
      </c>
      <c r="R414" s="48" t="str">
        <f t="shared" si="27"/>
        <v/>
      </c>
      <c r="S414" s="48" t="str">
        <f t="shared" si="28"/>
        <v/>
      </c>
    </row>
    <row r="415" spans="5:19" x14ac:dyDescent="0.35">
      <c r="E415" s="30" t="s">
        <v>42</v>
      </c>
      <c r="F415" s="46"/>
      <c r="G415" s="46"/>
      <c r="H415" s="46"/>
      <c r="I415" s="46"/>
      <c r="J415" s="46"/>
      <c r="K415" s="46"/>
      <c r="L415" s="41" t="str">
        <f t="shared" ca="1" si="25"/>
        <v/>
      </c>
      <c r="M415" s="47" t="str">
        <f t="shared" ca="1" si="26"/>
        <v/>
      </c>
      <c r="R415" s="48" t="str">
        <f t="shared" si="27"/>
        <v/>
      </c>
      <c r="S415" s="48" t="str">
        <f t="shared" si="28"/>
        <v/>
      </c>
    </row>
    <row r="416" spans="5:19" x14ac:dyDescent="0.35">
      <c r="E416" s="30" t="s">
        <v>42</v>
      </c>
      <c r="F416" s="46"/>
      <c r="G416" s="46"/>
      <c r="H416" s="46"/>
      <c r="I416" s="46"/>
      <c r="J416" s="46"/>
      <c r="K416" s="46"/>
      <c r="L416" s="41" t="str">
        <f t="shared" ca="1" si="25"/>
        <v/>
      </c>
      <c r="M416" s="47" t="str">
        <f t="shared" ca="1" si="26"/>
        <v/>
      </c>
      <c r="R416" s="48" t="str">
        <f t="shared" si="27"/>
        <v/>
      </c>
      <c r="S416" s="48" t="str">
        <f t="shared" si="28"/>
        <v/>
      </c>
    </row>
    <row r="417" spans="5:19" x14ac:dyDescent="0.35">
      <c r="E417" s="30" t="s">
        <v>42</v>
      </c>
      <c r="F417" s="46"/>
      <c r="G417" s="46"/>
      <c r="H417" s="46"/>
      <c r="I417" s="46"/>
      <c r="J417" s="46"/>
      <c r="K417" s="46"/>
      <c r="L417" s="41" t="str">
        <f t="shared" ca="1" si="25"/>
        <v/>
      </c>
      <c r="M417" s="47" t="str">
        <f t="shared" ca="1" si="26"/>
        <v/>
      </c>
      <c r="R417" s="48" t="str">
        <f t="shared" si="27"/>
        <v/>
      </c>
      <c r="S417" s="48" t="str">
        <f t="shared" si="28"/>
        <v/>
      </c>
    </row>
    <row r="418" spans="5:19" x14ac:dyDescent="0.35">
      <c r="E418" s="30" t="s">
        <v>42</v>
      </c>
      <c r="F418" s="46"/>
      <c r="G418" s="46"/>
      <c r="H418" s="46"/>
      <c r="I418" s="46"/>
      <c r="J418" s="46"/>
      <c r="K418" s="46"/>
      <c r="L418" s="41" t="str">
        <f t="shared" ca="1" si="25"/>
        <v/>
      </c>
      <c r="M418" s="47" t="str">
        <f t="shared" ca="1" si="26"/>
        <v/>
      </c>
      <c r="R418" s="48" t="str">
        <f t="shared" si="27"/>
        <v/>
      </c>
      <c r="S418" s="48" t="str">
        <f t="shared" si="28"/>
        <v/>
      </c>
    </row>
    <row r="419" spans="5:19" x14ac:dyDescent="0.35">
      <c r="E419" s="30" t="s">
        <v>42</v>
      </c>
      <c r="F419" s="46"/>
      <c r="G419" s="46"/>
      <c r="H419" s="46"/>
      <c r="I419" s="46"/>
      <c r="J419" s="46"/>
      <c r="K419" s="46"/>
      <c r="L419" s="41" t="str">
        <f t="shared" ca="1" si="25"/>
        <v/>
      </c>
      <c r="M419" s="47" t="str">
        <f t="shared" ca="1" si="26"/>
        <v/>
      </c>
      <c r="R419" s="48" t="str">
        <f t="shared" si="27"/>
        <v/>
      </c>
      <c r="S419" s="48" t="str">
        <f t="shared" si="28"/>
        <v/>
      </c>
    </row>
    <row r="420" spans="5:19" x14ac:dyDescent="0.35">
      <c r="E420" s="30" t="s">
        <v>42</v>
      </c>
      <c r="F420" s="46"/>
      <c r="G420" s="46"/>
      <c r="H420" s="46"/>
      <c r="I420" s="46"/>
      <c r="J420" s="46"/>
      <c r="K420" s="46"/>
      <c r="L420" s="41" t="str">
        <f t="shared" ca="1" si="25"/>
        <v/>
      </c>
      <c r="M420" s="47" t="str">
        <f t="shared" ca="1" si="26"/>
        <v/>
      </c>
      <c r="R420" s="48" t="str">
        <f t="shared" si="27"/>
        <v/>
      </c>
      <c r="S420" s="48" t="str">
        <f t="shared" si="28"/>
        <v/>
      </c>
    </row>
    <row r="421" spans="5:19" x14ac:dyDescent="0.35">
      <c r="E421" s="30" t="s">
        <v>42</v>
      </c>
      <c r="F421" s="46"/>
      <c r="G421" s="46"/>
      <c r="H421" s="46"/>
      <c r="I421" s="46"/>
      <c r="J421" s="46"/>
      <c r="K421" s="46"/>
      <c r="L421" s="41" t="str">
        <f t="shared" ca="1" si="25"/>
        <v/>
      </c>
      <c r="M421" s="47" t="str">
        <f t="shared" ca="1" si="26"/>
        <v/>
      </c>
      <c r="R421" s="48" t="str">
        <f t="shared" si="27"/>
        <v/>
      </c>
      <c r="S421" s="48" t="str">
        <f t="shared" si="28"/>
        <v/>
      </c>
    </row>
    <row r="422" spans="5:19" x14ac:dyDescent="0.35">
      <c r="E422" s="30" t="s">
        <v>42</v>
      </c>
      <c r="F422" s="46"/>
      <c r="G422" s="46"/>
      <c r="H422" s="46"/>
      <c r="I422" s="46"/>
      <c r="J422" s="46"/>
      <c r="K422" s="46"/>
      <c r="L422" s="41" t="str">
        <f t="shared" ca="1" si="25"/>
        <v/>
      </c>
      <c r="M422" s="47" t="str">
        <f t="shared" ca="1" si="26"/>
        <v/>
      </c>
      <c r="R422" s="48" t="str">
        <f t="shared" si="27"/>
        <v/>
      </c>
      <c r="S422" s="48" t="str">
        <f t="shared" si="28"/>
        <v/>
      </c>
    </row>
    <row r="423" spans="5:19" x14ac:dyDescent="0.35">
      <c r="E423" s="30" t="s">
        <v>42</v>
      </c>
      <c r="F423" s="46"/>
      <c r="G423" s="46"/>
      <c r="H423" s="46"/>
      <c r="I423" s="46"/>
      <c r="J423" s="46"/>
      <c r="K423" s="46"/>
      <c r="L423" s="41" t="str">
        <f t="shared" ca="1" si="25"/>
        <v/>
      </c>
      <c r="M423" s="47" t="str">
        <f t="shared" ca="1" si="26"/>
        <v/>
      </c>
      <c r="R423" s="48" t="str">
        <f t="shared" si="27"/>
        <v/>
      </c>
      <c r="S423" s="48" t="str">
        <f t="shared" si="28"/>
        <v/>
      </c>
    </row>
    <row r="424" spans="5:19" x14ac:dyDescent="0.35">
      <c r="E424" s="30" t="s">
        <v>42</v>
      </c>
      <c r="F424" s="46"/>
      <c r="G424" s="46"/>
      <c r="H424" s="46"/>
      <c r="I424" s="46"/>
      <c r="J424" s="46"/>
      <c r="K424" s="46"/>
      <c r="L424" s="41" t="str">
        <f t="shared" ca="1" si="25"/>
        <v/>
      </c>
      <c r="M424" s="47" t="str">
        <f t="shared" ca="1" si="26"/>
        <v/>
      </c>
      <c r="R424" s="48" t="str">
        <f t="shared" si="27"/>
        <v/>
      </c>
      <c r="S424" s="48" t="str">
        <f t="shared" si="28"/>
        <v/>
      </c>
    </row>
    <row r="425" spans="5:19" x14ac:dyDescent="0.35">
      <c r="E425" s="30" t="s">
        <v>42</v>
      </c>
      <c r="F425" s="46"/>
      <c r="G425" s="46"/>
      <c r="H425" s="46"/>
      <c r="I425" s="46"/>
      <c r="J425" s="46"/>
      <c r="K425" s="46"/>
      <c r="L425" s="41" t="str">
        <f t="shared" ca="1" si="25"/>
        <v/>
      </c>
      <c r="M425" s="47" t="str">
        <f t="shared" ca="1" si="26"/>
        <v/>
      </c>
      <c r="R425" s="48" t="str">
        <f t="shared" si="27"/>
        <v/>
      </c>
      <c r="S425" s="48" t="str">
        <f t="shared" si="28"/>
        <v/>
      </c>
    </row>
    <row r="426" spans="5:19" x14ac:dyDescent="0.35">
      <c r="E426" s="30" t="s">
        <v>42</v>
      </c>
      <c r="F426" s="46"/>
      <c r="G426" s="46"/>
      <c r="H426" s="46"/>
      <c r="I426" s="46"/>
      <c r="J426" s="46"/>
      <c r="K426" s="46"/>
      <c r="L426" s="41" t="str">
        <f t="shared" ca="1" si="25"/>
        <v/>
      </c>
      <c r="M426" s="47" t="str">
        <f t="shared" ca="1" si="26"/>
        <v/>
      </c>
      <c r="R426" s="48" t="str">
        <f t="shared" si="27"/>
        <v/>
      </c>
      <c r="S426" s="48" t="str">
        <f t="shared" si="28"/>
        <v/>
      </c>
    </row>
    <row r="427" spans="5:19" x14ac:dyDescent="0.35">
      <c r="E427" s="30" t="s">
        <v>42</v>
      </c>
      <c r="F427" s="46"/>
      <c r="G427" s="46"/>
      <c r="H427" s="46"/>
      <c r="I427" s="46"/>
      <c r="J427" s="46"/>
      <c r="K427" s="46"/>
      <c r="L427" s="41" t="str">
        <f t="shared" ca="1" si="25"/>
        <v/>
      </c>
      <c r="M427" s="47" t="str">
        <f t="shared" ca="1" si="26"/>
        <v/>
      </c>
      <c r="R427" s="48" t="str">
        <f t="shared" si="27"/>
        <v/>
      </c>
      <c r="S427" s="48" t="str">
        <f t="shared" si="28"/>
        <v/>
      </c>
    </row>
    <row r="428" spans="5:19" x14ac:dyDescent="0.35">
      <c r="E428" s="30" t="s">
        <v>42</v>
      </c>
      <c r="F428" s="46"/>
      <c r="G428" s="46"/>
      <c r="H428" s="46"/>
      <c r="I428" s="46"/>
      <c r="J428" s="46"/>
      <c r="K428" s="46"/>
      <c r="L428" s="41" t="str">
        <f t="shared" ca="1" si="25"/>
        <v/>
      </c>
      <c r="M428" s="47" t="str">
        <f t="shared" ca="1" si="26"/>
        <v/>
      </c>
      <c r="R428" s="48" t="str">
        <f t="shared" si="27"/>
        <v/>
      </c>
      <c r="S428" s="48" t="str">
        <f t="shared" si="28"/>
        <v/>
      </c>
    </row>
    <row r="429" spans="5:19" x14ac:dyDescent="0.35">
      <c r="E429" s="30" t="s">
        <v>42</v>
      </c>
      <c r="F429" s="46"/>
      <c r="G429" s="46"/>
      <c r="H429" s="46"/>
      <c r="I429" s="46"/>
      <c r="J429" s="46"/>
      <c r="K429" s="46"/>
      <c r="L429" s="41" t="str">
        <f t="shared" ca="1" si="25"/>
        <v/>
      </c>
      <c r="M429" s="47" t="str">
        <f t="shared" ca="1" si="26"/>
        <v/>
      </c>
      <c r="R429" s="48" t="str">
        <f t="shared" si="27"/>
        <v/>
      </c>
      <c r="S429" s="48" t="str">
        <f t="shared" si="28"/>
        <v/>
      </c>
    </row>
    <row r="430" spans="5:19" x14ac:dyDescent="0.35">
      <c r="E430" s="30" t="s">
        <v>42</v>
      </c>
      <c r="F430" s="46"/>
      <c r="G430" s="46"/>
      <c r="H430" s="46"/>
      <c r="I430" s="46"/>
      <c r="J430" s="46"/>
      <c r="K430" s="46"/>
      <c r="L430" s="41" t="str">
        <f t="shared" ca="1" si="25"/>
        <v/>
      </c>
      <c r="M430" s="47" t="str">
        <f t="shared" ca="1" si="26"/>
        <v/>
      </c>
      <c r="R430" s="48" t="str">
        <f t="shared" si="27"/>
        <v/>
      </c>
      <c r="S430" s="48" t="str">
        <f t="shared" si="28"/>
        <v/>
      </c>
    </row>
    <row r="431" spans="5:19" x14ac:dyDescent="0.35">
      <c r="E431" s="30" t="s">
        <v>42</v>
      </c>
      <c r="F431" s="46"/>
      <c r="G431" s="46"/>
      <c r="H431" s="46"/>
      <c r="I431" s="46"/>
      <c r="J431" s="46"/>
      <c r="K431" s="46"/>
      <c r="L431" s="41" t="str">
        <f t="shared" ca="1" si="25"/>
        <v/>
      </c>
      <c r="M431" s="47" t="str">
        <f t="shared" ca="1" si="26"/>
        <v/>
      </c>
      <c r="R431" s="48" t="str">
        <f t="shared" si="27"/>
        <v/>
      </c>
      <c r="S431" s="48" t="str">
        <f t="shared" si="28"/>
        <v/>
      </c>
    </row>
    <row r="432" spans="5:19" x14ac:dyDescent="0.35">
      <c r="E432" s="30" t="s">
        <v>42</v>
      </c>
      <c r="F432" s="46"/>
      <c r="G432" s="46"/>
      <c r="H432" s="46"/>
      <c r="I432" s="46"/>
      <c r="J432" s="46"/>
      <c r="K432" s="46"/>
      <c r="L432" s="41" t="str">
        <f t="shared" ca="1" si="25"/>
        <v/>
      </c>
      <c r="M432" s="47" t="str">
        <f t="shared" ca="1" si="26"/>
        <v/>
      </c>
      <c r="R432" s="48" t="str">
        <f t="shared" si="27"/>
        <v/>
      </c>
      <c r="S432" s="48" t="str">
        <f t="shared" si="28"/>
        <v/>
      </c>
    </row>
    <row r="433" spans="5:19" x14ac:dyDescent="0.35">
      <c r="E433" s="30" t="s">
        <v>42</v>
      </c>
      <c r="F433" s="46"/>
      <c r="G433" s="46"/>
      <c r="H433" s="46"/>
      <c r="I433" s="46"/>
      <c r="J433" s="46"/>
      <c r="K433" s="46"/>
      <c r="L433" s="41" t="str">
        <f t="shared" ca="1" si="25"/>
        <v/>
      </c>
      <c r="M433" s="47" t="str">
        <f t="shared" ca="1" si="26"/>
        <v/>
      </c>
      <c r="R433" s="48" t="str">
        <f t="shared" si="27"/>
        <v/>
      </c>
      <c r="S433" s="48" t="str">
        <f t="shared" si="28"/>
        <v/>
      </c>
    </row>
    <row r="434" spans="5:19" x14ac:dyDescent="0.35">
      <c r="E434" s="30" t="s">
        <v>42</v>
      </c>
      <c r="F434" s="46"/>
      <c r="G434" s="46"/>
      <c r="H434" s="46"/>
      <c r="I434" s="46"/>
      <c r="J434" s="46"/>
      <c r="K434" s="46"/>
      <c r="L434" s="41" t="str">
        <f t="shared" ca="1" si="25"/>
        <v/>
      </c>
      <c r="M434" s="47" t="str">
        <f t="shared" ca="1" si="26"/>
        <v/>
      </c>
      <c r="R434" s="48" t="str">
        <f t="shared" si="27"/>
        <v/>
      </c>
      <c r="S434" s="48" t="str">
        <f t="shared" si="28"/>
        <v/>
      </c>
    </row>
    <row r="435" spans="5:19" x14ac:dyDescent="0.35">
      <c r="E435" s="30" t="s">
        <v>42</v>
      </c>
      <c r="F435" s="46"/>
      <c r="G435" s="46"/>
      <c r="H435" s="46"/>
      <c r="I435" s="46"/>
      <c r="J435" s="46"/>
      <c r="K435" s="46"/>
      <c r="L435" s="41" t="str">
        <f t="shared" ca="1" si="25"/>
        <v/>
      </c>
      <c r="M435" s="47" t="str">
        <f t="shared" ca="1" si="26"/>
        <v/>
      </c>
      <c r="R435" s="48" t="str">
        <f t="shared" si="27"/>
        <v/>
      </c>
      <c r="S435" s="48" t="str">
        <f t="shared" si="28"/>
        <v/>
      </c>
    </row>
    <row r="436" spans="5:19" x14ac:dyDescent="0.35">
      <c r="E436" s="30" t="s">
        <v>42</v>
      </c>
      <c r="F436" s="46"/>
      <c r="G436" s="46"/>
      <c r="H436" s="46"/>
      <c r="I436" s="46"/>
      <c r="J436" s="46"/>
      <c r="K436" s="46"/>
      <c r="L436" s="41" t="str">
        <f t="shared" ca="1" si="25"/>
        <v/>
      </c>
      <c r="M436" s="47" t="str">
        <f t="shared" ca="1" si="26"/>
        <v/>
      </c>
      <c r="R436" s="48" t="str">
        <f t="shared" si="27"/>
        <v/>
      </c>
      <c r="S436" s="48" t="str">
        <f t="shared" si="28"/>
        <v/>
      </c>
    </row>
    <row r="437" spans="5:19" x14ac:dyDescent="0.35">
      <c r="E437" s="30" t="s">
        <v>42</v>
      </c>
      <c r="F437" s="46"/>
      <c r="G437" s="46"/>
      <c r="H437" s="46"/>
      <c r="I437" s="46"/>
      <c r="J437" s="46"/>
      <c r="K437" s="46"/>
      <c r="L437" s="41" t="str">
        <f t="shared" ca="1" si="25"/>
        <v/>
      </c>
      <c r="M437" s="47" t="str">
        <f t="shared" ca="1" si="26"/>
        <v/>
      </c>
      <c r="R437" s="48" t="str">
        <f t="shared" si="27"/>
        <v/>
      </c>
      <c r="S437" s="48" t="str">
        <f t="shared" si="28"/>
        <v/>
      </c>
    </row>
    <row r="438" spans="5:19" x14ac:dyDescent="0.35">
      <c r="E438" s="30" t="s">
        <v>42</v>
      </c>
      <c r="F438" s="46"/>
      <c r="G438" s="46"/>
      <c r="H438" s="46"/>
      <c r="I438" s="46"/>
      <c r="J438" s="46"/>
      <c r="K438" s="46"/>
      <c r="L438" s="41" t="str">
        <f t="shared" ca="1" si="25"/>
        <v/>
      </c>
      <c r="M438" s="47" t="str">
        <f t="shared" ca="1" si="26"/>
        <v/>
      </c>
      <c r="R438" s="48" t="str">
        <f t="shared" si="27"/>
        <v/>
      </c>
      <c r="S438" s="48" t="str">
        <f t="shared" si="28"/>
        <v/>
      </c>
    </row>
    <row r="439" spans="5:19" x14ac:dyDescent="0.35">
      <c r="E439" s="30" t="s">
        <v>42</v>
      </c>
      <c r="F439" s="46"/>
      <c r="G439" s="46"/>
      <c r="H439" s="46"/>
      <c r="I439" s="46"/>
      <c r="J439" s="46"/>
      <c r="K439" s="46"/>
      <c r="L439" s="41" t="str">
        <f t="shared" ca="1" si="25"/>
        <v/>
      </c>
      <c r="M439" s="47" t="str">
        <f t="shared" ca="1" si="26"/>
        <v/>
      </c>
      <c r="R439" s="48" t="str">
        <f t="shared" si="27"/>
        <v/>
      </c>
      <c r="S439" s="48" t="str">
        <f t="shared" si="28"/>
        <v/>
      </c>
    </row>
    <row r="440" spans="5:19" x14ac:dyDescent="0.35">
      <c r="E440" s="30" t="s">
        <v>42</v>
      </c>
      <c r="F440" s="46"/>
      <c r="G440" s="46"/>
      <c r="H440" s="46"/>
      <c r="I440" s="46"/>
      <c r="J440" s="46"/>
      <c r="K440" s="46"/>
      <c r="L440" s="41" t="str">
        <f t="shared" ca="1" si="25"/>
        <v/>
      </c>
      <c r="M440" s="47" t="str">
        <f t="shared" ca="1" si="26"/>
        <v/>
      </c>
      <c r="R440" s="48" t="str">
        <f t="shared" si="27"/>
        <v/>
      </c>
      <c r="S440" s="48" t="str">
        <f t="shared" si="28"/>
        <v/>
      </c>
    </row>
    <row r="441" spans="5:19" x14ac:dyDescent="0.35">
      <c r="E441" s="30" t="s">
        <v>42</v>
      </c>
      <c r="F441" s="46"/>
      <c r="G441" s="46"/>
      <c r="H441" s="46"/>
      <c r="I441" s="46"/>
      <c r="J441" s="46"/>
      <c r="K441" s="46"/>
      <c r="L441" s="41" t="str">
        <f t="shared" ca="1" si="25"/>
        <v/>
      </c>
      <c r="M441" s="47" t="str">
        <f t="shared" ca="1" si="26"/>
        <v/>
      </c>
      <c r="R441" s="48" t="str">
        <f t="shared" si="27"/>
        <v/>
      </c>
      <c r="S441" s="48" t="str">
        <f t="shared" si="28"/>
        <v/>
      </c>
    </row>
    <row r="442" spans="5:19" x14ac:dyDescent="0.35">
      <c r="E442" s="30" t="s">
        <v>42</v>
      </c>
      <c r="F442" s="46"/>
      <c r="G442" s="46"/>
      <c r="H442" s="46"/>
      <c r="I442" s="46"/>
      <c r="J442" s="46"/>
      <c r="K442" s="46"/>
      <c r="L442" s="41" t="str">
        <f t="shared" ca="1" si="25"/>
        <v/>
      </c>
      <c r="M442" s="47" t="str">
        <f t="shared" ca="1" si="26"/>
        <v/>
      </c>
      <c r="R442" s="48" t="str">
        <f t="shared" si="27"/>
        <v/>
      </c>
      <c r="S442" s="48" t="str">
        <f t="shared" si="28"/>
        <v/>
      </c>
    </row>
    <row r="443" spans="5:19" x14ac:dyDescent="0.35">
      <c r="E443" s="30" t="s">
        <v>42</v>
      </c>
      <c r="F443" s="46"/>
      <c r="G443" s="46"/>
      <c r="H443" s="46"/>
      <c r="I443" s="46"/>
      <c r="J443" s="46"/>
      <c r="K443" s="46"/>
      <c r="L443" s="41" t="str">
        <f t="shared" ca="1" si="25"/>
        <v/>
      </c>
      <c r="M443" s="47" t="str">
        <f t="shared" ca="1" si="26"/>
        <v/>
      </c>
      <c r="R443" s="48" t="str">
        <f t="shared" si="27"/>
        <v/>
      </c>
      <c r="S443" s="48" t="str">
        <f t="shared" si="28"/>
        <v/>
      </c>
    </row>
    <row r="444" spans="5:19" x14ac:dyDescent="0.35">
      <c r="E444" s="30" t="s">
        <v>42</v>
      </c>
      <c r="F444" s="46"/>
      <c r="G444" s="46"/>
      <c r="H444" s="46"/>
      <c r="I444" s="46"/>
      <c r="J444" s="46"/>
      <c r="K444" s="46"/>
      <c r="L444" s="41" t="str">
        <f t="shared" ca="1" si="25"/>
        <v/>
      </c>
      <c r="M444" s="47" t="str">
        <f t="shared" ca="1" si="26"/>
        <v/>
      </c>
      <c r="R444" s="48" t="str">
        <f t="shared" si="27"/>
        <v/>
      </c>
      <c r="S444" s="48" t="str">
        <f t="shared" si="28"/>
        <v/>
      </c>
    </row>
    <row r="445" spans="5:19" x14ac:dyDescent="0.35">
      <c r="E445" s="30" t="s">
        <v>42</v>
      </c>
      <c r="F445" s="46"/>
      <c r="G445" s="46"/>
      <c r="H445" s="46"/>
      <c r="I445" s="46"/>
      <c r="J445" s="46"/>
      <c r="K445" s="46"/>
      <c r="L445" s="41" t="str">
        <f t="shared" ca="1" si="25"/>
        <v/>
      </c>
      <c r="M445" s="47" t="str">
        <f t="shared" ca="1" si="26"/>
        <v/>
      </c>
      <c r="R445" s="48" t="str">
        <f t="shared" si="27"/>
        <v/>
      </c>
      <c r="S445" s="48" t="str">
        <f t="shared" si="28"/>
        <v/>
      </c>
    </row>
    <row r="446" spans="5:19" x14ac:dyDescent="0.35">
      <c r="E446" s="30" t="s">
        <v>42</v>
      </c>
      <c r="F446" s="46"/>
      <c r="G446" s="46"/>
      <c r="H446" s="46"/>
      <c r="I446" s="46"/>
      <c r="J446" s="46"/>
      <c r="K446" s="46"/>
      <c r="L446" s="41" t="str">
        <f t="shared" ca="1" si="25"/>
        <v/>
      </c>
      <c r="M446" s="47" t="str">
        <f t="shared" ca="1" si="26"/>
        <v/>
      </c>
      <c r="R446" s="48" t="str">
        <f t="shared" si="27"/>
        <v/>
      </c>
      <c r="S446" s="48" t="str">
        <f t="shared" si="28"/>
        <v/>
      </c>
    </row>
    <row r="447" spans="5:19" x14ac:dyDescent="0.35">
      <c r="E447" s="30" t="s">
        <v>42</v>
      </c>
      <c r="F447" s="46"/>
      <c r="G447" s="46"/>
      <c r="H447" s="46"/>
      <c r="I447" s="46"/>
      <c r="J447" s="46"/>
      <c r="K447" s="46"/>
      <c r="L447" s="41" t="str">
        <f t="shared" ca="1" si="25"/>
        <v/>
      </c>
      <c r="M447" s="47" t="str">
        <f t="shared" ca="1" si="26"/>
        <v/>
      </c>
      <c r="R447" s="48" t="str">
        <f t="shared" si="27"/>
        <v/>
      </c>
      <c r="S447" s="48" t="str">
        <f t="shared" si="28"/>
        <v/>
      </c>
    </row>
    <row r="448" spans="5:19" x14ac:dyDescent="0.35">
      <c r="E448" s="30" t="s">
        <v>42</v>
      </c>
      <c r="F448" s="46"/>
      <c r="G448" s="46"/>
      <c r="H448" s="46"/>
      <c r="I448" s="46"/>
      <c r="J448" s="46"/>
      <c r="K448" s="46"/>
      <c r="L448" s="41" t="str">
        <f t="shared" ca="1" si="25"/>
        <v/>
      </c>
      <c r="M448" s="47" t="str">
        <f t="shared" ca="1" si="26"/>
        <v/>
      </c>
      <c r="R448" s="48" t="str">
        <f t="shared" si="27"/>
        <v/>
      </c>
      <c r="S448" s="48" t="str">
        <f t="shared" si="28"/>
        <v/>
      </c>
    </row>
    <row r="449" spans="5:19" x14ac:dyDescent="0.35">
      <c r="E449" s="30" t="s">
        <v>42</v>
      </c>
      <c r="F449" s="46"/>
      <c r="G449" s="46"/>
      <c r="H449" s="46"/>
      <c r="I449" s="46"/>
      <c r="J449" s="46"/>
      <c r="K449" s="46"/>
      <c r="L449" s="41" t="str">
        <f t="shared" ca="1" si="25"/>
        <v/>
      </c>
      <c r="M449" s="47" t="str">
        <f t="shared" ca="1" si="26"/>
        <v/>
      </c>
      <c r="R449" s="48" t="str">
        <f t="shared" si="27"/>
        <v/>
      </c>
      <c r="S449" s="48" t="str">
        <f t="shared" si="28"/>
        <v/>
      </c>
    </row>
    <row r="450" spans="5:19" x14ac:dyDescent="0.35">
      <c r="E450" s="30" t="s">
        <v>42</v>
      </c>
      <c r="F450" s="46"/>
      <c r="G450" s="46"/>
      <c r="H450" s="46"/>
      <c r="I450" s="46"/>
      <c r="J450" s="46"/>
      <c r="K450" s="46"/>
      <c r="L450" s="41" t="str">
        <f t="shared" ca="1" si="25"/>
        <v/>
      </c>
      <c r="M450" s="47" t="str">
        <f t="shared" ca="1" si="26"/>
        <v/>
      </c>
      <c r="R450" s="48" t="str">
        <f t="shared" si="27"/>
        <v/>
      </c>
      <c r="S450" s="48" t="str">
        <f t="shared" si="28"/>
        <v/>
      </c>
    </row>
    <row r="451" spans="5:19" x14ac:dyDescent="0.35">
      <c r="E451" s="30" t="s">
        <v>42</v>
      </c>
      <c r="F451" s="46"/>
      <c r="G451" s="46"/>
      <c r="H451" s="46"/>
      <c r="I451" s="46"/>
      <c r="J451" s="46"/>
      <c r="K451" s="46"/>
      <c r="L451" s="41" t="str">
        <f t="shared" ca="1" si="25"/>
        <v/>
      </c>
      <c r="M451" s="47" t="str">
        <f t="shared" ca="1" si="26"/>
        <v/>
      </c>
      <c r="R451" s="48" t="str">
        <f t="shared" si="27"/>
        <v/>
      </c>
      <c r="S451" s="48" t="str">
        <f t="shared" si="28"/>
        <v/>
      </c>
    </row>
    <row r="452" spans="5:19" x14ac:dyDescent="0.35">
      <c r="E452" s="30" t="s">
        <v>42</v>
      </c>
      <c r="F452" s="46"/>
      <c r="G452" s="46"/>
      <c r="H452" s="46"/>
      <c r="I452" s="46"/>
      <c r="J452" s="46"/>
      <c r="K452" s="46"/>
      <c r="L452" s="41" t="str">
        <f t="shared" ca="1" si="25"/>
        <v/>
      </c>
      <c r="M452" s="47" t="str">
        <f t="shared" ca="1" si="26"/>
        <v/>
      </c>
      <c r="R452" s="48" t="str">
        <f t="shared" si="27"/>
        <v/>
      </c>
      <c r="S452" s="48" t="str">
        <f t="shared" si="28"/>
        <v/>
      </c>
    </row>
    <row r="453" spans="5:19" x14ac:dyDescent="0.35">
      <c r="E453" s="30" t="s">
        <v>42</v>
      </c>
      <c r="F453" s="46"/>
      <c r="G453" s="46"/>
      <c r="H453" s="46"/>
      <c r="I453" s="46"/>
      <c r="J453" s="46"/>
      <c r="K453" s="46"/>
      <c r="L453" s="41" t="str">
        <f t="shared" ca="1" si="25"/>
        <v/>
      </c>
      <c r="M453" s="47" t="str">
        <f t="shared" ca="1" si="26"/>
        <v/>
      </c>
      <c r="R453" s="48" t="str">
        <f t="shared" si="27"/>
        <v/>
      </c>
      <c r="S453" s="48" t="str">
        <f t="shared" si="28"/>
        <v/>
      </c>
    </row>
    <row r="454" spans="5:19" x14ac:dyDescent="0.35">
      <c r="E454" s="30" t="s">
        <v>42</v>
      </c>
      <c r="F454" s="46"/>
      <c r="G454" s="46"/>
      <c r="H454" s="46"/>
      <c r="I454" s="46"/>
      <c r="J454" s="46"/>
      <c r="K454" s="46"/>
      <c r="L454" s="41" t="str">
        <f t="shared" ref="L454:L517" ca="1" si="29">IF(AND(C454&lt;&gt;"",C454&lt;&gt;R454),TODAY(),IF(C454="","",L454))</f>
        <v/>
      </c>
      <c r="M454" s="47" t="str">
        <f t="shared" ref="M454:M517" ca="1" si="30">IF(AND(C454&lt;&gt;"",C454&lt;&gt;S454),NOW(),IF(C454="","",M454))</f>
        <v/>
      </c>
      <c r="R454" s="48" t="str">
        <f t="shared" ref="R454:R517" si="31">IF(C454="","",IF(OR(L454="",AND(ISNUMBER(R454),C454=R454)),R454,C454))</f>
        <v/>
      </c>
      <c r="S454" s="48" t="str">
        <f t="shared" ref="S454:S517" si="32">IF(C454="","",IF(OR(M454="",AND(ISNUMBER(S454),C454=S454)),S454,C454))</f>
        <v/>
      </c>
    </row>
    <row r="455" spans="5:19" x14ac:dyDescent="0.35">
      <c r="E455" s="30" t="s">
        <v>42</v>
      </c>
      <c r="F455" s="46"/>
      <c r="G455" s="46"/>
      <c r="H455" s="46"/>
      <c r="I455" s="46"/>
      <c r="J455" s="46"/>
      <c r="K455" s="46"/>
      <c r="L455" s="41" t="str">
        <f t="shared" ca="1" si="29"/>
        <v/>
      </c>
      <c r="M455" s="47" t="str">
        <f t="shared" ca="1" si="30"/>
        <v/>
      </c>
      <c r="R455" s="48" t="str">
        <f t="shared" si="31"/>
        <v/>
      </c>
      <c r="S455" s="48" t="str">
        <f t="shared" si="32"/>
        <v/>
      </c>
    </row>
    <row r="456" spans="5:19" x14ac:dyDescent="0.35">
      <c r="E456" s="30" t="s">
        <v>42</v>
      </c>
      <c r="F456" s="46"/>
      <c r="G456" s="46"/>
      <c r="H456" s="46"/>
      <c r="I456" s="46"/>
      <c r="J456" s="46"/>
      <c r="K456" s="46"/>
      <c r="L456" s="41" t="str">
        <f t="shared" ca="1" si="29"/>
        <v/>
      </c>
      <c r="M456" s="47" t="str">
        <f t="shared" ca="1" si="30"/>
        <v/>
      </c>
      <c r="R456" s="48" t="str">
        <f t="shared" si="31"/>
        <v/>
      </c>
      <c r="S456" s="48" t="str">
        <f t="shared" si="32"/>
        <v/>
      </c>
    </row>
    <row r="457" spans="5:19" x14ac:dyDescent="0.35">
      <c r="E457" s="30" t="s">
        <v>42</v>
      </c>
      <c r="F457" s="46"/>
      <c r="G457" s="46"/>
      <c r="H457" s="46"/>
      <c r="I457" s="46"/>
      <c r="J457" s="46"/>
      <c r="K457" s="46"/>
      <c r="L457" s="41" t="str">
        <f t="shared" ca="1" si="29"/>
        <v/>
      </c>
      <c r="M457" s="47" t="str">
        <f t="shared" ca="1" si="30"/>
        <v/>
      </c>
      <c r="R457" s="48" t="str">
        <f t="shared" si="31"/>
        <v/>
      </c>
      <c r="S457" s="48" t="str">
        <f t="shared" si="32"/>
        <v/>
      </c>
    </row>
    <row r="458" spans="5:19" x14ac:dyDescent="0.35">
      <c r="E458" s="30" t="s">
        <v>42</v>
      </c>
      <c r="F458" s="46"/>
      <c r="G458" s="46"/>
      <c r="H458" s="46"/>
      <c r="I458" s="46"/>
      <c r="J458" s="46"/>
      <c r="K458" s="46"/>
      <c r="L458" s="41" t="str">
        <f t="shared" ca="1" si="29"/>
        <v/>
      </c>
      <c r="M458" s="47" t="str">
        <f t="shared" ca="1" si="30"/>
        <v/>
      </c>
      <c r="R458" s="48" t="str">
        <f t="shared" si="31"/>
        <v/>
      </c>
      <c r="S458" s="48" t="str">
        <f t="shared" si="32"/>
        <v/>
      </c>
    </row>
    <row r="459" spans="5:19" x14ac:dyDescent="0.35">
      <c r="E459" s="30" t="s">
        <v>42</v>
      </c>
      <c r="F459" s="46"/>
      <c r="G459" s="46"/>
      <c r="H459" s="46"/>
      <c r="I459" s="46"/>
      <c r="J459" s="46"/>
      <c r="K459" s="46"/>
      <c r="L459" s="41" t="str">
        <f t="shared" ca="1" si="29"/>
        <v/>
      </c>
      <c r="M459" s="47" t="str">
        <f t="shared" ca="1" si="30"/>
        <v/>
      </c>
      <c r="R459" s="48" t="str">
        <f t="shared" si="31"/>
        <v/>
      </c>
      <c r="S459" s="48" t="str">
        <f t="shared" si="32"/>
        <v/>
      </c>
    </row>
    <row r="460" spans="5:19" x14ac:dyDescent="0.35">
      <c r="E460" s="30" t="s">
        <v>42</v>
      </c>
      <c r="F460" s="46"/>
      <c r="G460" s="46"/>
      <c r="H460" s="46"/>
      <c r="I460" s="46"/>
      <c r="J460" s="46"/>
      <c r="K460" s="46"/>
      <c r="L460" s="41" t="str">
        <f t="shared" ca="1" si="29"/>
        <v/>
      </c>
      <c r="M460" s="47" t="str">
        <f t="shared" ca="1" si="30"/>
        <v/>
      </c>
      <c r="R460" s="48" t="str">
        <f t="shared" si="31"/>
        <v/>
      </c>
      <c r="S460" s="48" t="str">
        <f t="shared" si="32"/>
        <v/>
      </c>
    </row>
    <row r="461" spans="5:19" x14ac:dyDescent="0.35">
      <c r="E461" s="30" t="s">
        <v>42</v>
      </c>
      <c r="F461" s="46"/>
      <c r="G461" s="46"/>
      <c r="H461" s="46"/>
      <c r="I461" s="46"/>
      <c r="J461" s="46"/>
      <c r="K461" s="46"/>
      <c r="L461" s="41" t="str">
        <f t="shared" ca="1" si="29"/>
        <v/>
      </c>
      <c r="M461" s="47" t="str">
        <f t="shared" ca="1" si="30"/>
        <v/>
      </c>
      <c r="R461" s="48" t="str">
        <f t="shared" si="31"/>
        <v/>
      </c>
      <c r="S461" s="48" t="str">
        <f t="shared" si="32"/>
        <v/>
      </c>
    </row>
    <row r="462" spans="5:19" x14ac:dyDescent="0.35">
      <c r="E462" s="30" t="s">
        <v>42</v>
      </c>
      <c r="F462" s="46"/>
      <c r="G462" s="46"/>
      <c r="H462" s="46"/>
      <c r="I462" s="46"/>
      <c r="J462" s="46"/>
      <c r="K462" s="46"/>
      <c r="L462" s="41" t="str">
        <f t="shared" ca="1" si="29"/>
        <v/>
      </c>
      <c r="M462" s="47" t="str">
        <f t="shared" ca="1" si="30"/>
        <v/>
      </c>
      <c r="R462" s="48" t="str">
        <f t="shared" si="31"/>
        <v/>
      </c>
      <c r="S462" s="48" t="str">
        <f t="shared" si="32"/>
        <v/>
      </c>
    </row>
    <row r="463" spans="5:19" x14ac:dyDescent="0.35">
      <c r="E463" s="30" t="s">
        <v>42</v>
      </c>
      <c r="F463" s="46"/>
      <c r="G463" s="46"/>
      <c r="H463" s="46"/>
      <c r="I463" s="46"/>
      <c r="J463" s="46"/>
      <c r="K463" s="46"/>
      <c r="L463" s="41" t="str">
        <f t="shared" ca="1" si="29"/>
        <v/>
      </c>
      <c r="M463" s="47" t="str">
        <f t="shared" ca="1" si="30"/>
        <v/>
      </c>
      <c r="R463" s="48" t="str">
        <f t="shared" si="31"/>
        <v/>
      </c>
      <c r="S463" s="48" t="str">
        <f t="shared" si="32"/>
        <v/>
      </c>
    </row>
    <row r="464" spans="5:19" x14ac:dyDescent="0.35">
      <c r="E464" s="30" t="s">
        <v>42</v>
      </c>
      <c r="F464" s="46"/>
      <c r="G464" s="46"/>
      <c r="H464" s="46"/>
      <c r="I464" s="46"/>
      <c r="J464" s="46"/>
      <c r="K464" s="46"/>
      <c r="L464" s="41" t="str">
        <f t="shared" ca="1" si="29"/>
        <v/>
      </c>
      <c r="M464" s="47" t="str">
        <f t="shared" ca="1" si="30"/>
        <v/>
      </c>
      <c r="R464" s="48" t="str">
        <f t="shared" si="31"/>
        <v/>
      </c>
      <c r="S464" s="48" t="str">
        <f t="shared" si="32"/>
        <v/>
      </c>
    </row>
    <row r="465" spans="5:19" x14ac:dyDescent="0.35">
      <c r="E465" s="30" t="s">
        <v>42</v>
      </c>
      <c r="F465" s="46"/>
      <c r="G465" s="46"/>
      <c r="H465" s="46"/>
      <c r="I465" s="46"/>
      <c r="J465" s="46"/>
      <c r="K465" s="46"/>
      <c r="L465" s="41" t="str">
        <f t="shared" ca="1" si="29"/>
        <v/>
      </c>
      <c r="M465" s="47" t="str">
        <f t="shared" ca="1" si="30"/>
        <v/>
      </c>
      <c r="R465" s="48" t="str">
        <f t="shared" si="31"/>
        <v/>
      </c>
      <c r="S465" s="48" t="str">
        <f t="shared" si="32"/>
        <v/>
      </c>
    </row>
    <row r="466" spans="5:19" x14ac:dyDescent="0.35">
      <c r="E466" s="30" t="s">
        <v>42</v>
      </c>
      <c r="F466" s="46"/>
      <c r="G466" s="46"/>
      <c r="H466" s="46"/>
      <c r="I466" s="46"/>
      <c r="J466" s="46"/>
      <c r="K466" s="46"/>
      <c r="L466" s="41" t="str">
        <f t="shared" ca="1" si="29"/>
        <v/>
      </c>
      <c r="M466" s="47" t="str">
        <f t="shared" ca="1" si="30"/>
        <v/>
      </c>
      <c r="R466" s="48" t="str">
        <f t="shared" si="31"/>
        <v/>
      </c>
      <c r="S466" s="48" t="str">
        <f t="shared" si="32"/>
        <v/>
      </c>
    </row>
    <row r="467" spans="5:19" x14ac:dyDescent="0.35">
      <c r="E467" s="30" t="s">
        <v>42</v>
      </c>
      <c r="F467" s="46"/>
      <c r="G467" s="46"/>
      <c r="H467" s="46"/>
      <c r="I467" s="46"/>
      <c r="J467" s="46"/>
      <c r="K467" s="46"/>
      <c r="L467" s="41" t="str">
        <f t="shared" ca="1" si="29"/>
        <v/>
      </c>
      <c r="M467" s="47" t="str">
        <f t="shared" ca="1" si="30"/>
        <v/>
      </c>
      <c r="R467" s="48" t="str">
        <f t="shared" si="31"/>
        <v/>
      </c>
      <c r="S467" s="48" t="str">
        <f t="shared" si="32"/>
        <v/>
      </c>
    </row>
    <row r="468" spans="5:19" x14ac:dyDescent="0.35">
      <c r="E468" s="30" t="s">
        <v>42</v>
      </c>
      <c r="F468" s="46"/>
      <c r="G468" s="46"/>
      <c r="H468" s="46"/>
      <c r="I468" s="46"/>
      <c r="J468" s="46"/>
      <c r="K468" s="46"/>
      <c r="L468" s="41" t="str">
        <f t="shared" ca="1" si="29"/>
        <v/>
      </c>
      <c r="M468" s="47" t="str">
        <f t="shared" ca="1" si="30"/>
        <v/>
      </c>
      <c r="R468" s="48" t="str">
        <f t="shared" si="31"/>
        <v/>
      </c>
      <c r="S468" s="48" t="str">
        <f t="shared" si="32"/>
        <v/>
      </c>
    </row>
    <row r="469" spans="5:19" x14ac:dyDescent="0.35">
      <c r="E469" s="30" t="s">
        <v>42</v>
      </c>
      <c r="F469" s="46"/>
      <c r="G469" s="46"/>
      <c r="H469" s="46"/>
      <c r="I469" s="46"/>
      <c r="J469" s="46"/>
      <c r="K469" s="46"/>
      <c r="L469" s="41" t="str">
        <f t="shared" ca="1" si="29"/>
        <v/>
      </c>
      <c r="M469" s="47" t="str">
        <f t="shared" ca="1" si="30"/>
        <v/>
      </c>
      <c r="R469" s="48" t="str">
        <f t="shared" si="31"/>
        <v/>
      </c>
      <c r="S469" s="48" t="str">
        <f t="shared" si="32"/>
        <v/>
      </c>
    </row>
    <row r="470" spans="5:19" x14ac:dyDescent="0.35">
      <c r="E470" s="30" t="s">
        <v>42</v>
      </c>
      <c r="F470" s="46"/>
      <c r="G470" s="46"/>
      <c r="H470" s="46"/>
      <c r="I470" s="46"/>
      <c r="J470" s="46"/>
      <c r="K470" s="46"/>
      <c r="L470" s="41" t="str">
        <f t="shared" ca="1" si="29"/>
        <v/>
      </c>
      <c r="M470" s="47" t="str">
        <f t="shared" ca="1" si="30"/>
        <v/>
      </c>
      <c r="R470" s="48" t="str">
        <f t="shared" si="31"/>
        <v/>
      </c>
      <c r="S470" s="48" t="str">
        <f t="shared" si="32"/>
        <v/>
      </c>
    </row>
    <row r="471" spans="5:19" x14ac:dyDescent="0.35">
      <c r="E471" s="30" t="s">
        <v>42</v>
      </c>
      <c r="F471" s="46"/>
      <c r="G471" s="46"/>
      <c r="H471" s="46"/>
      <c r="I471" s="46"/>
      <c r="J471" s="46"/>
      <c r="K471" s="46"/>
      <c r="L471" s="41" t="str">
        <f t="shared" ca="1" si="29"/>
        <v/>
      </c>
      <c r="M471" s="47" t="str">
        <f t="shared" ca="1" si="30"/>
        <v/>
      </c>
      <c r="R471" s="48" t="str">
        <f t="shared" si="31"/>
        <v/>
      </c>
      <c r="S471" s="48" t="str">
        <f t="shared" si="32"/>
        <v/>
      </c>
    </row>
    <row r="472" spans="5:19" x14ac:dyDescent="0.35">
      <c r="E472" s="30" t="s">
        <v>42</v>
      </c>
      <c r="F472" s="46"/>
      <c r="G472" s="46"/>
      <c r="H472" s="46"/>
      <c r="I472" s="46"/>
      <c r="J472" s="46"/>
      <c r="K472" s="46"/>
      <c r="L472" s="41" t="str">
        <f t="shared" ca="1" si="29"/>
        <v/>
      </c>
      <c r="M472" s="47" t="str">
        <f t="shared" ca="1" si="30"/>
        <v/>
      </c>
      <c r="R472" s="48" t="str">
        <f t="shared" si="31"/>
        <v/>
      </c>
      <c r="S472" s="48" t="str">
        <f t="shared" si="32"/>
        <v/>
      </c>
    </row>
    <row r="473" spans="5:19" x14ac:dyDescent="0.35">
      <c r="E473" s="30" t="s">
        <v>42</v>
      </c>
      <c r="F473" s="46"/>
      <c r="G473" s="46"/>
      <c r="H473" s="46"/>
      <c r="I473" s="46"/>
      <c r="J473" s="46"/>
      <c r="K473" s="46"/>
      <c r="L473" s="41" t="str">
        <f t="shared" ca="1" si="29"/>
        <v/>
      </c>
      <c r="M473" s="47" t="str">
        <f t="shared" ca="1" si="30"/>
        <v/>
      </c>
      <c r="R473" s="48" t="str">
        <f t="shared" si="31"/>
        <v/>
      </c>
      <c r="S473" s="48" t="str">
        <f t="shared" si="32"/>
        <v/>
      </c>
    </row>
    <row r="474" spans="5:19" x14ac:dyDescent="0.35">
      <c r="E474" s="30" t="s">
        <v>42</v>
      </c>
      <c r="F474" s="46"/>
      <c r="G474" s="46"/>
      <c r="H474" s="46"/>
      <c r="I474" s="46"/>
      <c r="J474" s="46"/>
      <c r="K474" s="46"/>
      <c r="L474" s="41" t="str">
        <f t="shared" ca="1" si="29"/>
        <v/>
      </c>
      <c r="M474" s="47" t="str">
        <f t="shared" ca="1" si="30"/>
        <v/>
      </c>
      <c r="R474" s="48" t="str">
        <f t="shared" si="31"/>
        <v/>
      </c>
      <c r="S474" s="48" t="str">
        <f t="shared" si="32"/>
        <v/>
      </c>
    </row>
    <row r="475" spans="5:19" x14ac:dyDescent="0.35">
      <c r="E475" s="30" t="s">
        <v>42</v>
      </c>
      <c r="F475" s="46"/>
      <c r="G475" s="46"/>
      <c r="H475" s="46"/>
      <c r="I475" s="46"/>
      <c r="J475" s="46"/>
      <c r="K475" s="46"/>
      <c r="L475" s="41" t="str">
        <f t="shared" ca="1" si="29"/>
        <v/>
      </c>
      <c r="M475" s="47" t="str">
        <f t="shared" ca="1" si="30"/>
        <v/>
      </c>
      <c r="R475" s="48" t="str">
        <f t="shared" si="31"/>
        <v/>
      </c>
      <c r="S475" s="48" t="str">
        <f t="shared" si="32"/>
        <v/>
      </c>
    </row>
    <row r="476" spans="5:19" x14ac:dyDescent="0.35">
      <c r="E476" s="30" t="s">
        <v>42</v>
      </c>
      <c r="F476" s="46"/>
      <c r="G476" s="46"/>
      <c r="H476" s="46"/>
      <c r="I476" s="46"/>
      <c r="J476" s="46"/>
      <c r="K476" s="46"/>
      <c r="L476" s="41" t="str">
        <f t="shared" ca="1" si="29"/>
        <v/>
      </c>
      <c r="M476" s="47" t="str">
        <f t="shared" ca="1" si="30"/>
        <v/>
      </c>
      <c r="R476" s="48" t="str">
        <f t="shared" si="31"/>
        <v/>
      </c>
      <c r="S476" s="48" t="str">
        <f t="shared" si="32"/>
        <v/>
      </c>
    </row>
    <row r="477" spans="5:19" x14ac:dyDescent="0.35">
      <c r="E477" s="30" t="s">
        <v>42</v>
      </c>
      <c r="F477" s="46"/>
      <c r="G477" s="46"/>
      <c r="H477" s="46"/>
      <c r="I477" s="46"/>
      <c r="J477" s="46"/>
      <c r="K477" s="46"/>
      <c r="L477" s="41" t="str">
        <f t="shared" ca="1" si="29"/>
        <v/>
      </c>
      <c r="M477" s="47" t="str">
        <f t="shared" ca="1" si="30"/>
        <v/>
      </c>
      <c r="R477" s="48" t="str">
        <f t="shared" si="31"/>
        <v/>
      </c>
      <c r="S477" s="48" t="str">
        <f t="shared" si="32"/>
        <v/>
      </c>
    </row>
    <row r="478" spans="5:19" x14ac:dyDescent="0.35">
      <c r="E478" s="30" t="s">
        <v>42</v>
      </c>
      <c r="F478" s="46"/>
      <c r="G478" s="46"/>
      <c r="H478" s="46"/>
      <c r="I478" s="46"/>
      <c r="J478" s="46"/>
      <c r="K478" s="46"/>
      <c r="L478" s="41" t="str">
        <f t="shared" ca="1" si="29"/>
        <v/>
      </c>
      <c r="M478" s="47" t="str">
        <f t="shared" ca="1" si="30"/>
        <v/>
      </c>
      <c r="R478" s="48" t="str">
        <f t="shared" si="31"/>
        <v/>
      </c>
      <c r="S478" s="48" t="str">
        <f t="shared" si="32"/>
        <v/>
      </c>
    </row>
    <row r="479" spans="5:19" x14ac:dyDescent="0.35">
      <c r="E479" s="30" t="s">
        <v>42</v>
      </c>
      <c r="F479" s="46"/>
      <c r="G479" s="46"/>
      <c r="H479" s="46"/>
      <c r="I479" s="46"/>
      <c r="J479" s="46"/>
      <c r="K479" s="46"/>
      <c r="L479" s="41" t="str">
        <f t="shared" ca="1" si="29"/>
        <v/>
      </c>
      <c r="M479" s="47" t="str">
        <f t="shared" ca="1" si="30"/>
        <v/>
      </c>
      <c r="R479" s="48" t="str">
        <f t="shared" si="31"/>
        <v/>
      </c>
      <c r="S479" s="48" t="str">
        <f t="shared" si="32"/>
        <v/>
      </c>
    </row>
    <row r="480" spans="5:19" x14ac:dyDescent="0.35">
      <c r="E480" s="30" t="s">
        <v>42</v>
      </c>
      <c r="F480" s="46"/>
      <c r="G480" s="46"/>
      <c r="H480" s="46"/>
      <c r="I480" s="46"/>
      <c r="J480" s="46"/>
      <c r="K480" s="46"/>
      <c r="L480" s="41" t="str">
        <f t="shared" ca="1" si="29"/>
        <v/>
      </c>
      <c r="M480" s="47" t="str">
        <f t="shared" ca="1" si="30"/>
        <v/>
      </c>
      <c r="R480" s="48" t="str">
        <f t="shared" si="31"/>
        <v/>
      </c>
      <c r="S480" s="48" t="str">
        <f t="shared" si="32"/>
        <v/>
      </c>
    </row>
    <row r="481" spans="5:19" x14ac:dyDescent="0.35">
      <c r="E481" s="30" t="s">
        <v>42</v>
      </c>
      <c r="F481" s="46"/>
      <c r="G481" s="46"/>
      <c r="H481" s="46"/>
      <c r="I481" s="46"/>
      <c r="J481" s="46"/>
      <c r="K481" s="46"/>
      <c r="L481" s="41" t="str">
        <f t="shared" ca="1" si="29"/>
        <v/>
      </c>
      <c r="M481" s="47" t="str">
        <f t="shared" ca="1" si="30"/>
        <v/>
      </c>
      <c r="R481" s="48" t="str">
        <f t="shared" si="31"/>
        <v/>
      </c>
      <c r="S481" s="48" t="str">
        <f t="shared" si="32"/>
        <v/>
      </c>
    </row>
    <row r="482" spans="5:19" x14ac:dyDescent="0.35">
      <c r="E482" s="30" t="s">
        <v>42</v>
      </c>
      <c r="F482" s="46"/>
      <c r="G482" s="46"/>
      <c r="H482" s="46"/>
      <c r="I482" s="46"/>
      <c r="J482" s="46"/>
      <c r="K482" s="46"/>
      <c r="L482" s="41" t="str">
        <f t="shared" ca="1" si="29"/>
        <v/>
      </c>
      <c r="M482" s="47" t="str">
        <f t="shared" ca="1" si="30"/>
        <v/>
      </c>
      <c r="R482" s="48" t="str">
        <f t="shared" si="31"/>
        <v/>
      </c>
      <c r="S482" s="48" t="str">
        <f t="shared" si="32"/>
        <v/>
      </c>
    </row>
    <row r="483" spans="5:19" x14ac:dyDescent="0.35">
      <c r="E483" s="30" t="s">
        <v>42</v>
      </c>
      <c r="F483" s="46"/>
      <c r="G483" s="46"/>
      <c r="H483" s="46"/>
      <c r="I483" s="46"/>
      <c r="J483" s="46"/>
      <c r="K483" s="46"/>
      <c r="L483" s="41" t="str">
        <f t="shared" ca="1" si="29"/>
        <v/>
      </c>
      <c r="M483" s="47" t="str">
        <f t="shared" ca="1" si="30"/>
        <v/>
      </c>
      <c r="R483" s="48" t="str">
        <f t="shared" si="31"/>
        <v/>
      </c>
      <c r="S483" s="48" t="str">
        <f t="shared" si="32"/>
        <v/>
      </c>
    </row>
    <row r="484" spans="5:19" x14ac:dyDescent="0.35">
      <c r="E484" s="30" t="s">
        <v>42</v>
      </c>
      <c r="F484" s="46"/>
      <c r="G484" s="46"/>
      <c r="H484" s="46"/>
      <c r="I484" s="46"/>
      <c r="J484" s="46"/>
      <c r="K484" s="46"/>
      <c r="L484" s="41" t="str">
        <f t="shared" ca="1" si="29"/>
        <v/>
      </c>
      <c r="M484" s="47" t="str">
        <f t="shared" ca="1" si="30"/>
        <v/>
      </c>
      <c r="R484" s="48" t="str">
        <f t="shared" si="31"/>
        <v/>
      </c>
      <c r="S484" s="48" t="str">
        <f t="shared" si="32"/>
        <v/>
      </c>
    </row>
    <row r="485" spans="5:19" x14ac:dyDescent="0.35">
      <c r="E485" s="30" t="s">
        <v>42</v>
      </c>
      <c r="F485" s="46"/>
      <c r="G485" s="46"/>
      <c r="H485" s="46"/>
      <c r="I485" s="46"/>
      <c r="J485" s="46"/>
      <c r="K485" s="46"/>
      <c r="L485" s="41" t="str">
        <f t="shared" ca="1" si="29"/>
        <v/>
      </c>
      <c r="M485" s="47" t="str">
        <f t="shared" ca="1" si="30"/>
        <v/>
      </c>
      <c r="R485" s="48" t="str">
        <f t="shared" si="31"/>
        <v/>
      </c>
      <c r="S485" s="48" t="str">
        <f t="shared" si="32"/>
        <v/>
      </c>
    </row>
    <row r="486" spans="5:19" x14ac:dyDescent="0.35">
      <c r="E486" s="30" t="s">
        <v>42</v>
      </c>
      <c r="F486" s="46"/>
      <c r="G486" s="46"/>
      <c r="H486" s="46"/>
      <c r="I486" s="46"/>
      <c r="J486" s="46"/>
      <c r="K486" s="46"/>
      <c r="L486" s="41" t="str">
        <f t="shared" ca="1" si="29"/>
        <v/>
      </c>
      <c r="M486" s="47" t="str">
        <f t="shared" ca="1" si="30"/>
        <v/>
      </c>
      <c r="R486" s="48" t="str">
        <f t="shared" si="31"/>
        <v/>
      </c>
      <c r="S486" s="48" t="str">
        <f t="shared" si="32"/>
        <v/>
      </c>
    </row>
    <row r="487" spans="5:19" x14ac:dyDescent="0.35">
      <c r="E487" s="30" t="s">
        <v>42</v>
      </c>
      <c r="F487" s="46"/>
      <c r="G487" s="46"/>
      <c r="H487" s="46"/>
      <c r="I487" s="46"/>
      <c r="J487" s="46"/>
      <c r="K487" s="46"/>
      <c r="L487" s="41" t="str">
        <f t="shared" ca="1" si="29"/>
        <v/>
      </c>
      <c r="M487" s="47" t="str">
        <f t="shared" ca="1" si="30"/>
        <v/>
      </c>
      <c r="R487" s="48" t="str">
        <f t="shared" si="31"/>
        <v/>
      </c>
      <c r="S487" s="48" t="str">
        <f t="shared" si="32"/>
        <v/>
      </c>
    </row>
    <row r="488" spans="5:19" x14ac:dyDescent="0.35">
      <c r="E488" s="30" t="s">
        <v>42</v>
      </c>
      <c r="F488" s="46"/>
      <c r="G488" s="46"/>
      <c r="H488" s="46"/>
      <c r="I488" s="46"/>
      <c r="J488" s="46"/>
      <c r="K488" s="46"/>
      <c r="L488" s="41" t="str">
        <f t="shared" ca="1" si="29"/>
        <v/>
      </c>
      <c r="M488" s="47" t="str">
        <f t="shared" ca="1" si="30"/>
        <v/>
      </c>
      <c r="R488" s="48" t="str">
        <f t="shared" si="31"/>
        <v/>
      </c>
      <c r="S488" s="48" t="str">
        <f t="shared" si="32"/>
        <v/>
      </c>
    </row>
    <row r="489" spans="5:19" x14ac:dyDescent="0.35">
      <c r="E489" s="30" t="s">
        <v>42</v>
      </c>
      <c r="F489" s="46"/>
      <c r="G489" s="46"/>
      <c r="H489" s="46"/>
      <c r="I489" s="46"/>
      <c r="J489" s="46"/>
      <c r="K489" s="46"/>
      <c r="L489" s="41" t="str">
        <f t="shared" ca="1" si="29"/>
        <v/>
      </c>
      <c r="M489" s="47" t="str">
        <f t="shared" ca="1" si="30"/>
        <v/>
      </c>
      <c r="R489" s="48" t="str">
        <f t="shared" si="31"/>
        <v/>
      </c>
      <c r="S489" s="48" t="str">
        <f t="shared" si="32"/>
        <v/>
      </c>
    </row>
    <row r="490" spans="5:19" x14ac:dyDescent="0.35">
      <c r="E490" s="30" t="s">
        <v>42</v>
      </c>
      <c r="F490" s="46"/>
      <c r="G490" s="46"/>
      <c r="H490" s="46"/>
      <c r="I490" s="46"/>
      <c r="J490" s="46"/>
      <c r="K490" s="46"/>
      <c r="L490" s="41" t="str">
        <f t="shared" ca="1" si="29"/>
        <v/>
      </c>
      <c r="M490" s="47" t="str">
        <f t="shared" ca="1" si="30"/>
        <v/>
      </c>
      <c r="R490" s="48" t="str">
        <f t="shared" si="31"/>
        <v/>
      </c>
      <c r="S490" s="48" t="str">
        <f t="shared" si="32"/>
        <v/>
      </c>
    </row>
    <row r="491" spans="5:19" x14ac:dyDescent="0.35">
      <c r="E491" s="30" t="s">
        <v>42</v>
      </c>
      <c r="F491" s="46"/>
      <c r="G491" s="46"/>
      <c r="H491" s="46"/>
      <c r="I491" s="46"/>
      <c r="J491" s="46"/>
      <c r="K491" s="46"/>
      <c r="L491" s="41" t="str">
        <f t="shared" ca="1" si="29"/>
        <v/>
      </c>
      <c r="M491" s="47" t="str">
        <f t="shared" ca="1" si="30"/>
        <v/>
      </c>
      <c r="R491" s="48" t="str">
        <f t="shared" si="31"/>
        <v/>
      </c>
      <c r="S491" s="48" t="str">
        <f t="shared" si="32"/>
        <v/>
      </c>
    </row>
    <row r="492" spans="5:19" x14ac:dyDescent="0.35">
      <c r="E492" s="30" t="s">
        <v>42</v>
      </c>
      <c r="F492" s="46"/>
      <c r="G492" s="46"/>
      <c r="H492" s="46"/>
      <c r="I492" s="46"/>
      <c r="J492" s="46"/>
      <c r="K492" s="46"/>
      <c r="L492" s="41" t="str">
        <f t="shared" ca="1" si="29"/>
        <v/>
      </c>
      <c r="M492" s="47" t="str">
        <f t="shared" ca="1" si="30"/>
        <v/>
      </c>
      <c r="R492" s="48" t="str">
        <f t="shared" si="31"/>
        <v/>
      </c>
      <c r="S492" s="48" t="str">
        <f t="shared" si="32"/>
        <v/>
      </c>
    </row>
    <row r="493" spans="5:19" x14ac:dyDescent="0.35">
      <c r="E493" s="30" t="s">
        <v>42</v>
      </c>
      <c r="F493" s="46"/>
      <c r="G493" s="46"/>
      <c r="H493" s="46"/>
      <c r="I493" s="46"/>
      <c r="J493" s="46"/>
      <c r="K493" s="46"/>
      <c r="L493" s="41" t="str">
        <f t="shared" ca="1" si="29"/>
        <v/>
      </c>
      <c r="M493" s="47" t="str">
        <f t="shared" ca="1" si="30"/>
        <v/>
      </c>
      <c r="R493" s="48" t="str">
        <f t="shared" si="31"/>
        <v/>
      </c>
      <c r="S493" s="48" t="str">
        <f t="shared" si="32"/>
        <v/>
      </c>
    </row>
    <row r="494" spans="5:19" x14ac:dyDescent="0.35">
      <c r="E494" s="30" t="s">
        <v>42</v>
      </c>
      <c r="F494" s="46"/>
      <c r="G494" s="46"/>
      <c r="H494" s="46"/>
      <c r="I494" s="46"/>
      <c r="J494" s="46"/>
      <c r="K494" s="46"/>
      <c r="L494" s="41" t="str">
        <f t="shared" ca="1" si="29"/>
        <v/>
      </c>
      <c r="M494" s="47" t="str">
        <f t="shared" ca="1" si="30"/>
        <v/>
      </c>
      <c r="R494" s="48" t="str">
        <f t="shared" si="31"/>
        <v/>
      </c>
      <c r="S494" s="48" t="str">
        <f t="shared" si="32"/>
        <v/>
      </c>
    </row>
    <row r="495" spans="5:19" x14ac:dyDescent="0.35">
      <c r="E495" s="30" t="s">
        <v>42</v>
      </c>
      <c r="F495" s="46"/>
      <c r="G495" s="46"/>
      <c r="H495" s="46"/>
      <c r="I495" s="46"/>
      <c r="J495" s="46"/>
      <c r="K495" s="46"/>
      <c r="L495" s="41" t="str">
        <f t="shared" ca="1" si="29"/>
        <v/>
      </c>
      <c r="M495" s="47" t="str">
        <f t="shared" ca="1" si="30"/>
        <v/>
      </c>
      <c r="R495" s="48" t="str">
        <f t="shared" si="31"/>
        <v/>
      </c>
      <c r="S495" s="48" t="str">
        <f t="shared" si="32"/>
        <v/>
      </c>
    </row>
    <row r="496" spans="5:19" x14ac:dyDescent="0.35">
      <c r="E496" s="30" t="s">
        <v>42</v>
      </c>
      <c r="F496" s="46"/>
      <c r="G496" s="46"/>
      <c r="H496" s="46"/>
      <c r="I496" s="46"/>
      <c r="J496" s="46"/>
      <c r="K496" s="46"/>
      <c r="L496" s="41" t="str">
        <f t="shared" ca="1" si="29"/>
        <v/>
      </c>
      <c r="M496" s="47" t="str">
        <f t="shared" ca="1" si="30"/>
        <v/>
      </c>
      <c r="R496" s="48" t="str">
        <f t="shared" si="31"/>
        <v/>
      </c>
      <c r="S496" s="48" t="str">
        <f t="shared" si="32"/>
        <v/>
      </c>
    </row>
    <row r="497" spans="5:19" x14ac:dyDescent="0.35">
      <c r="E497" s="30" t="s">
        <v>42</v>
      </c>
      <c r="F497" s="46"/>
      <c r="G497" s="46"/>
      <c r="H497" s="46"/>
      <c r="I497" s="46"/>
      <c r="J497" s="46"/>
      <c r="K497" s="46"/>
      <c r="L497" s="41" t="str">
        <f t="shared" ca="1" si="29"/>
        <v/>
      </c>
      <c r="M497" s="47" t="str">
        <f t="shared" ca="1" si="30"/>
        <v/>
      </c>
      <c r="R497" s="48" t="str">
        <f t="shared" si="31"/>
        <v/>
      </c>
      <c r="S497" s="48" t="str">
        <f t="shared" si="32"/>
        <v/>
      </c>
    </row>
    <row r="498" spans="5:19" x14ac:dyDescent="0.35">
      <c r="E498" s="30" t="s">
        <v>42</v>
      </c>
      <c r="F498" s="46"/>
      <c r="G498" s="46"/>
      <c r="H498" s="46"/>
      <c r="I498" s="46"/>
      <c r="J498" s="46"/>
      <c r="K498" s="46"/>
      <c r="L498" s="41" t="str">
        <f t="shared" ca="1" si="29"/>
        <v/>
      </c>
      <c r="M498" s="47" t="str">
        <f t="shared" ca="1" si="30"/>
        <v/>
      </c>
      <c r="R498" s="48" t="str">
        <f t="shared" si="31"/>
        <v/>
      </c>
      <c r="S498" s="48" t="str">
        <f t="shared" si="32"/>
        <v/>
      </c>
    </row>
    <row r="499" spans="5:19" x14ac:dyDescent="0.35">
      <c r="E499" s="30" t="s">
        <v>42</v>
      </c>
      <c r="F499" s="46"/>
      <c r="G499" s="46"/>
      <c r="H499" s="46"/>
      <c r="I499" s="46"/>
      <c r="J499" s="46"/>
      <c r="K499" s="46"/>
      <c r="L499" s="41" t="str">
        <f t="shared" ca="1" si="29"/>
        <v/>
      </c>
      <c r="M499" s="47" t="str">
        <f t="shared" ca="1" si="30"/>
        <v/>
      </c>
      <c r="R499" s="48" t="str">
        <f t="shared" si="31"/>
        <v/>
      </c>
      <c r="S499" s="48" t="str">
        <f t="shared" si="32"/>
        <v/>
      </c>
    </row>
    <row r="500" spans="5:19" x14ac:dyDescent="0.35">
      <c r="E500" s="30" t="s">
        <v>42</v>
      </c>
      <c r="F500" s="46"/>
      <c r="G500" s="46"/>
      <c r="H500" s="46"/>
      <c r="I500" s="46"/>
      <c r="J500" s="46"/>
      <c r="K500" s="46"/>
      <c r="L500" s="41" t="str">
        <f t="shared" ca="1" si="29"/>
        <v/>
      </c>
      <c r="M500" s="47" t="str">
        <f t="shared" ca="1" si="30"/>
        <v/>
      </c>
      <c r="R500" s="48" t="str">
        <f t="shared" si="31"/>
        <v/>
      </c>
      <c r="S500" s="48" t="str">
        <f t="shared" si="32"/>
        <v/>
      </c>
    </row>
    <row r="501" spans="5:19" x14ac:dyDescent="0.35">
      <c r="E501" s="30" t="s">
        <v>42</v>
      </c>
      <c r="F501" s="46"/>
      <c r="G501" s="46"/>
      <c r="H501" s="46"/>
      <c r="I501" s="46"/>
      <c r="J501" s="46"/>
      <c r="K501" s="46"/>
      <c r="L501" s="41" t="str">
        <f t="shared" ca="1" si="29"/>
        <v/>
      </c>
      <c r="M501" s="47" t="str">
        <f t="shared" ca="1" si="30"/>
        <v/>
      </c>
      <c r="R501" s="48" t="str">
        <f t="shared" si="31"/>
        <v/>
      </c>
      <c r="S501" s="48" t="str">
        <f t="shared" si="32"/>
        <v/>
      </c>
    </row>
    <row r="502" spans="5:19" x14ac:dyDescent="0.35">
      <c r="E502" s="30" t="s">
        <v>42</v>
      </c>
      <c r="F502" s="46"/>
      <c r="G502" s="46"/>
      <c r="H502" s="46"/>
      <c r="I502" s="46"/>
      <c r="J502" s="46"/>
      <c r="K502" s="46"/>
      <c r="L502" s="41" t="str">
        <f t="shared" ca="1" si="29"/>
        <v/>
      </c>
      <c r="M502" s="47" t="str">
        <f t="shared" ca="1" si="30"/>
        <v/>
      </c>
      <c r="R502" s="48" t="str">
        <f t="shared" si="31"/>
        <v/>
      </c>
      <c r="S502" s="48" t="str">
        <f t="shared" si="32"/>
        <v/>
      </c>
    </row>
    <row r="503" spans="5:19" x14ac:dyDescent="0.35">
      <c r="E503" s="30" t="s">
        <v>42</v>
      </c>
      <c r="F503" s="46"/>
      <c r="G503" s="46"/>
      <c r="H503" s="46"/>
      <c r="I503" s="46"/>
      <c r="J503" s="46"/>
      <c r="K503" s="46"/>
      <c r="L503" s="41" t="str">
        <f t="shared" ca="1" si="29"/>
        <v/>
      </c>
      <c r="M503" s="47" t="str">
        <f t="shared" ca="1" si="30"/>
        <v/>
      </c>
      <c r="R503" s="48" t="str">
        <f t="shared" si="31"/>
        <v/>
      </c>
      <c r="S503" s="48" t="str">
        <f t="shared" si="32"/>
        <v/>
      </c>
    </row>
    <row r="504" spans="5:19" x14ac:dyDescent="0.35">
      <c r="E504" s="30" t="s">
        <v>42</v>
      </c>
      <c r="F504" s="46"/>
      <c r="G504" s="46"/>
      <c r="H504" s="46"/>
      <c r="I504" s="46"/>
      <c r="J504" s="46"/>
      <c r="K504" s="46"/>
      <c r="L504" s="41" t="str">
        <f t="shared" ca="1" si="29"/>
        <v/>
      </c>
      <c r="M504" s="47" t="str">
        <f t="shared" ca="1" si="30"/>
        <v/>
      </c>
      <c r="R504" s="48" t="str">
        <f t="shared" si="31"/>
        <v/>
      </c>
      <c r="S504" s="48" t="str">
        <f t="shared" si="32"/>
        <v/>
      </c>
    </row>
    <row r="505" spans="5:19" x14ac:dyDescent="0.35">
      <c r="E505" s="30" t="s">
        <v>42</v>
      </c>
      <c r="F505" s="46"/>
      <c r="G505" s="46"/>
      <c r="H505" s="46"/>
      <c r="I505" s="46"/>
      <c r="J505" s="46"/>
      <c r="K505" s="46"/>
      <c r="L505" s="41" t="str">
        <f t="shared" ca="1" si="29"/>
        <v/>
      </c>
      <c r="M505" s="47" t="str">
        <f t="shared" ca="1" si="30"/>
        <v/>
      </c>
      <c r="R505" s="48" t="str">
        <f t="shared" si="31"/>
        <v/>
      </c>
      <c r="S505" s="48" t="str">
        <f t="shared" si="32"/>
        <v/>
      </c>
    </row>
    <row r="506" spans="5:19" x14ac:dyDescent="0.35">
      <c r="E506" s="30" t="s">
        <v>42</v>
      </c>
      <c r="F506" s="46"/>
      <c r="G506" s="46"/>
      <c r="H506" s="46"/>
      <c r="I506" s="46"/>
      <c r="J506" s="46"/>
      <c r="K506" s="46"/>
      <c r="L506" s="41" t="str">
        <f t="shared" ca="1" si="29"/>
        <v/>
      </c>
      <c r="M506" s="47" t="str">
        <f t="shared" ca="1" si="30"/>
        <v/>
      </c>
      <c r="R506" s="48" t="str">
        <f t="shared" si="31"/>
        <v/>
      </c>
      <c r="S506" s="48" t="str">
        <f t="shared" si="32"/>
        <v/>
      </c>
    </row>
    <row r="507" spans="5:19" x14ac:dyDescent="0.35">
      <c r="E507" s="30" t="s">
        <v>42</v>
      </c>
      <c r="F507" s="46"/>
      <c r="G507" s="46"/>
      <c r="H507" s="46"/>
      <c r="I507" s="46"/>
      <c r="J507" s="46"/>
      <c r="K507" s="46"/>
      <c r="L507" s="41" t="str">
        <f t="shared" ca="1" si="29"/>
        <v/>
      </c>
      <c r="M507" s="47" t="str">
        <f t="shared" ca="1" si="30"/>
        <v/>
      </c>
      <c r="R507" s="48" t="str">
        <f t="shared" si="31"/>
        <v/>
      </c>
      <c r="S507" s="48" t="str">
        <f t="shared" si="32"/>
        <v/>
      </c>
    </row>
    <row r="508" spans="5:19" x14ac:dyDescent="0.35">
      <c r="E508" s="30" t="s">
        <v>42</v>
      </c>
      <c r="F508" s="46"/>
      <c r="G508" s="46"/>
      <c r="H508" s="46"/>
      <c r="I508" s="46"/>
      <c r="J508" s="46"/>
      <c r="K508" s="46"/>
      <c r="L508" s="41" t="str">
        <f t="shared" ca="1" si="29"/>
        <v/>
      </c>
      <c r="M508" s="47" t="str">
        <f t="shared" ca="1" si="30"/>
        <v/>
      </c>
      <c r="R508" s="48" t="str">
        <f t="shared" si="31"/>
        <v/>
      </c>
      <c r="S508" s="48" t="str">
        <f t="shared" si="32"/>
        <v/>
      </c>
    </row>
    <row r="509" spans="5:19" x14ac:dyDescent="0.35">
      <c r="E509" s="30" t="s">
        <v>42</v>
      </c>
      <c r="F509" s="46"/>
      <c r="G509" s="46"/>
      <c r="H509" s="46"/>
      <c r="I509" s="46"/>
      <c r="J509" s="46"/>
      <c r="K509" s="46"/>
      <c r="L509" s="41" t="str">
        <f t="shared" ca="1" si="29"/>
        <v/>
      </c>
      <c r="M509" s="47" t="str">
        <f t="shared" ca="1" si="30"/>
        <v/>
      </c>
      <c r="R509" s="48" t="str">
        <f t="shared" si="31"/>
        <v/>
      </c>
      <c r="S509" s="48" t="str">
        <f t="shared" si="32"/>
        <v/>
      </c>
    </row>
    <row r="510" spans="5:19" x14ac:dyDescent="0.35">
      <c r="E510" s="30" t="s">
        <v>42</v>
      </c>
      <c r="F510" s="46"/>
      <c r="G510" s="46"/>
      <c r="H510" s="46"/>
      <c r="I510" s="46"/>
      <c r="J510" s="46"/>
      <c r="K510" s="46"/>
      <c r="L510" s="41" t="str">
        <f t="shared" ca="1" si="29"/>
        <v/>
      </c>
      <c r="M510" s="47" t="str">
        <f t="shared" ca="1" si="30"/>
        <v/>
      </c>
      <c r="R510" s="48" t="str">
        <f t="shared" si="31"/>
        <v/>
      </c>
      <c r="S510" s="48" t="str">
        <f t="shared" si="32"/>
        <v/>
      </c>
    </row>
    <row r="511" spans="5:19" x14ac:dyDescent="0.35">
      <c r="E511" s="30" t="s">
        <v>42</v>
      </c>
      <c r="F511" s="46"/>
      <c r="G511" s="46"/>
      <c r="H511" s="46"/>
      <c r="I511" s="46"/>
      <c r="J511" s="46"/>
      <c r="K511" s="46"/>
      <c r="L511" s="41" t="str">
        <f t="shared" ca="1" si="29"/>
        <v/>
      </c>
      <c r="M511" s="47" t="str">
        <f t="shared" ca="1" si="30"/>
        <v/>
      </c>
      <c r="R511" s="48" t="str">
        <f t="shared" si="31"/>
        <v/>
      </c>
      <c r="S511" s="48" t="str">
        <f t="shared" si="32"/>
        <v/>
      </c>
    </row>
    <row r="512" spans="5:19" x14ac:dyDescent="0.35">
      <c r="E512" s="30" t="s">
        <v>42</v>
      </c>
      <c r="F512" s="46"/>
      <c r="G512" s="46"/>
      <c r="H512" s="46"/>
      <c r="I512" s="46"/>
      <c r="J512" s="46"/>
      <c r="K512" s="46"/>
      <c r="L512" s="41" t="str">
        <f t="shared" ca="1" si="29"/>
        <v/>
      </c>
      <c r="M512" s="47" t="str">
        <f t="shared" ca="1" si="30"/>
        <v/>
      </c>
      <c r="R512" s="48" t="str">
        <f t="shared" si="31"/>
        <v/>
      </c>
      <c r="S512" s="48" t="str">
        <f t="shared" si="32"/>
        <v/>
      </c>
    </row>
    <row r="513" spans="5:19" x14ac:dyDescent="0.35">
      <c r="E513" s="30" t="s">
        <v>42</v>
      </c>
      <c r="F513" s="46"/>
      <c r="G513" s="46"/>
      <c r="H513" s="46"/>
      <c r="I513" s="46"/>
      <c r="J513" s="46"/>
      <c r="K513" s="46"/>
      <c r="L513" s="41" t="str">
        <f t="shared" ca="1" si="29"/>
        <v/>
      </c>
      <c r="M513" s="47" t="str">
        <f t="shared" ca="1" si="30"/>
        <v/>
      </c>
      <c r="R513" s="48" t="str">
        <f t="shared" si="31"/>
        <v/>
      </c>
      <c r="S513" s="48" t="str">
        <f t="shared" si="32"/>
        <v/>
      </c>
    </row>
    <row r="514" spans="5:19" x14ac:dyDescent="0.35">
      <c r="E514" s="30" t="s">
        <v>42</v>
      </c>
      <c r="F514" s="46"/>
      <c r="G514" s="46"/>
      <c r="H514" s="46"/>
      <c r="I514" s="46"/>
      <c r="J514" s="46"/>
      <c r="K514" s="46"/>
      <c r="L514" s="41" t="str">
        <f t="shared" ca="1" si="29"/>
        <v/>
      </c>
      <c r="M514" s="47" t="str">
        <f t="shared" ca="1" si="30"/>
        <v/>
      </c>
      <c r="R514" s="48" t="str">
        <f t="shared" si="31"/>
        <v/>
      </c>
      <c r="S514" s="48" t="str">
        <f t="shared" si="32"/>
        <v/>
      </c>
    </row>
    <row r="515" spans="5:19" x14ac:dyDescent="0.35">
      <c r="E515" s="30" t="s">
        <v>42</v>
      </c>
      <c r="F515" s="46"/>
      <c r="G515" s="46"/>
      <c r="H515" s="46"/>
      <c r="I515" s="46"/>
      <c r="J515" s="46"/>
      <c r="K515" s="46"/>
      <c r="L515" s="41" t="str">
        <f t="shared" ca="1" si="29"/>
        <v/>
      </c>
      <c r="M515" s="47" t="str">
        <f t="shared" ca="1" si="30"/>
        <v/>
      </c>
      <c r="R515" s="48" t="str">
        <f t="shared" si="31"/>
        <v/>
      </c>
      <c r="S515" s="48" t="str">
        <f t="shared" si="32"/>
        <v/>
      </c>
    </row>
    <row r="516" spans="5:19" x14ac:dyDescent="0.35">
      <c r="E516" s="30" t="s">
        <v>42</v>
      </c>
      <c r="F516" s="46"/>
      <c r="G516" s="46"/>
      <c r="H516" s="46"/>
      <c r="I516" s="46"/>
      <c r="J516" s="46"/>
      <c r="K516" s="46"/>
      <c r="L516" s="41" t="str">
        <f t="shared" ca="1" si="29"/>
        <v/>
      </c>
      <c r="M516" s="47" t="str">
        <f t="shared" ca="1" si="30"/>
        <v/>
      </c>
      <c r="R516" s="48" t="str">
        <f t="shared" si="31"/>
        <v/>
      </c>
      <c r="S516" s="48" t="str">
        <f t="shared" si="32"/>
        <v/>
      </c>
    </row>
    <row r="517" spans="5:19" x14ac:dyDescent="0.35">
      <c r="E517" s="30" t="s">
        <v>42</v>
      </c>
      <c r="F517" s="46"/>
      <c r="G517" s="46"/>
      <c r="H517" s="46"/>
      <c r="I517" s="46"/>
      <c r="J517" s="46"/>
      <c r="K517" s="46"/>
      <c r="L517" s="41" t="str">
        <f t="shared" ca="1" si="29"/>
        <v/>
      </c>
      <c r="M517" s="47" t="str">
        <f t="shared" ca="1" si="30"/>
        <v/>
      </c>
      <c r="R517" s="48" t="str">
        <f t="shared" si="31"/>
        <v/>
      </c>
      <c r="S517" s="48" t="str">
        <f t="shared" si="32"/>
        <v/>
      </c>
    </row>
    <row r="518" spans="5:19" x14ac:dyDescent="0.35">
      <c r="E518" s="30" t="s">
        <v>42</v>
      </c>
      <c r="F518" s="46"/>
      <c r="G518" s="46"/>
      <c r="H518" s="46"/>
      <c r="I518" s="46"/>
      <c r="J518" s="46"/>
      <c r="K518" s="46"/>
      <c r="L518" s="41" t="str">
        <f t="shared" ref="L518:L581" ca="1" si="33">IF(AND(C518&lt;&gt;"",C518&lt;&gt;R518),TODAY(),IF(C518="","",L518))</f>
        <v/>
      </c>
      <c r="M518" s="47" t="str">
        <f t="shared" ref="M518:M581" ca="1" si="34">IF(AND(C518&lt;&gt;"",C518&lt;&gt;S518),NOW(),IF(C518="","",M518))</f>
        <v/>
      </c>
      <c r="R518" s="48" t="str">
        <f t="shared" ref="R518:R581" si="35">IF(C518="","",IF(OR(L518="",AND(ISNUMBER(R518),C518=R518)),R518,C518))</f>
        <v/>
      </c>
      <c r="S518" s="48" t="str">
        <f t="shared" ref="S518:S581" si="36">IF(C518="","",IF(OR(M518="",AND(ISNUMBER(S518),C518=S518)),S518,C518))</f>
        <v/>
      </c>
    </row>
    <row r="519" spans="5:19" x14ac:dyDescent="0.35">
      <c r="E519" s="30" t="s">
        <v>42</v>
      </c>
      <c r="F519" s="46"/>
      <c r="G519" s="46"/>
      <c r="H519" s="46"/>
      <c r="I519" s="46"/>
      <c r="J519" s="46"/>
      <c r="K519" s="46"/>
      <c r="L519" s="41" t="str">
        <f t="shared" ca="1" si="33"/>
        <v/>
      </c>
      <c r="M519" s="47" t="str">
        <f t="shared" ca="1" si="34"/>
        <v/>
      </c>
      <c r="R519" s="48" t="str">
        <f t="shared" si="35"/>
        <v/>
      </c>
      <c r="S519" s="48" t="str">
        <f t="shared" si="36"/>
        <v/>
      </c>
    </row>
    <row r="520" spans="5:19" x14ac:dyDescent="0.35">
      <c r="E520" s="30" t="s">
        <v>42</v>
      </c>
      <c r="F520" s="46"/>
      <c r="G520" s="46"/>
      <c r="H520" s="46"/>
      <c r="I520" s="46"/>
      <c r="J520" s="46"/>
      <c r="K520" s="46"/>
      <c r="L520" s="41" t="str">
        <f t="shared" ca="1" si="33"/>
        <v/>
      </c>
      <c r="M520" s="47" t="str">
        <f t="shared" ca="1" si="34"/>
        <v/>
      </c>
      <c r="R520" s="48" t="str">
        <f t="shared" si="35"/>
        <v/>
      </c>
      <c r="S520" s="48" t="str">
        <f t="shared" si="36"/>
        <v/>
      </c>
    </row>
    <row r="521" spans="5:19" x14ac:dyDescent="0.35">
      <c r="E521" s="30" t="s">
        <v>42</v>
      </c>
      <c r="F521" s="46"/>
      <c r="G521" s="46"/>
      <c r="H521" s="46"/>
      <c r="I521" s="46"/>
      <c r="J521" s="46"/>
      <c r="K521" s="46"/>
      <c r="L521" s="41" t="str">
        <f t="shared" ca="1" si="33"/>
        <v/>
      </c>
      <c r="M521" s="47" t="str">
        <f t="shared" ca="1" si="34"/>
        <v/>
      </c>
      <c r="R521" s="48" t="str">
        <f t="shared" si="35"/>
        <v/>
      </c>
      <c r="S521" s="48" t="str">
        <f t="shared" si="36"/>
        <v/>
      </c>
    </row>
    <row r="522" spans="5:19" x14ac:dyDescent="0.35">
      <c r="E522" s="30" t="s">
        <v>42</v>
      </c>
      <c r="F522" s="46"/>
      <c r="G522" s="46"/>
      <c r="H522" s="46"/>
      <c r="I522" s="46"/>
      <c r="J522" s="46"/>
      <c r="K522" s="46"/>
      <c r="L522" s="41" t="str">
        <f t="shared" ca="1" si="33"/>
        <v/>
      </c>
      <c r="M522" s="47" t="str">
        <f t="shared" ca="1" si="34"/>
        <v/>
      </c>
      <c r="R522" s="48" t="str">
        <f t="shared" si="35"/>
        <v/>
      </c>
      <c r="S522" s="48" t="str">
        <f t="shared" si="36"/>
        <v/>
      </c>
    </row>
    <row r="523" spans="5:19" x14ac:dyDescent="0.35">
      <c r="E523" s="30" t="s">
        <v>42</v>
      </c>
      <c r="F523" s="46"/>
      <c r="G523" s="46"/>
      <c r="H523" s="46"/>
      <c r="I523" s="46"/>
      <c r="J523" s="46"/>
      <c r="K523" s="46"/>
      <c r="L523" s="41" t="str">
        <f t="shared" ca="1" si="33"/>
        <v/>
      </c>
      <c r="M523" s="47" t="str">
        <f t="shared" ca="1" si="34"/>
        <v/>
      </c>
      <c r="R523" s="48" t="str">
        <f t="shared" si="35"/>
        <v/>
      </c>
      <c r="S523" s="48" t="str">
        <f t="shared" si="36"/>
        <v/>
      </c>
    </row>
    <row r="524" spans="5:19" x14ac:dyDescent="0.35">
      <c r="E524" s="30" t="s">
        <v>42</v>
      </c>
      <c r="F524" s="46"/>
      <c r="G524" s="46"/>
      <c r="H524" s="46"/>
      <c r="I524" s="46"/>
      <c r="J524" s="46"/>
      <c r="K524" s="46"/>
      <c r="L524" s="41" t="str">
        <f t="shared" ca="1" si="33"/>
        <v/>
      </c>
      <c r="M524" s="47" t="str">
        <f t="shared" ca="1" si="34"/>
        <v/>
      </c>
      <c r="R524" s="48" t="str">
        <f t="shared" si="35"/>
        <v/>
      </c>
      <c r="S524" s="48" t="str">
        <f t="shared" si="36"/>
        <v/>
      </c>
    </row>
    <row r="525" spans="5:19" x14ac:dyDescent="0.35">
      <c r="E525" s="30" t="s">
        <v>42</v>
      </c>
      <c r="F525" s="46"/>
      <c r="G525" s="46"/>
      <c r="H525" s="46"/>
      <c r="I525" s="46"/>
      <c r="J525" s="46"/>
      <c r="K525" s="46"/>
      <c r="L525" s="41" t="str">
        <f t="shared" ca="1" si="33"/>
        <v/>
      </c>
      <c r="M525" s="47" t="str">
        <f t="shared" ca="1" si="34"/>
        <v/>
      </c>
      <c r="R525" s="48" t="str">
        <f t="shared" si="35"/>
        <v/>
      </c>
      <c r="S525" s="48" t="str">
        <f t="shared" si="36"/>
        <v/>
      </c>
    </row>
    <row r="526" spans="5:19" x14ac:dyDescent="0.35">
      <c r="E526" s="30" t="s">
        <v>42</v>
      </c>
      <c r="F526" s="46"/>
      <c r="G526" s="46"/>
      <c r="H526" s="46"/>
      <c r="I526" s="46"/>
      <c r="J526" s="46"/>
      <c r="K526" s="46"/>
      <c r="L526" s="41" t="str">
        <f t="shared" ca="1" si="33"/>
        <v/>
      </c>
      <c r="M526" s="47" t="str">
        <f t="shared" ca="1" si="34"/>
        <v/>
      </c>
      <c r="R526" s="48" t="str">
        <f t="shared" si="35"/>
        <v/>
      </c>
      <c r="S526" s="48" t="str">
        <f t="shared" si="36"/>
        <v/>
      </c>
    </row>
    <row r="527" spans="5:19" x14ac:dyDescent="0.35">
      <c r="E527" s="30" t="s">
        <v>42</v>
      </c>
      <c r="F527" s="46"/>
      <c r="G527" s="46"/>
      <c r="H527" s="46"/>
      <c r="I527" s="46"/>
      <c r="J527" s="46"/>
      <c r="K527" s="46"/>
      <c r="L527" s="41" t="str">
        <f t="shared" ca="1" si="33"/>
        <v/>
      </c>
      <c r="M527" s="47" t="str">
        <f t="shared" ca="1" si="34"/>
        <v/>
      </c>
      <c r="R527" s="48" t="str">
        <f t="shared" si="35"/>
        <v/>
      </c>
      <c r="S527" s="48" t="str">
        <f t="shared" si="36"/>
        <v/>
      </c>
    </row>
    <row r="528" spans="5:19" x14ac:dyDescent="0.35">
      <c r="E528" s="30" t="s">
        <v>42</v>
      </c>
      <c r="F528" s="46"/>
      <c r="G528" s="46"/>
      <c r="H528" s="46"/>
      <c r="I528" s="46"/>
      <c r="J528" s="46"/>
      <c r="K528" s="46"/>
      <c r="L528" s="41" t="str">
        <f t="shared" ca="1" si="33"/>
        <v/>
      </c>
      <c r="M528" s="47" t="str">
        <f t="shared" ca="1" si="34"/>
        <v/>
      </c>
      <c r="R528" s="48" t="str">
        <f t="shared" si="35"/>
        <v/>
      </c>
      <c r="S528" s="48" t="str">
        <f t="shared" si="36"/>
        <v/>
      </c>
    </row>
    <row r="529" spans="5:19" x14ac:dyDescent="0.35">
      <c r="E529" s="30" t="s">
        <v>42</v>
      </c>
      <c r="F529" s="46"/>
      <c r="G529" s="46"/>
      <c r="H529" s="46"/>
      <c r="I529" s="46"/>
      <c r="J529" s="46"/>
      <c r="K529" s="46"/>
      <c r="L529" s="41" t="str">
        <f t="shared" ca="1" si="33"/>
        <v/>
      </c>
      <c r="M529" s="47" t="str">
        <f t="shared" ca="1" si="34"/>
        <v/>
      </c>
      <c r="R529" s="48" t="str">
        <f t="shared" si="35"/>
        <v/>
      </c>
      <c r="S529" s="48" t="str">
        <f t="shared" si="36"/>
        <v/>
      </c>
    </row>
    <row r="530" spans="5:19" x14ac:dyDescent="0.35">
      <c r="E530" s="30" t="s">
        <v>42</v>
      </c>
      <c r="F530" s="46"/>
      <c r="G530" s="46"/>
      <c r="H530" s="46"/>
      <c r="I530" s="46"/>
      <c r="J530" s="46"/>
      <c r="K530" s="46"/>
      <c r="L530" s="41" t="str">
        <f t="shared" ca="1" si="33"/>
        <v/>
      </c>
      <c r="M530" s="47" t="str">
        <f t="shared" ca="1" si="34"/>
        <v/>
      </c>
      <c r="R530" s="48" t="str">
        <f t="shared" si="35"/>
        <v/>
      </c>
      <c r="S530" s="48" t="str">
        <f t="shared" si="36"/>
        <v/>
      </c>
    </row>
    <row r="531" spans="5:19" x14ac:dyDescent="0.35">
      <c r="E531" s="30" t="s">
        <v>42</v>
      </c>
      <c r="F531" s="46"/>
      <c r="G531" s="46"/>
      <c r="H531" s="46"/>
      <c r="I531" s="46"/>
      <c r="J531" s="46"/>
      <c r="K531" s="46"/>
      <c r="L531" s="41" t="str">
        <f t="shared" ca="1" si="33"/>
        <v/>
      </c>
      <c r="M531" s="47" t="str">
        <f t="shared" ca="1" si="34"/>
        <v/>
      </c>
      <c r="R531" s="48" t="str">
        <f t="shared" si="35"/>
        <v/>
      </c>
      <c r="S531" s="48" t="str">
        <f t="shared" si="36"/>
        <v/>
      </c>
    </row>
    <row r="532" spans="5:19" x14ac:dyDescent="0.35">
      <c r="E532" s="30" t="s">
        <v>42</v>
      </c>
      <c r="F532" s="46"/>
      <c r="G532" s="46"/>
      <c r="H532" s="46"/>
      <c r="I532" s="46"/>
      <c r="J532" s="46"/>
      <c r="K532" s="46"/>
      <c r="L532" s="41" t="str">
        <f t="shared" ca="1" si="33"/>
        <v/>
      </c>
      <c r="M532" s="47" t="str">
        <f t="shared" ca="1" si="34"/>
        <v/>
      </c>
      <c r="R532" s="48" t="str">
        <f t="shared" si="35"/>
        <v/>
      </c>
      <c r="S532" s="48" t="str">
        <f t="shared" si="36"/>
        <v/>
      </c>
    </row>
    <row r="533" spans="5:19" x14ac:dyDescent="0.35">
      <c r="E533" s="30" t="s">
        <v>42</v>
      </c>
      <c r="F533" s="46"/>
      <c r="G533" s="46"/>
      <c r="H533" s="46"/>
      <c r="I533" s="46"/>
      <c r="J533" s="46"/>
      <c r="K533" s="46"/>
      <c r="L533" s="41" t="str">
        <f t="shared" ca="1" si="33"/>
        <v/>
      </c>
      <c r="M533" s="47" t="str">
        <f t="shared" ca="1" si="34"/>
        <v/>
      </c>
      <c r="R533" s="48" t="str">
        <f t="shared" si="35"/>
        <v/>
      </c>
      <c r="S533" s="48" t="str">
        <f t="shared" si="36"/>
        <v/>
      </c>
    </row>
    <row r="534" spans="5:19" x14ac:dyDescent="0.35">
      <c r="E534" s="30" t="s">
        <v>42</v>
      </c>
      <c r="F534" s="46"/>
      <c r="G534" s="46"/>
      <c r="H534" s="46"/>
      <c r="I534" s="46"/>
      <c r="J534" s="46"/>
      <c r="K534" s="46"/>
      <c r="L534" s="41" t="str">
        <f t="shared" ca="1" si="33"/>
        <v/>
      </c>
      <c r="M534" s="47" t="str">
        <f t="shared" ca="1" si="34"/>
        <v/>
      </c>
      <c r="R534" s="48" t="str">
        <f t="shared" si="35"/>
        <v/>
      </c>
      <c r="S534" s="48" t="str">
        <f t="shared" si="36"/>
        <v/>
      </c>
    </row>
    <row r="535" spans="5:19" x14ac:dyDescent="0.35">
      <c r="E535" s="30" t="s">
        <v>42</v>
      </c>
      <c r="F535" s="46"/>
      <c r="G535" s="46"/>
      <c r="H535" s="46"/>
      <c r="I535" s="46"/>
      <c r="J535" s="46"/>
      <c r="K535" s="46"/>
      <c r="L535" s="41" t="str">
        <f t="shared" ca="1" si="33"/>
        <v/>
      </c>
      <c r="M535" s="47" t="str">
        <f t="shared" ca="1" si="34"/>
        <v/>
      </c>
      <c r="R535" s="48" t="str">
        <f t="shared" si="35"/>
        <v/>
      </c>
      <c r="S535" s="48" t="str">
        <f t="shared" si="36"/>
        <v/>
      </c>
    </row>
    <row r="536" spans="5:19" x14ac:dyDescent="0.35">
      <c r="E536" s="30" t="s">
        <v>42</v>
      </c>
      <c r="F536" s="46"/>
      <c r="G536" s="46"/>
      <c r="H536" s="46"/>
      <c r="I536" s="46"/>
      <c r="J536" s="46"/>
      <c r="K536" s="46"/>
      <c r="L536" s="41" t="str">
        <f t="shared" ca="1" si="33"/>
        <v/>
      </c>
      <c r="M536" s="47" t="str">
        <f t="shared" ca="1" si="34"/>
        <v/>
      </c>
      <c r="R536" s="48" t="str">
        <f t="shared" si="35"/>
        <v/>
      </c>
      <c r="S536" s="48" t="str">
        <f t="shared" si="36"/>
        <v/>
      </c>
    </row>
    <row r="537" spans="5:19" x14ac:dyDescent="0.35">
      <c r="E537" s="30" t="s">
        <v>42</v>
      </c>
      <c r="F537" s="46"/>
      <c r="G537" s="46"/>
      <c r="H537" s="46"/>
      <c r="I537" s="46"/>
      <c r="J537" s="46"/>
      <c r="K537" s="46"/>
      <c r="L537" s="41" t="str">
        <f t="shared" ca="1" si="33"/>
        <v/>
      </c>
      <c r="M537" s="47" t="str">
        <f t="shared" ca="1" si="34"/>
        <v/>
      </c>
      <c r="R537" s="48" t="str">
        <f t="shared" si="35"/>
        <v/>
      </c>
      <c r="S537" s="48" t="str">
        <f t="shared" si="36"/>
        <v/>
      </c>
    </row>
    <row r="538" spans="5:19" x14ac:dyDescent="0.35">
      <c r="E538" s="30" t="s">
        <v>42</v>
      </c>
      <c r="F538" s="46"/>
      <c r="G538" s="46"/>
      <c r="H538" s="46"/>
      <c r="I538" s="46"/>
      <c r="J538" s="46"/>
      <c r="K538" s="46"/>
      <c r="L538" s="41" t="str">
        <f t="shared" ca="1" si="33"/>
        <v/>
      </c>
      <c r="M538" s="47" t="str">
        <f t="shared" ca="1" si="34"/>
        <v/>
      </c>
      <c r="R538" s="48" t="str">
        <f t="shared" si="35"/>
        <v/>
      </c>
      <c r="S538" s="48" t="str">
        <f t="shared" si="36"/>
        <v/>
      </c>
    </row>
    <row r="539" spans="5:19" x14ac:dyDescent="0.35">
      <c r="E539" s="30" t="s">
        <v>42</v>
      </c>
      <c r="F539" s="46"/>
      <c r="G539" s="46"/>
      <c r="H539" s="46"/>
      <c r="I539" s="46"/>
      <c r="J539" s="46"/>
      <c r="K539" s="46"/>
      <c r="L539" s="41" t="str">
        <f t="shared" ca="1" si="33"/>
        <v/>
      </c>
      <c r="M539" s="47" t="str">
        <f t="shared" ca="1" si="34"/>
        <v/>
      </c>
      <c r="R539" s="48" t="str">
        <f t="shared" si="35"/>
        <v/>
      </c>
      <c r="S539" s="48" t="str">
        <f t="shared" si="36"/>
        <v/>
      </c>
    </row>
    <row r="540" spans="5:19" x14ac:dyDescent="0.35">
      <c r="E540" s="30" t="s">
        <v>42</v>
      </c>
      <c r="F540" s="46"/>
      <c r="G540" s="46"/>
      <c r="H540" s="46"/>
      <c r="I540" s="46"/>
      <c r="J540" s="46"/>
      <c r="K540" s="46"/>
      <c r="L540" s="41" t="str">
        <f t="shared" ca="1" si="33"/>
        <v/>
      </c>
      <c r="M540" s="47" t="str">
        <f t="shared" ca="1" si="34"/>
        <v/>
      </c>
      <c r="R540" s="48" t="str">
        <f t="shared" si="35"/>
        <v/>
      </c>
      <c r="S540" s="48" t="str">
        <f t="shared" si="36"/>
        <v/>
      </c>
    </row>
    <row r="541" spans="5:19" x14ac:dyDescent="0.35">
      <c r="E541" s="30" t="s">
        <v>42</v>
      </c>
      <c r="F541" s="46"/>
      <c r="G541" s="46"/>
      <c r="H541" s="46"/>
      <c r="I541" s="46"/>
      <c r="J541" s="46"/>
      <c r="K541" s="46"/>
      <c r="L541" s="41" t="str">
        <f t="shared" ca="1" si="33"/>
        <v/>
      </c>
      <c r="M541" s="47" t="str">
        <f t="shared" ca="1" si="34"/>
        <v/>
      </c>
      <c r="R541" s="48" t="str">
        <f t="shared" si="35"/>
        <v/>
      </c>
      <c r="S541" s="48" t="str">
        <f t="shared" si="36"/>
        <v/>
      </c>
    </row>
    <row r="542" spans="5:19" x14ac:dyDescent="0.35">
      <c r="E542" s="30" t="s">
        <v>42</v>
      </c>
      <c r="F542" s="46"/>
      <c r="G542" s="46"/>
      <c r="H542" s="46"/>
      <c r="I542" s="46"/>
      <c r="J542" s="46"/>
      <c r="K542" s="46"/>
      <c r="L542" s="41" t="str">
        <f t="shared" ca="1" si="33"/>
        <v/>
      </c>
      <c r="M542" s="47" t="str">
        <f t="shared" ca="1" si="34"/>
        <v/>
      </c>
      <c r="R542" s="48" t="str">
        <f t="shared" si="35"/>
        <v/>
      </c>
      <c r="S542" s="48" t="str">
        <f t="shared" si="36"/>
        <v/>
      </c>
    </row>
    <row r="543" spans="5:19" x14ac:dyDescent="0.35">
      <c r="E543" s="30" t="s">
        <v>42</v>
      </c>
      <c r="F543" s="46"/>
      <c r="G543" s="46"/>
      <c r="H543" s="46"/>
      <c r="I543" s="46"/>
      <c r="J543" s="46"/>
      <c r="K543" s="46"/>
      <c r="L543" s="41" t="str">
        <f t="shared" ca="1" si="33"/>
        <v/>
      </c>
      <c r="M543" s="47" t="str">
        <f t="shared" ca="1" si="34"/>
        <v/>
      </c>
      <c r="R543" s="48" t="str">
        <f t="shared" si="35"/>
        <v/>
      </c>
      <c r="S543" s="48" t="str">
        <f t="shared" si="36"/>
        <v/>
      </c>
    </row>
    <row r="544" spans="5:19" x14ac:dyDescent="0.35">
      <c r="E544" s="30" t="s">
        <v>42</v>
      </c>
      <c r="F544" s="46"/>
      <c r="G544" s="46"/>
      <c r="H544" s="46"/>
      <c r="I544" s="46"/>
      <c r="J544" s="46"/>
      <c r="K544" s="46"/>
      <c r="L544" s="41" t="str">
        <f t="shared" ca="1" si="33"/>
        <v/>
      </c>
      <c r="M544" s="47" t="str">
        <f t="shared" ca="1" si="34"/>
        <v/>
      </c>
      <c r="R544" s="48" t="str">
        <f t="shared" si="35"/>
        <v/>
      </c>
      <c r="S544" s="48" t="str">
        <f t="shared" si="36"/>
        <v/>
      </c>
    </row>
    <row r="545" spans="5:19" x14ac:dyDescent="0.35">
      <c r="E545" s="30" t="s">
        <v>42</v>
      </c>
      <c r="F545" s="46"/>
      <c r="G545" s="46"/>
      <c r="H545" s="46"/>
      <c r="I545" s="46"/>
      <c r="J545" s="46"/>
      <c r="K545" s="46"/>
      <c r="L545" s="41" t="str">
        <f t="shared" ca="1" si="33"/>
        <v/>
      </c>
      <c r="M545" s="47" t="str">
        <f t="shared" ca="1" si="34"/>
        <v/>
      </c>
      <c r="R545" s="48" t="str">
        <f t="shared" si="35"/>
        <v/>
      </c>
      <c r="S545" s="48" t="str">
        <f t="shared" si="36"/>
        <v/>
      </c>
    </row>
    <row r="546" spans="5:19" x14ac:dyDescent="0.35">
      <c r="E546" s="30" t="s">
        <v>42</v>
      </c>
      <c r="F546" s="46"/>
      <c r="G546" s="46"/>
      <c r="H546" s="46"/>
      <c r="I546" s="46"/>
      <c r="J546" s="46"/>
      <c r="K546" s="46"/>
      <c r="L546" s="41" t="str">
        <f t="shared" ca="1" si="33"/>
        <v/>
      </c>
      <c r="M546" s="47" t="str">
        <f t="shared" ca="1" si="34"/>
        <v/>
      </c>
      <c r="R546" s="48" t="str">
        <f t="shared" si="35"/>
        <v/>
      </c>
      <c r="S546" s="48" t="str">
        <f t="shared" si="36"/>
        <v/>
      </c>
    </row>
    <row r="547" spans="5:19" x14ac:dyDescent="0.35">
      <c r="E547" s="30" t="s">
        <v>42</v>
      </c>
      <c r="F547" s="46"/>
      <c r="G547" s="46"/>
      <c r="H547" s="46"/>
      <c r="I547" s="46"/>
      <c r="J547" s="46"/>
      <c r="K547" s="46"/>
      <c r="L547" s="41" t="str">
        <f t="shared" ca="1" si="33"/>
        <v/>
      </c>
      <c r="M547" s="47" t="str">
        <f t="shared" ca="1" si="34"/>
        <v/>
      </c>
      <c r="R547" s="48" t="str">
        <f t="shared" si="35"/>
        <v/>
      </c>
      <c r="S547" s="48" t="str">
        <f t="shared" si="36"/>
        <v/>
      </c>
    </row>
    <row r="548" spans="5:19" x14ac:dyDescent="0.35">
      <c r="E548" s="30" t="s">
        <v>42</v>
      </c>
      <c r="F548" s="46"/>
      <c r="G548" s="46"/>
      <c r="H548" s="46"/>
      <c r="I548" s="46"/>
      <c r="J548" s="46"/>
      <c r="K548" s="46"/>
      <c r="L548" s="41" t="str">
        <f t="shared" ca="1" si="33"/>
        <v/>
      </c>
      <c r="M548" s="47" t="str">
        <f t="shared" ca="1" si="34"/>
        <v/>
      </c>
      <c r="R548" s="48" t="str">
        <f t="shared" si="35"/>
        <v/>
      </c>
      <c r="S548" s="48" t="str">
        <f t="shared" si="36"/>
        <v/>
      </c>
    </row>
    <row r="549" spans="5:19" x14ac:dyDescent="0.35">
      <c r="E549" s="30" t="s">
        <v>42</v>
      </c>
      <c r="F549" s="46"/>
      <c r="G549" s="46"/>
      <c r="H549" s="46"/>
      <c r="I549" s="46"/>
      <c r="J549" s="46"/>
      <c r="K549" s="46"/>
      <c r="L549" s="41" t="str">
        <f t="shared" ca="1" si="33"/>
        <v/>
      </c>
      <c r="M549" s="47" t="str">
        <f t="shared" ca="1" si="34"/>
        <v/>
      </c>
      <c r="R549" s="48" t="str">
        <f t="shared" si="35"/>
        <v/>
      </c>
      <c r="S549" s="48" t="str">
        <f t="shared" si="36"/>
        <v/>
      </c>
    </row>
    <row r="550" spans="5:19" x14ac:dyDescent="0.35">
      <c r="E550" s="30" t="s">
        <v>42</v>
      </c>
      <c r="F550" s="46"/>
      <c r="G550" s="46"/>
      <c r="H550" s="46"/>
      <c r="I550" s="46"/>
      <c r="J550" s="46"/>
      <c r="K550" s="46"/>
      <c r="L550" s="41" t="str">
        <f t="shared" ca="1" si="33"/>
        <v/>
      </c>
      <c r="M550" s="47" t="str">
        <f t="shared" ca="1" si="34"/>
        <v/>
      </c>
      <c r="R550" s="48" t="str">
        <f t="shared" si="35"/>
        <v/>
      </c>
      <c r="S550" s="48" t="str">
        <f t="shared" si="36"/>
        <v/>
      </c>
    </row>
    <row r="551" spans="5:19" x14ac:dyDescent="0.35">
      <c r="E551" s="30" t="s">
        <v>42</v>
      </c>
      <c r="F551" s="46"/>
      <c r="G551" s="46"/>
      <c r="H551" s="46"/>
      <c r="I551" s="46"/>
      <c r="J551" s="46"/>
      <c r="K551" s="46"/>
      <c r="L551" s="41" t="str">
        <f t="shared" ca="1" si="33"/>
        <v/>
      </c>
      <c r="M551" s="47" t="str">
        <f t="shared" ca="1" si="34"/>
        <v/>
      </c>
      <c r="R551" s="48" t="str">
        <f t="shared" si="35"/>
        <v/>
      </c>
      <c r="S551" s="48" t="str">
        <f t="shared" si="36"/>
        <v/>
      </c>
    </row>
    <row r="552" spans="5:19" x14ac:dyDescent="0.35">
      <c r="E552" s="30" t="s">
        <v>42</v>
      </c>
      <c r="F552" s="46"/>
      <c r="G552" s="46"/>
      <c r="H552" s="46"/>
      <c r="I552" s="46"/>
      <c r="J552" s="46"/>
      <c r="K552" s="46"/>
      <c r="L552" s="41" t="str">
        <f t="shared" ca="1" si="33"/>
        <v/>
      </c>
      <c r="M552" s="47" t="str">
        <f t="shared" ca="1" si="34"/>
        <v/>
      </c>
      <c r="R552" s="48" t="str">
        <f t="shared" si="35"/>
        <v/>
      </c>
      <c r="S552" s="48" t="str">
        <f t="shared" si="36"/>
        <v/>
      </c>
    </row>
    <row r="553" spans="5:19" x14ac:dyDescent="0.35">
      <c r="E553" s="30" t="s">
        <v>42</v>
      </c>
      <c r="F553" s="46"/>
      <c r="G553" s="46"/>
      <c r="H553" s="46"/>
      <c r="I553" s="46"/>
      <c r="J553" s="46"/>
      <c r="K553" s="46"/>
      <c r="L553" s="41" t="str">
        <f t="shared" ca="1" si="33"/>
        <v/>
      </c>
      <c r="M553" s="47" t="str">
        <f t="shared" ca="1" si="34"/>
        <v/>
      </c>
      <c r="R553" s="48" t="str">
        <f t="shared" si="35"/>
        <v/>
      </c>
      <c r="S553" s="48" t="str">
        <f t="shared" si="36"/>
        <v/>
      </c>
    </row>
    <row r="554" spans="5:19" x14ac:dyDescent="0.35">
      <c r="E554" s="30" t="s">
        <v>42</v>
      </c>
      <c r="F554" s="46"/>
      <c r="G554" s="46"/>
      <c r="H554" s="46"/>
      <c r="I554" s="46"/>
      <c r="J554" s="46"/>
      <c r="K554" s="46"/>
      <c r="L554" s="41" t="str">
        <f t="shared" ca="1" si="33"/>
        <v/>
      </c>
      <c r="M554" s="47" t="str">
        <f t="shared" ca="1" si="34"/>
        <v/>
      </c>
      <c r="R554" s="48" t="str">
        <f t="shared" si="35"/>
        <v/>
      </c>
      <c r="S554" s="48" t="str">
        <f t="shared" si="36"/>
        <v/>
      </c>
    </row>
    <row r="555" spans="5:19" x14ac:dyDescent="0.35">
      <c r="E555" s="30" t="s">
        <v>42</v>
      </c>
      <c r="F555" s="46"/>
      <c r="G555" s="46"/>
      <c r="H555" s="46"/>
      <c r="I555" s="46"/>
      <c r="J555" s="46"/>
      <c r="K555" s="46"/>
      <c r="L555" s="41" t="str">
        <f t="shared" ca="1" si="33"/>
        <v/>
      </c>
      <c r="M555" s="47" t="str">
        <f t="shared" ca="1" si="34"/>
        <v/>
      </c>
      <c r="R555" s="48" t="str">
        <f t="shared" si="35"/>
        <v/>
      </c>
      <c r="S555" s="48" t="str">
        <f t="shared" si="36"/>
        <v/>
      </c>
    </row>
    <row r="556" spans="5:19" x14ac:dyDescent="0.35">
      <c r="E556" s="30" t="s">
        <v>42</v>
      </c>
      <c r="F556" s="46"/>
      <c r="G556" s="46"/>
      <c r="H556" s="46"/>
      <c r="I556" s="46"/>
      <c r="J556" s="46"/>
      <c r="K556" s="46"/>
      <c r="L556" s="41" t="str">
        <f t="shared" ca="1" si="33"/>
        <v/>
      </c>
      <c r="M556" s="47" t="str">
        <f t="shared" ca="1" si="34"/>
        <v/>
      </c>
      <c r="R556" s="48" t="str">
        <f t="shared" si="35"/>
        <v/>
      </c>
      <c r="S556" s="48" t="str">
        <f t="shared" si="36"/>
        <v/>
      </c>
    </row>
    <row r="557" spans="5:19" x14ac:dyDescent="0.35">
      <c r="E557" s="30" t="s">
        <v>42</v>
      </c>
      <c r="F557" s="46"/>
      <c r="G557" s="46"/>
      <c r="H557" s="46"/>
      <c r="I557" s="46"/>
      <c r="J557" s="46"/>
      <c r="K557" s="46"/>
      <c r="L557" s="41" t="str">
        <f t="shared" ca="1" si="33"/>
        <v/>
      </c>
      <c r="M557" s="47" t="str">
        <f t="shared" ca="1" si="34"/>
        <v/>
      </c>
      <c r="R557" s="48" t="str">
        <f t="shared" si="35"/>
        <v/>
      </c>
      <c r="S557" s="48" t="str">
        <f t="shared" si="36"/>
        <v/>
      </c>
    </row>
    <row r="558" spans="5:19" x14ac:dyDescent="0.35">
      <c r="E558" s="30" t="s">
        <v>42</v>
      </c>
      <c r="F558" s="46"/>
      <c r="G558" s="46"/>
      <c r="H558" s="46"/>
      <c r="I558" s="46"/>
      <c r="J558" s="46"/>
      <c r="K558" s="46"/>
      <c r="L558" s="41" t="str">
        <f t="shared" ca="1" si="33"/>
        <v/>
      </c>
      <c r="M558" s="47" t="str">
        <f t="shared" ca="1" si="34"/>
        <v/>
      </c>
      <c r="R558" s="48" t="str">
        <f t="shared" si="35"/>
        <v/>
      </c>
      <c r="S558" s="48" t="str">
        <f t="shared" si="36"/>
        <v/>
      </c>
    </row>
    <row r="559" spans="5:19" x14ac:dyDescent="0.35">
      <c r="E559" s="30" t="s">
        <v>42</v>
      </c>
      <c r="F559" s="46"/>
      <c r="G559" s="46"/>
      <c r="H559" s="46"/>
      <c r="I559" s="46"/>
      <c r="J559" s="46"/>
      <c r="K559" s="46"/>
      <c r="L559" s="41" t="str">
        <f t="shared" ca="1" si="33"/>
        <v/>
      </c>
      <c r="M559" s="47" t="str">
        <f t="shared" ca="1" si="34"/>
        <v/>
      </c>
      <c r="R559" s="48" t="str">
        <f t="shared" si="35"/>
        <v/>
      </c>
      <c r="S559" s="48" t="str">
        <f t="shared" si="36"/>
        <v/>
      </c>
    </row>
    <row r="560" spans="5:19" x14ac:dyDescent="0.35">
      <c r="E560" s="30" t="s">
        <v>42</v>
      </c>
      <c r="F560" s="46"/>
      <c r="G560" s="46"/>
      <c r="H560" s="46"/>
      <c r="I560" s="46"/>
      <c r="J560" s="46"/>
      <c r="K560" s="46"/>
      <c r="L560" s="41" t="str">
        <f t="shared" ca="1" si="33"/>
        <v/>
      </c>
      <c r="M560" s="47" t="str">
        <f t="shared" ca="1" si="34"/>
        <v/>
      </c>
      <c r="R560" s="48" t="str">
        <f t="shared" si="35"/>
        <v/>
      </c>
      <c r="S560" s="48" t="str">
        <f t="shared" si="36"/>
        <v/>
      </c>
    </row>
    <row r="561" spans="5:19" x14ac:dyDescent="0.35">
      <c r="E561" s="30" t="s">
        <v>42</v>
      </c>
      <c r="F561" s="46"/>
      <c r="G561" s="46"/>
      <c r="H561" s="46"/>
      <c r="I561" s="46"/>
      <c r="J561" s="46"/>
      <c r="K561" s="46"/>
      <c r="L561" s="41" t="str">
        <f t="shared" ca="1" si="33"/>
        <v/>
      </c>
      <c r="M561" s="47" t="str">
        <f t="shared" ca="1" si="34"/>
        <v/>
      </c>
      <c r="R561" s="48" t="str">
        <f t="shared" si="35"/>
        <v/>
      </c>
      <c r="S561" s="48" t="str">
        <f t="shared" si="36"/>
        <v/>
      </c>
    </row>
    <row r="562" spans="5:19" x14ac:dyDescent="0.35">
      <c r="E562" s="30" t="s">
        <v>42</v>
      </c>
      <c r="F562" s="46"/>
      <c r="G562" s="46"/>
      <c r="H562" s="46"/>
      <c r="I562" s="46"/>
      <c r="J562" s="46"/>
      <c r="K562" s="46"/>
      <c r="L562" s="41" t="str">
        <f t="shared" ca="1" si="33"/>
        <v/>
      </c>
      <c r="M562" s="47" t="str">
        <f t="shared" ca="1" si="34"/>
        <v/>
      </c>
      <c r="R562" s="48" t="str">
        <f t="shared" si="35"/>
        <v/>
      </c>
      <c r="S562" s="48" t="str">
        <f t="shared" si="36"/>
        <v/>
      </c>
    </row>
    <row r="563" spans="5:19" x14ac:dyDescent="0.35">
      <c r="E563" s="30" t="s">
        <v>42</v>
      </c>
      <c r="F563" s="46"/>
      <c r="G563" s="46"/>
      <c r="H563" s="46"/>
      <c r="I563" s="46"/>
      <c r="J563" s="46"/>
      <c r="K563" s="46"/>
      <c r="L563" s="41" t="str">
        <f t="shared" ca="1" si="33"/>
        <v/>
      </c>
      <c r="M563" s="47" t="str">
        <f t="shared" ca="1" si="34"/>
        <v/>
      </c>
      <c r="R563" s="48" t="str">
        <f t="shared" si="35"/>
        <v/>
      </c>
      <c r="S563" s="48" t="str">
        <f t="shared" si="36"/>
        <v/>
      </c>
    </row>
    <row r="564" spans="5:19" x14ac:dyDescent="0.35">
      <c r="E564" s="30" t="s">
        <v>42</v>
      </c>
      <c r="F564" s="46"/>
      <c r="G564" s="46"/>
      <c r="H564" s="46"/>
      <c r="I564" s="46"/>
      <c r="J564" s="46"/>
      <c r="K564" s="46"/>
      <c r="L564" s="41" t="str">
        <f t="shared" ca="1" si="33"/>
        <v/>
      </c>
      <c r="M564" s="47" t="str">
        <f t="shared" ca="1" si="34"/>
        <v/>
      </c>
      <c r="R564" s="48" t="str">
        <f t="shared" si="35"/>
        <v/>
      </c>
      <c r="S564" s="48" t="str">
        <f t="shared" si="36"/>
        <v/>
      </c>
    </row>
    <row r="565" spans="5:19" x14ac:dyDescent="0.35">
      <c r="E565" s="30" t="s">
        <v>42</v>
      </c>
      <c r="F565" s="46"/>
      <c r="G565" s="46"/>
      <c r="H565" s="46"/>
      <c r="I565" s="46"/>
      <c r="J565" s="46"/>
      <c r="K565" s="46"/>
      <c r="L565" s="41" t="str">
        <f t="shared" ca="1" si="33"/>
        <v/>
      </c>
      <c r="M565" s="47" t="str">
        <f t="shared" ca="1" si="34"/>
        <v/>
      </c>
      <c r="R565" s="48" t="str">
        <f t="shared" si="35"/>
        <v/>
      </c>
      <c r="S565" s="48" t="str">
        <f t="shared" si="36"/>
        <v/>
      </c>
    </row>
    <row r="566" spans="5:19" x14ac:dyDescent="0.35">
      <c r="E566" s="30" t="s">
        <v>42</v>
      </c>
      <c r="F566" s="46"/>
      <c r="G566" s="46"/>
      <c r="H566" s="46"/>
      <c r="I566" s="46"/>
      <c r="J566" s="46"/>
      <c r="K566" s="46"/>
      <c r="L566" s="41" t="str">
        <f t="shared" ca="1" si="33"/>
        <v/>
      </c>
      <c r="M566" s="47" t="str">
        <f t="shared" ca="1" si="34"/>
        <v/>
      </c>
      <c r="R566" s="48" t="str">
        <f t="shared" si="35"/>
        <v/>
      </c>
      <c r="S566" s="48" t="str">
        <f t="shared" si="36"/>
        <v/>
      </c>
    </row>
    <row r="567" spans="5:19" x14ac:dyDescent="0.35">
      <c r="E567" s="30" t="s">
        <v>42</v>
      </c>
      <c r="F567" s="46"/>
      <c r="G567" s="46"/>
      <c r="H567" s="46"/>
      <c r="I567" s="46"/>
      <c r="J567" s="46"/>
      <c r="K567" s="46"/>
      <c r="L567" s="41" t="str">
        <f t="shared" ca="1" si="33"/>
        <v/>
      </c>
      <c r="M567" s="47" t="str">
        <f t="shared" ca="1" si="34"/>
        <v/>
      </c>
      <c r="R567" s="48" t="str">
        <f t="shared" si="35"/>
        <v/>
      </c>
      <c r="S567" s="48" t="str">
        <f t="shared" si="36"/>
        <v/>
      </c>
    </row>
    <row r="568" spans="5:19" x14ac:dyDescent="0.35">
      <c r="E568" s="30" t="s">
        <v>42</v>
      </c>
      <c r="F568" s="46"/>
      <c r="G568" s="46"/>
      <c r="H568" s="46"/>
      <c r="I568" s="46"/>
      <c r="J568" s="46"/>
      <c r="K568" s="46"/>
      <c r="L568" s="41" t="str">
        <f t="shared" ca="1" si="33"/>
        <v/>
      </c>
      <c r="M568" s="47" t="str">
        <f t="shared" ca="1" si="34"/>
        <v/>
      </c>
      <c r="R568" s="48" t="str">
        <f t="shared" si="35"/>
        <v/>
      </c>
      <c r="S568" s="48" t="str">
        <f t="shared" si="36"/>
        <v/>
      </c>
    </row>
    <row r="569" spans="5:19" x14ac:dyDescent="0.35">
      <c r="E569" s="30" t="s">
        <v>42</v>
      </c>
      <c r="F569" s="46"/>
      <c r="G569" s="46"/>
      <c r="H569" s="46"/>
      <c r="I569" s="46"/>
      <c r="J569" s="46"/>
      <c r="K569" s="46"/>
      <c r="L569" s="41" t="str">
        <f t="shared" ca="1" si="33"/>
        <v/>
      </c>
      <c r="M569" s="47" t="str">
        <f t="shared" ca="1" si="34"/>
        <v/>
      </c>
      <c r="R569" s="48" t="str">
        <f t="shared" si="35"/>
        <v/>
      </c>
      <c r="S569" s="48" t="str">
        <f t="shared" si="36"/>
        <v/>
      </c>
    </row>
    <row r="570" spans="5:19" x14ac:dyDescent="0.35">
      <c r="E570" s="30" t="s">
        <v>42</v>
      </c>
      <c r="F570" s="46"/>
      <c r="G570" s="46"/>
      <c r="H570" s="46"/>
      <c r="I570" s="46"/>
      <c r="J570" s="46"/>
      <c r="K570" s="46"/>
      <c r="L570" s="41" t="str">
        <f t="shared" ca="1" si="33"/>
        <v/>
      </c>
      <c r="M570" s="47" t="str">
        <f t="shared" ca="1" si="34"/>
        <v/>
      </c>
      <c r="R570" s="48" t="str">
        <f t="shared" si="35"/>
        <v/>
      </c>
      <c r="S570" s="48" t="str">
        <f t="shared" si="36"/>
        <v/>
      </c>
    </row>
    <row r="571" spans="5:19" x14ac:dyDescent="0.35">
      <c r="E571" s="30" t="s">
        <v>42</v>
      </c>
      <c r="F571" s="46"/>
      <c r="G571" s="46"/>
      <c r="H571" s="46"/>
      <c r="I571" s="46"/>
      <c r="J571" s="46"/>
      <c r="K571" s="46"/>
      <c r="L571" s="41" t="str">
        <f t="shared" ca="1" si="33"/>
        <v/>
      </c>
      <c r="M571" s="47" t="str">
        <f t="shared" ca="1" si="34"/>
        <v/>
      </c>
      <c r="R571" s="48" t="str">
        <f t="shared" si="35"/>
        <v/>
      </c>
      <c r="S571" s="48" t="str">
        <f t="shared" si="36"/>
        <v/>
      </c>
    </row>
    <row r="572" spans="5:19" x14ac:dyDescent="0.35">
      <c r="E572" s="30" t="s">
        <v>42</v>
      </c>
      <c r="F572" s="46"/>
      <c r="G572" s="46"/>
      <c r="H572" s="46"/>
      <c r="I572" s="46"/>
      <c r="J572" s="46"/>
      <c r="K572" s="46"/>
      <c r="L572" s="41" t="str">
        <f t="shared" ca="1" si="33"/>
        <v/>
      </c>
      <c r="M572" s="47" t="str">
        <f t="shared" ca="1" si="34"/>
        <v/>
      </c>
      <c r="R572" s="48" t="str">
        <f t="shared" si="35"/>
        <v/>
      </c>
      <c r="S572" s="48" t="str">
        <f t="shared" si="36"/>
        <v/>
      </c>
    </row>
    <row r="573" spans="5:19" x14ac:dyDescent="0.35">
      <c r="E573" s="30" t="s">
        <v>42</v>
      </c>
      <c r="F573" s="46"/>
      <c r="G573" s="46"/>
      <c r="H573" s="46"/>
      <c r="I573" s="46"/>
      <c r="J573" s="46"/>
      <c r="K573" s="46"/>
      <c r="L573" s="41" t="str">
        <f t="shared" ca="1" si="33"/>
        <v/>
      </c>
      <c r="M573" s="47" t="str">
        <f t="shared" ca="1" si="34"/>
        <v/>
      </c>
      <c r="R573" s="48" t="str">
        <f t="shared" si="35"/>
        <v/>
      </c>
      <c r="S573" s="48" t="str">
        <f t="shared" si="36"/>
        <v/>
      </c>
    </row>
    <row r="574" spans="5:19" x14ac:dyDescent="0.35">
      <c r="E574" s="30" t="s">
        <v>42</v>
      </c>
      <c r="F574" s="46"/>
      <c r="G574" s="46"/>
      <c r="H574" s="46"/>
      <c r="I574" s="46"/>
      <c r="J574" s="46"/>
      <c r="K574" s="46"/>
      <c r="L574" s="41" t="str">
        <f t="shared" ca="1" si="33"/>
        <v/>
      </c>
      <c r="M574" s="47" t="str">
        <f t="shared" ca="1" si="34"/>
        <v/>
      </c>
      <c r="R574" s="48" t="str">
        <f t="shared" si="35"/>
        <v/>
      </c>
      <c r="S574" s="48" t="str">
        <f t="shared" si="36"/>
        <v/>
      </c>
    </row>
    <row r="575" spans="5:19" x14ac:dyDescent="0.35">
      <c r="E575" s="30" t="s">
        <v>42</v>
      </c>
      <c r="F575" s="46"/>
      <c r="G575" s="46"/>
      <c r="H575" s="46"/>
      <c r="I575" s="46"/>
      <c r="J575" s="46"/>
      <c r="K575" s="46"/>
      <c r="L575" s="41" t="str">
        <f t="shared" ca="1" si="33"/>
        <v/>
      </c>
      <c r="M575" s="47" t="str">
        <f t="shared" ca="1" si="34"/>
        <v/>
      </c>
      <c r="R575" s="48" t="str">
        <f t="shared" si="35"/>
        <v/>
      </c>
      <c r="S575" s="48" t="str">
        <f t="shared" si="36"/>
        <v/>
      </c>
    </row>
    <row r="576" spans="5:19" x14ac:dyDescent="0.35">
      <c r="E576" s="30" t="s">
        <v>42</v>
      </c>
      <c r="F576" s="46"/>
      <c r="G576" s="46"/>
      <c r="H576" s="46"/>
      <c r="I576" s="46"/>
      <c r="J576" s="46"/>
      <c r="K576" s="46"/>
      <c r="L576" s="41" t="str">
        <f t="shared" ca="1" si="33"/>
        <v/>
      </c>
      <c r="M576" s="47" t="str">
        <f t="shared" ca="1" si="34"/>
        <v/>
      </c>
      <c r="R576" s="48" t="str">
        <f t="shared" si="35"/>
        <v/>
      </c>
      <c r="S576" s="48" t="str">
        <f t="shared" si="36"/>
        <v/>
      </c>
    </row>
    <row r="577" spans="5:19" x14ac:dyDescent="0.35">
      <c r="E577" s="30" t="s">
        <v>42</v>
      </c>
      <c r="F577" s="46"/>
      <c r="G577" s="46"/>
      <c r="H577" s="46"/>
      <c r="I577" s="46"/>
      <c r="J577" s="46"/>
      <c r="K577" s="46"/>
      <c r="L577" s="41" t="str">
        <f t="shared" ca="1" si="33"/>
        <v/>
      </c>
      <c r="M577" s="47" t="str">
        <f t="shared" ca="1" si="34"/>
        <v/>
      </c>
      <c r="R577" s="48" t="str">
        <f t="shared" si="35"/>
        <v/>
      </c>
      <c r="S577" s="48" t="str">
        <f t="shared" si="36"/>
        <v/>
      </c>
    </row>
    <row r="578" spans="5:19" x14ac:dyDescent="0.35">
      <c r="E578" s="30" t="s">
        <v>42</v>
      </c>
      <c r="F578" s="46"/>
      <c r="G578" s="46"/>
      <c r="H578" s="46"/>
      <c r="I578" s="46"/>
      <c r="J578" s="46"/>
      <c r="K578" s="46"/>
      <c r="L578" s="41" t="str">
        <f t="shared" ca="1" si="33"/>
        <v/>
      </c>
      <c r="M578" s="47" t="str">
        <f t="shared" ca="1" si="34"/>
        <v/>
      </c>
      <c r="R578" s="48" t="str">
        <f t="shared" si="35"/>
        <v/>
      </c>
      <c r="S578" s="48" t="str">
        <f t="shared" si="36"/>
        <v/>
      </c>
    </row>
    <row r="579" spans="5:19" x14ac:dyDescent="0.35">
      <c r="E579" s="30" t="s">
        <v>42</v>
      </c>
      <c r="F579" s="46"/>
      <c r="G579" s="46"/>
      <c r="H579" s="46"/>
      <c r="I579" s="46"/>
      <c r="J579" s="46"/>
      <c r="K579" s="46"/>
      <c r="L579" s="41" t="str">
        <f t="shared" ca="1" si="33"/>
        <v/>
      </c>
      <c r="M579" s="47" t="str">
        <f t="shared" ca="1" si="34"/>
        <v/>
      </c>
      <c r="R579" s="48" t="str">
        <f t="shared" si="35"/>
        <v/>
      </c>
      <c r="S579" s="48" t="str">
        <f t="shared" si="36"/>
        <v/>
      </c>
    </row>
    <row r="580" spans="5:19" x14ac:dyDescent="0.35">
      <c r="E580" s="30" t="s">
        <v>42</v>
      </c>
      <c r="F580" s="46"/>
      <c r="G580" s="46"/>
      <c r="H580" s="46"/>
      <c r="I580" s="46"/>
      <c r="J580" s="46"/>
      <c r="K580" s="46"/>
      <c r="L580" s="41" t="str">
        <f t="shared" ca="1" si="33"/>
        <v/>
      </c>
      <c r="M580" s="47" t="str">
        <f t="shared" ca="1" si="34"/>
        <v/>
      </c>
      <c r="R580" s="48" t="str">
        <f t="shared" si="35"/>
        <v/>
      </c>
      <c r="S580" s="48" t="str">
        <f t="shared" si="36"/>
        <v/>
      </c>
    </row>
    <row r="581" spans="5:19" x14ac:dyDescent="0.35">
      <c r="E581" s="30" t="s">
        <v>42</v>
      </c>
      <c r="F581" s="46"/>
      <c r="G581" s="46"/>
      <c r="H581" s="46"/>
      <c r="I581" s="46"/>
      <c r="J581" s="46"/>
      <c r="K581" s="46"/>
      <c r="L581" s="41" t="str">
        <f t="shared" ca="1" si="33"/>
        <v/>
      </c>
      <c r="M581" s="47" t="str">
        <f t="shared" ca="1" si="34"/>
        <v/>
      </c>
      <c r="R581" s="48" t="str">
        <f t="shared" si="35"/>
        <v/>
      </c>
      <c r="S581" s="48" t="str">
        <f t="shared" si="36"/>
        <v/>
      </c>
    </row>
    <row r="582" spans="5:19" x14ac:dyDescent="0.35">
      <c r="E582" s="30" t="s">
        <v>42</v>
      </c>
      <c r="F582" s="46"/>
      <c r="G582" s="46"/>
      <c r="H582" s="46"/>
      <c r="I582" s="46"/>
      <c r="J582" s="46"/>
      <c r="K582" s="46"/>
      <c r="L582" s="41" t="str">
        <f t="shared" ref="L582:L645" ca="1" si="37">IF(AND(C582&lt;&gt;"",C582&lt;&gt;R582),TODAY(),IF(C582="","",L582))</f>
        <v/>
      </c>
      <c r="M582" s="47" t="str">
        <f t="shared" ref="M582:M645" ca="1" si="38">IF(AND(C582&lt;&gt;"",C582&lt;&gt;S582),NOW(),IF(C582="","",M582))</f>
        <v/>
      </c>
      <c r="R582" s="48" t="str">
        <f t="shared" ref="R582:R645" si="39">IF(C582="","",IF(OR(L582="",AND(ISNUMBER(R582),C582=R582)),R582,C582))</f>
        <v/>
      </c>
      <c r="S582" s="48" t="str">
        <f t="shared" ref="S582:S645" si="40">IF(C582="","",IF(OR(M582="",AND(ISNUMBER(S582),C582=S582)),S582,C582))</f>
        <v/>
      </c>
    </row>
    <row r="583" spans="5:19" x14ac:dyDescent="0.35">
      <c r="E583" s="30" t="s">
        <v>42</v>
      </c>
      <c r="F583" s="46"/>
      <c r="G583" s="46"/>
      <c r="H583" s="46"/>
      <c r="I583" s="46"/>
      <c r="J583" s="46"/>
      <c r="K583" s="46"/>
      <c r="L583" s="41" t="str">
        <f t="shared" ca="1" si="37"/>
        <v/>
      </c>
      <c r="M583" s="47" t="str">
        <f t="shared" ca="1" si="38"/>
        <v/>
      </c>
      <c r="R583" s="48" t="str">
        <f t="shared" si="39"/>
        <v/>
      </c>
      <c r="S583" s="48" t="str">
        <f t="shared" si="40"/>
        <v/>
      </c>
    </row>
    <row r="584" spans="5:19" x14ac:dyDescent="0.35">
      <c r="E584" s="30" t="s">
        <v>42</v>
      </c>
      <c r="F584" s="46"/>
      <c r="G584" s="46"/>
      <c r="H584" s="46"/>
      <c r="I584" s="46"/>
      <c r="J584" s="46"/>
      <c r="K584" s="46"/>
      <c r="L584" s="41" t="str">
        <f t="shared" ca="1" si="37"/>
        <v/>
      </c>
      <c r="M584" s="47" t="str">
        <f t="shared" ca="1" si="38"/>
        <v/>
      </c>
      <c r="R584" s="48" t="str">
        <f t="shared" si="39"/>
        <v/>
      </c>
      <c r="S584" s="48" t="str">
        <f t="shared" si="40"/>
        <v/>
      </c>
    </row>
    <row r="585" spans="5:19" x14ac:dyDescent="0.35">
      <c r="E585" s="30" t="s">
        <v>42</v>
      </c>
      <c r="F585" s="46"/>
      <c r="G585" s="46"/>
      <c r="H585" s="46"/>
      <c r="I585" s="46"/>
      <c r="J585" s="46"/>
      <c r="K585" s="46"/>
      <c r="L585" s="41" t="str">
        <f t="shared" ca="1" si="37"/>
        <v/>
      </c>
      <c r="M585" s="47" t="str">
        <f t="shared" ca="1" si="38"/>
        <v/>
      </c>
      <c r="R585" s="48" t="str">
        <f t="shared" si="39"/>
        <v/>
      </c>
      <c r="S585" s="48" t="str">
        <f t="shared" si="40"/>
        <v/>
      </c>
    </row>
    <row r="586" spans="5:19" x14ac:dyDescent="0.35">
      <c r="E586" s="30" t="s">
        <v>42</v>
      </c>
      <c r="F586" s="46"/>
      <c r="G586" s="46"/>
      <c r="H586" s="46"/>
      <c r="I586" s="46"/>
      <c r="J586" s="46"/>
      <c r="K586" s="46"/>
      <c r="L586" s="41" t="str">
        <f t="shared" ca="1" si="37"/>
        <v/>
      </c>
      <c r="M586" s="47" t="str">
        <f t="shared" ca="1" si="38"/>
        <v/>
      </c>
      <c r="R586" s="48" t="str">
        <f t="shared" si="39"/>
        <v/>
      </c>
      <c r="S586" s="48" t="str">
        <f t="shared" si="40"/>
        <v/>
      </c>
    </row>
    <row r="587" spans="5:19" x14ac:dyDescent="0.35">
      <c r="E587" s="30" t="s">
        <v>42</v>
      </c>
      <c r="F587" s="46"/>
      <c r="G587" s="46"/>
      <c r="H587" s="46"/>
      <c r="I587" s="46"/>
      <c r="J587" s="46"/>
      <c r="K587" s="46"/>
      <c r="L587" s="41" t="str">
        <f t="shared" ca="1" si="37"/>
        <v/>
      </c>
      <c r="M587" s="47" t="str">
        <f t="shared" ca="1" si="38"/>
        <v/>
      </c>
      <c r="R587" s="48" t="str">
        <f t="shared" si="39"/>
        <v/>
      </c>
      <c r="S587" s="48" t="str">
        <f t="shared" si="40"/>
        <v/>
      </c>
    </row>
    <row r="588" spans="5:19" x14ac:dyDescent="0.35">
      <c r="E588" s="30" t="s">
        <v>42</v>
      </c>
      <c r="F588" s="46"/>
      <c r="G588" s="46"/>
      <c r="H588" s="46"/>
      <c r="I588" s="46"/>
      <c r="J588" s="46"/>
      <c r="K588" s="46"/>
      <c r="L588" s="41" t="str">
        <f t="shared" ca="1" si="37"/>
        <v/>
      </c>
      <c r="M588" s="47" t="str">
        <f t="shared" ca="1" si="38"/>
        <v/>
      </c>
      <c r="R588" s="48" t="str">
        <f t="shared" si="39"/>
        <v/>
      </c>
      <c r="S588" s="48" t="str">
        <f t="shared" si="40"/>
        <v/>
      </c>
    </row>
    <row r="589" spans="5:19" x14ac:dyDescent="0.35">
      <c r="E589" s="30" t="s">
        <v>42</v>
      </c>
      <c r="F589" s="46"/>
      <c r="G589" s="46"/>
      <c r="H589" s="46"/>
      <c r="I589" s="46"/>
      <c r="J589" s="46"/>
      <c r="K589" s="46"/>
      <c r="L589" s="41" t="str">
        <f t="shared" ca="1" si="37"/>
        <v/>
      </c>
      <c r="M589" s="47" t="str">
        <f t="shared" ca="1" si="38"/>
        <v/>
      </c>
      <c r="R589" s="48" t="str">
        <f t="shared" si="39"/>
        <v/>
      </c>
      <c r="S589" s="48" t="str">
        <f t="shared" si="40"/>
        <v/>
      </c>
    </row>
    <row r="590" spans="5:19" x14ac:dyDescent="0.35">
      <c r="E590" s="30" t="s">
        <v>42</v>
      </c>
      <c r="F590" s="46"/>
      <c r="G590" s="46"/>
      <c r="H590" s="46"/>
      <c r="I590" s="46"/>
      <c r="J590" s="46"/>
      <c r="K590" s="46"/>
      <c r="L590" s="41" t="str">
        <f t="shared" ca="1" si="37"/>
        <v/>
      </c>
      <c r="M590" s="47" t="str">
        <f t="shared" ca="1" si="38"/>
        <v/>
      </c>
      <c r="R590" s="48" t="str">
        <f t="shared" si="39"/>
        <v/>
      </c>
      <c r="S590" s="48" t="str">
        <f t="shared" si="40"/>
        <v/>
      </c>
    </row>
    <row r="591" spans="5:19" x14ac:dyDescent="0.35">
      <c r="E591" s="30" t="s">
        <v>42</v>
      </c>
      <c r="F591" s="46"/>
      <c r="G591" s="46"/>
      <c r="H591" s="46"/>
      <c r="I591" s="46"/>
      <c r="J591" s="46"/>
      <c r="K591" s="46"/>
      <c r="L591" s="41" t="str">
        <f t="shared" ca="1" si="37"/>
        <v/>
      </c>
      <c r="M591" s="47" t="str">
        <f t="shared" ca="1" si="38"/>
        <v/>
      </c>
      <c r="R591" s="48" t="str">
        <f t="shared" si="39"/>
        <v/>
      </c>
      <c r="S591" s="48" t="str">
        <f t="shared" si="40"/>
        <v/>
      </c>
    </row>
    <row r="592" spans="5:19" x14ac:dyDescent="0.35">
      <c r="E592" s="30" t="s">
        <v>42</v>
      </c>
      <c r="F592" s="46"/>
      <c r="G592" s="46"/>
      <c r="H592" s="46"/>
      <c r="I592" s="46"/>
      <c r="J592" s="46"/>
      <c r="K592" s="46"/>
      <c r="L592" s="41" t="str">
        <f t="shared" ca="1" si="37"/>
        <v/>
      </c>
      <c r="M592" s="47" t="str">
        <f t="shared" ca="1" si="38"/>
        <v/>
      </c>
      <c r="R592" s="48" t="str">
        <f t="shared" si="39"/>
        <v/>
      </c>
      <c r="S592" s="48" t="str">
        <f t="shared" si="40"/>
        <v/>
      </c>
    </row>
    <row r="593" spans="5:19" x14ac:dyDescent="0.35">
      <c r="E593" s="30" t="s">
        <v>42</v>
      </c>
      <c r="F593" s="46"/>
      <c r="G593" s="46"/>
      <c r="H593" s="46"/>
      <c r="I593" s="46"/>
      <c r="J593" s="46"/>
      <c r="K593" s="46"/>
      <c r="L593" s="41" t="str">
        <f t="shared" ca="1" si="37"/>
        <v/>
      </c>
      <c r="M593" s="47" t="str">
        <f t="shared" ca="1" si="38"/>
        <v/>
      </c>
      <c r="R593" s="48" t="str">
        <f t="shared" si="39"/>
        <v/>
      </c>
      <c r="S593" s="48" t="str">
        <f t="shared" si="40"/>
        <v/>
      </c>
    </row>
    <row r="594" spans="5:19" x14ac:dyDescent="0.35">
      <c r="E594" s="30" t="s">
        <v>42</v>
      </c>
      <c r="F594" s="46"/>
      <c r="G594" s="46"/>
      <c r="H594" s="46"/>
      <c r="I594" s="46"/>
      <c r="J594" s="46"/>
      <c r="K594" s="46"/>
      <c r="L594" s="41" t="str">
        <f t="shared" ca="1" si="37"/>
        <v/>
      </c>
      <c r="M594" s="47" t="str">
        <f t="shared" ca="1" si="38"/>
        <v/>
      </c>
      <c r="R594" s="48" t="str">
        <f t="shared" si="39"/>
        <v/>
      </c>
      <c r="S594" s="48" t="str">
        <f t="shared" si="40"/>
        <v/>
      </c>
    </row>
    <row r="595" spans="5:19" x14ac:dyDescent="0.35">
      <c r="E595" s="30" t="s">
        <v>42</v>
      </c>
      <c r="F595" s="46"/>
      <c r="G595" s="46"/>
      <c r="H595" s="46"/>
      <c r="I595" s="46"/>
      <c r="J595" s="46"/>
      <c r="K595" s="46"/>
      <c r="L595" s="41" t="str">
        <f t="shared" ca="1" si="37"/>
        <v/>
      </c>
      <c r="M595" s="47" t="str">
        <f t="shared" ca="1" si="38"/>
        <v/>
      </c>
      <c r="R595" s="48" t="str">
        <f t="shared" si="39"/>
        <v/>
      </c>
      <c r="S595" s="48" t="str">
        <f t="shared" si="40"/>
        <v/>
      </c>
    </row>
    <row r="596" spans="5:19" x14ac:dyDescent="0.35">
      <c r="E596" s="30" t="s">
        <v>42</v>
      </c>
      <c r="F596" s="46"/>
      <c r="G596" s="46"/>
      <c r="H596" s="46"/>
      <c r="I596" s="46"/>
      <c r="J596" s="46"/>
      <c r="K596" s="46"/>
      <c r="L596" s="41" t="str">
        <f t="shared" ca="1" si="37"/>
        <v/>
      </c>
      <c r="M596" s="47" t="str">
        <f t="shared" ca="1" si="38"/>
        <v/>
      </c>
      <c r="R596" s="48" t="str">
        <f t="shared" si="39"/>
        <v/>
      </c>
      <c r="S596" s="48" t="str">
        <f t="shared" si="40"/>
        <v/>
      </c>
    </row>
    <row r="597" spans="5:19" x14ac:dyDescent="0.35">
      <c r="E597" s="30" t="s">
        <v>42</v>
      </c>
      <c r="F597" s="46"/>
      <c r="G597" s="46"/>
      <c r="H597" s="46"/>
      <c r="I597" s="46"/>
      <c r="J597" s="46"/>
      <c r="K597" s="46"/>
      <c r="L597" s="41" t="str">
        <f t="shared" ca="1" si="37"/>
        <v/>
      </c>
      <c r="M597" s="47" t="str">
        <f t="shared" ca="1" si="38"/>
        <v/>
      </c>
      <c r="R597" s="48" t="str">
        <f t="shared" si="39"/>
        <v/>
      </c>
      <c r="S597" s="48" t="str">
        <f t="shared" si="40"/>
        <v/>
      </c>
    </row>
    <row r="598" spans="5:19" x14ac:dyDescent="0.35">
      <c r="E598" s="30" t="s">
        <v>42</v>
      </c>
      <c r="F598" s="46"/>
      <c r="G598" s="46"/>
      <c r="H598" s="46"/>
      <c r="I598" s="46"/>
      <c r="J598" s="46"/>
      <c r="K598" s="46"/>
      <c r="L598" s="41" t="str">
        <f t="shared" ca="1" si="37"/>
        <v/>
      </c>
      <c r="M598" s="47" t="str">
        <f t="shared" ca="1" si="38"/>
        <v/>
      </c>
      <c r="R598" s="48" t="str">
        <f t="shared" si="39"/>
        <v/>
      </c>
      <c r="S598" s="48" t="str">
        <f t="shared" si="40"/>
        <v/>
      </c>
    </row>
    <row r="599" spans="5:19" x14ac:dyDescent="0.35">
      <c r="E599" s="30" t="s">
        <v>42</v>
      </c>
      <c r="F599" s="46"/>
      <c r="G599" s="46"/>
      <c r="H599" s="46"/>
      <c r="I599" s="46"/>
      <c r="J599" s="46"/>
      <c r="K599" s="46"/>
      <c r="L599" s="41" t="str">
        <f t="shared" ca="1" si="37"/>
        <v/>
      </c>
      <c r="M599" s="47" t="str">
        <f t="shared" ca="1" si="38"/>
        <v/>
      </c>
      <c r="R599" s="48" t="str">
        <f t="shared" si="39"/>
        <v/>
      </c>
      <c r="S599" s="48" t="str">
        <f t="shared" si="40"/>
        <v/>
      </c>
    </row>
    <row r="600" spans="5:19" x14ac:dyDescent="0.35">
      <c r="E600" s="30" t="s">
        <v>42</v>
      </c>
      <c r="F600" s="46"/>
      <c r="G600" s="46"/>
      <c r="H600" s="46"/>
      <c r="I600" s="46"/>
      <c r="J600" s="46"/>
      <c r="K600" s="46"/>
      <c r="L600" s="41" t="str">
        <f t="shared" ca="1" si="37"/>
        <v/>
      </c>
      <c r="M600" s="47" t="str">
        <f t="shared" ca="1" si="38"/>
        <v/>
      </c>
      <c r="R600" s="48" t="str">
        <f t="shared" si="39"/>
        <v/>
      </c>
      <c r="S600" s="48" t="str">
        <f t="shared" si="40"/>
        <v/>
      </c>
    </row>
    <row r="601" spans="5:19" x14ac:dyDescent="0.35">
      <c r="E601" s="30" t="s">
        <v>42</v>
      </c>
      <c r="F601" s="46"/>
      <c r="G601" s="46"/>
      <c r="H601" s="46"/>
      <c r="I601" s="46"/>
      <c r="J601" s="46"/>
      <c r="K601" s="46"/>
      <c r="L601" s="41" t="str">
        <f t="shared" ca="1" si="37"/>
        <v/>
      </c>
      <c r="M601" s="47" t="str">
        <f t="shared" ca="1" si="38"/>
        <v/>
      </c>
      <c r="R601" s="48" t="str">
        <f t="shared" si="39"/>
        <v/>
      </c>
      <c r="S601" s="48" t="str">
        <f t="shared" si="40"/>
        <v/>
      </c>
    </row>
    <row r="602" spans="5:19" x14ac:dyDescent="0.35">
      <c r="E602" s="30" t="s">
        <v>42</v>
      </c>
      <c r="F602" s="46"/>
      <c r="G602" s="46"/>
      <c r="H602" s="46"/>
      <c r="I602" s="46"/>
      <c r="J602" s="46"/>
      <c r="K602" s="46"/>
      <c r="L602" s="41" t="str">
        <f t="shared" ca="1" si="37"/>
        <v/>
      </c>
      <c r="M602" s="47" t="str">
        <f t="shared" ca="1" si="38"/>
        <v/>
      </c>
      <c r="R602" s="48" t="str">
        <f t="shared" si="39"/>
        <v/>
      </c>
      <c r="S602" s="48" t="str">
        <f t="shared" si="40"/>
        <v/>
      </c>
    </row>
    <row r="603" spans="5:19" x14ac:dyDescent="0.35">
      <c r="E603" s="30" t="s">
        <v>42</v>
      </c>
      <c r="F603" s="46"/>
      <c r="G603" s="46"/>
      <c r="H603" s="46"/>
      <c r="I603" s="46"/>
      <c r="J603" s="46"/>
      <c r="K603" s="46"/>
      <c r="L603" s="41" t="str">
        <f t="shared" ca="1" si="37"/>
        <v/>
      </c>
      <c r="M603" s="47" t="str">
        <f t="shared" ca="1" si="38"/>
        <v/>
      </c>
      <c r="R603" s="48" t="str">
        <f t="shared" si="39"/>
        <v/>
      </c>
      <c r="S603" s="48" t="str">
        <f t="shared" si="40"/>
        <v/>
      </c>
    </row>
    <row r="604" spans="5:19" x14ac:dyDescent="0.35">
      <c r="E604" s="30" t="s">
        <v>42</v>
      </c>
      <c r="F604" s="46"/>
      <c r="G604" s="46"/>
      <c r="H604" s="46"/>
      <c r="I604" s="46"/>
      <c r="J604" s="46"/>
      <c r="K604" s="46"/>
      <c r="L604" s="41" t="str">
        <f t="shared" ca="1" si="37"/>
        <v/>
      </c>
      <c r="M604" s="47" t="str">
        <f t="shared" ca="1" si="38"/>
        <v/>
      </c>
      <c r="R604" s="48" t="str">
        <f t="shared" si="39"/>
        <v/>
      </c>
      <c r="S604" s="48" t="str">
        <f t="shared" si="40"/>
        <v/>
      </c>
    </row>
    <row r="605" spans="5:19" x14ac:dyDescent="0.35">
      <c r="E605" s="30" t="s">
        <v>42</v>
      </c>
      <c r="F605" s="46"/>
      <c r="G605" s="46"/>
      <c r="H605" s="46"/>
      <c r="I605" s="46"/>
      <c r="J605" s="46"/>
      <c r="K605" s="46"/>
      <c r="L605" s="41" t="str">
        <f t="shared" ca="1" si="37"/>
        <v/>
      </c>
      <c r="M605" s="47" t="str">
        <f t="shared" ca="1" si="38"/>
        <v/>
      </c>
      <c r="R605" s="48" t="str">
        <f t="shared" si="39"/>
        <v/>
      </c>
      <c r="S605" s="48" t="str">
        <f t="shared" si="40"/>
        <v/>
      </c>
    </row>
    <row r="606" spans="5:19" x14ac:dyDescent="0.35">
      <c r="E606" s="30" t="s">
        <v>42</v>
      </c>
      <c r="F606" s="46"/>
      <c r="G606" s="46"/>
      <c r="H606" s="46"/>
      <c r="I606" s="46"/>
      <c r="J606" s="46"/>
      <c r="K606" s="46"/>
      <c r="L606" s="41" t="str">
        <f t="shared" ca="1" si="37"/>
        <v/>
      </c>
      <c r="M606" s="47" t="str">
        <f t="shared" ca="1" si="38"/>
        <v/>
      </c>
      <c r="R606" s="48" t="str">
        <f t="shared" si="39"/>
        <v/>
      </c>
      <c r="S606" s="48" t="str">
        <f t="shared" si="40"/>
        <v/>
      </c>
    </row>
    <row r="607" spans="5:19" x14ac:dyDescent="0.35">
      <c r="E607" s="30" t="s">
        <v>42</v>
      </c>
      <c r="F607" s="46"/>
      <c r="G607" s="46"/>
      <c r="H607" s="46"/>
      <c r="I607" s="46"/>
      <c r="J607" s="46"/>
      <c r="K607" s="46"/>
      <c r="L607" s="41" t="str">
        <f t="shared" ca="1" si="37"/>
        <v/>
      </c>
      <c r="M607" s="47" t="str">
        <f t="shared" ca="1" si="38"/>
        <v/>
      </c>
      <c r="R607" s="48" t="str">
        <f t="shared" si="39"/>
        <v/>
      </c>
      <c r="S607" s="48" t="str">
        <f t="shared" si="40"/>
        <v/>
      </c>
    </row>
    <row r="608" spans="5:19" x14ac:dyDescent="0.35">
      <c r="E608" s="30" t="s">
        <v>42</v>
      </c>
      <c r="F608" s="46"/>
      <c r="G608" s="46"/>
      <c r="H608" s="46"/>
      <c r="I608" s="46"/>
      <c r="J608" s="46"/>
      <c r="K608" s="46"/>
      <c r="L608" s="41" t="str">
        <f t="shared" ca="1" si="37"/>
        <v/>
      </c>
      <c r="M608" s="47" t="str">
        <f t="shared" ca="1" si="38"/>
        <v/>
      </c>
      <c r="R608" s="48" t="str">
        <f t="shared" si="39"/>
        <v/>
      </c>
      <c r="S608" s="48" t="str">
        <f t="shared" si="40"/>
        <v/>
      </c>
    </row>
    <row r="609" spans="5:19" x14ac:dyDescent="0.35">
      <c r="E609" s="30" t="s">
        <v>42</v>
      </c>
      <c r="F609" s="46"/>
      <c r="G609" s="46"/>
      <c r="H609" s="46"/>
      <c r="I609" s="46"/>
      <c r="J609" s="46"/>
      <c r="K609" s="46"/>
      <c r="L609" s="41" t="str">
        <f t="shared" ca="1" si="37"/>
        <v/>
      </c>
      <c r="M609" s="47" t="str">
        <f t="shared" ca="1" si="38"/>
        <v/>
      </c>
      <c r="R609" s="48" t="str">
        <f t="shared" si="39"/>
        <v/>
      </c>
      <c r="S609" s="48" t="str">
        <f t="shared" si="40"/>
        <v/>
      </c>
    </row>
    <row r="610" spans="5:19" x14ac:dyDescent="0.35">
      <c r="E610" s="30" t="s">
        <v>42</v>
      </c>
      <c r="F610" s="46"/>
      <c r="G610" s="46"/>
      <c r="H610" s="46"/>
      <c r="I610" s="46"/>
      <c r="J610" s="46"/>
      <c r="K610" s="46"/>
      <c r="L610" s="41" t="str">
        <f t="shared" ca="1" si="37"/>
        <v/>
      </c>
      <c r="M610" s="47" t="str">
        <f t="shared" ca="1" si="38"/>
        <v/>
      </c>
      <c r="R610" s="48" t="str">
        <f t="shared" si="39"/>
        <v/>
      </c>
      <c r="S610" s="48" t="str">
        <f t="shared" si="40"/>
        <v/>
      </c>
    </row>
    <row r="611" spans="5:19" x14ac:dyDescent="0.35">
      <c r="E611" s="30" t="s">
        <v>42</v>
      </c>
      <c r="F611" s="46"/>
      <c r="G611" s="46"/>
      <c r="H611" s="46"/>
      <c r="I611" s="46"/>
      <c r="J611" s="46"/>
      <c r="K611" s="46"/>
      <c r="L611" s="41" t="str">
        <f t="shared" ca="1" si="37"/>
        <v/>
      </c>
      <c r="M611" s="47" t="str">
        <f t="shared" ca="1" si="38"/>
        <v/>
      </c>
      <c r="R611" s="48" t="str">
        <f t="shared" si="39"/>
        <v/>
      </c>
      <c r="S611" s="48" t="str">
        <f t="shared" si="40"/>
        <v/>
      </c>
    </row>
    <row r="612" spans="5:19" x14ac:dyDescent="0.35">
      <c r="E612" s="30" t="s">
        <v>42</v>
      </c>
      <c r="F612" s="46"/>
      <c r="G612" s="46"/>
      <c r="H612" s="46"/>
      <c r="I612" s="46"/>
      <c r="J612" s="46"/>
      <c r="K612" s="46"/>
      <c r="L612" s="41" t="str">
        <f t="shared" ca="1" si="37"/>
        <v/>
      </c>
      <c r="M612" s="47" t="str">
        <f t="shared" ca="1" si="38"/>
        <v/>
      </c>
      <c r="R612" s="48" t="str">
        <f t="shared" si="39"/>
        <v/>
      </c>
      <c r="S612" s="48" t="str">
        <f t="shared" si="40"/>
        <v/>
      </c>
    </row>
    <row r="613" spans="5:19" x14ac:dyDescent="0.35">
      <c r="E613" s="30" t="s">
        <v>42</v>
      </c>
      <c r="F613" s="46"/>
      <c r="G613" s="46"/>
      <c r="H613" s="46"/>
      <c r="I613" s="46"/>
      <c r="J613" s="46"/>
      <c r="K613" s="46"/>
      <c r="L613" s="41" t="str">
        <f t="shared" ca="1" si="37"/>
        <v/>
      </c>
      <c r="M613" s="47" t="str">
        <f t="shared" ca="1" si="38"/>
        <v/>
      </c>
      <c r="R613" s="48" t="str">
        <f t="shared" si="39"/>
        <v/>
      </c>
      <c r="S613" s="48" t="str">
        <f t="shared" si="40"/>
        <v/>
      </c>
    </row>
    <row r="614" spans="5:19" x14ac:dyDescent="0.35">
      <c r="E614" s="30" t="s">
        <v>42</v>
      </c>
      <c r="F614" s="46"/>
      <c r="G614" s="46"/>
      <c r="H614" s="46"/>
      <c r="I614" s="46"/>
      <c r="J614" s="46"/>
      <c r="K614" s="46"/>
      <c r="L614" s="41" t="str">
        <f t="shared" ca="1" si="37"/>
        <v/>
      </c>
      <c r="M614" s="47" t="str">
        <f t="shared" ca="1" si="38"/>
        <v/>
      </c>
      <c r="R614" s="48" t="str">
        <f t="shared" si="39"/>
        <v/>
      </c>
      <c r="S614" s="48" t="str">
        <f t="shared" si="40"/>
        <v/>
      </c>
    </row>
    <row r="615" spans="5:19" x14ac:dyDescent="0.35">
      <c r="E615" s="30" t="s">
        <v>42</v>
      </c>
      <c r="F615" s="46"/>
      <c r="G615" s="46"/>
      <c r="H615" s="46"/>
      <c r="I615" s="46"/>
      <c r="J615" s="46"/>
      <c r="K615" s="46"/>
      <c r="L615" s="41" t="str">
        <f t="shared" ca="1" si="37"/>
        <v/>
      </c>
      <c r="M615" s="47" t="str">
        <f t="shared" ca="1" si="38"/>
        <v/>
      </c>
      <c r="R615" s="48" t="str">
        <f t="shared" si="39"/>
        <v/>
      </c>
      <c r="S615" s="48" t="str">
        <f t="shared" si="40"/>
        <v/>
      </c>
    </row>
    <row r="616" spans="5:19" x14ac:dyDescent="0.35">
      <c r="E616" s="30" t="s">
        <v>42</v>
      </c>
      <c r="F616" s="46"/>
      <c r="G616" s="46"/>
      <c r="H616" s="46"/>
      <c r="I616" s="46"/>
      <c r="J616" s="46"/>
      <c r="K616" s="46"/>
      <c r="L616" s="41" t="str">
        <f t="shared" ca="1" si="37"/>
        <v/>
      </c>
      <c r="M616" s="47" t="str">
        <f t="shared" ca="1" si="38"/>
        <v/>
      </c>
      <c r="R616" s="48" t="str">
        <f t="shared" si="39"/>
        <v/>
      </c>
      <c r="S616" s="48" t="str">
        <f t="shared" si="40"/>
        <v/>
      </c>
    </row>
    <row r="617" spans="5:19" x14ac:dyDescent="0.35">
      <c r="E617" s="30" t="s">
        <v>42</v>
      </c>
      <c r="F617" s="46"/>
      <c r="G617" s="46"/>
      <c r="H617" s="46"/>
      <c r="I617" s="46"/>
      <c r="J617" s="46"/>
      <c r="K617" s="46"/>
      <c r="L617" s="41" t="str">
        <f t="shared" ca="1" si="37"/>
        <v/>
      </c>
      <c r="M617" s="47" t="str">
        <f t="shared" ca="1" si="38"/>
        <v/>
      </c>
      <c r="R617" s="48" t="str">
        <f t="shared" si="39"/>
        <v/>
      </c>
      <c r="S617" s="48" t="str">
        <f t="shared" si="40"/>
        <v/>
      </c>
    </row>
    <row r="618" spans="5:19" x14ac:dyDescent="0.35">
      <c r="E618" s="30" t="s">
        <v>42</v>
      </c>
      <c r="F618" s="46"/>
      <c r="G618" s="46"/>
      <c r="H618" s="46"/>
      <c r="I618" s="46"/>
      <c r="J618" s="46"/>
      <c r="K618" s="46"/>
      <c r="L618" s="41" t="str">
        <f t="shared" ca="1" si="37"/>
        <v/>
      </c>
      <c r="M618" s="47" t="str">
        <f t="shared" ca="1" si="38"/>
        <v/>
      </c>
      <c r="R618" s="48" t="str">
        <f t="shared" si="39"/>
        <v/>
      </c>
      <c r="S618" s="48" t="str">
        <f t="shared" si="40"/>
        <v/>
      </c>
    </row>
    <row r="619" spans="5:19" x14ac:dyDescent="0.35">
      <c r="E619" s="30" t="s">
        <v>42</v>
      </c>
      <c r="F619" s="46"/>
      <c r="G619" s="46"/>
      <c r="H619" s="46"/>
      <c r="I619" s="46"/>
      <c r="J619" s="46"/>
      <c r="K619" s="46"/>
      <c r="L619" s="41" t="str">
        <f t="shared" ca="1" si="37"/>
        <v/>
      </c>
      <c r="M619" s="47" t="str">
        <f t="shared" ca="1" si="38"/>
        <v/>
      </c>
      <c r="R619" s="48" t="str">
        <f t="shared" si="39"/>
        <v/>
      </c>
      <c r="S619" s="48" t="str">
        <f t="shared" si="40"/>
        <v/>
      </c>
    </row>
    <row r="620" spans="5:19" x14ac:dyDescent="0.35">
      <c r="E620" s="30" t="s">
        <v>42</v>
      </c>
      <c r="F620" s="46"/>
      <c r="G620" s="46"/>
      <c r="H620" s="46"/>
      <c r="I620" s="46"/>
      <c r="J620" s="46"/>
      <c r="K620" s="46"/>
      <c r="L620" s="41" t="str">
        <f t="shared" ca="1" si="37"/>
        <v/>
      </c>
      <c r="M620" s="47" t="str">
        <f t="shared" ca="1" si="38"/>
        <v/>
      </c>
      <c r="R620" s="48" t="str">
        <f t="shared" si="39"/>
        <v/>
      </c>
      <c r="S620" s="48" t="str">
        <f t="shared" si="40"/>
        <v/>
      </c>
    </row>
    <row r="621" spans="5:19" x14ac:dyDescent="0.35">
      <c r="E621" s="30" t="s">
        <v>42</v>
      </c>
      <c r="F621" s="46"/>
      <c r="G621" s="46"/>
      <c r="H621" s="46"/>
      <c r="I621" s="46"/>
      <c r="J621" s="46"/>
      <c r="K621" s="46"/>
      <c r="L621" s="41" t="str">
        <f t="shared" ca="1" si="37"/>
        <v/>
      </c>
      <c r="M621" s="47" t="str">
        <f t="shared" ca="1" si="38"/>
        <v/>
      </c>
      <c r="R621" s="48" t="str">
        <f t="shared" si="39"/>
        <v/>
      </c>
      <c r="S621" s="48" t="str">
        <f t="shared" si="40"/>
        <v/>
      </c>
    </row>
    <row r="622" spans="5:19" x14ac:dyDescent="0.35">
      <c r="E622" s="30" t="s">
        <v>42</v>
      </c>
      <c r="F622" s="46"/>
      <c r="G622" s="46"/>
      <c r="H622" s="46"/>
      <c r="I622" s="46"/>
      <c r="J622" s="46"/>
      <c r="K622" s="46"/>
      <c r="L622" s="41" t="str">
        <f t="shared" ca="1" si="37"/>
        <v/>
      </c>
      <c r="M622" s="47" t="str">
        <f t="shared" ca="1" si="38"/>
        <v/>
      </c>
      <c r="R622" s="48" t="str">
        <f t="shared" si="39"/>
        <v/>
      </c>
      <c r="S622" s="48" t="str">
        <f t="shared" si="40"/>
        <v/>
      </c>
    </row>
    <row r="623" spans="5:19" x14ac:dyDescent="0.35">
      <c r="E623" s="30" t="s">
        <v>42</v>
      </c>
      <c r="F623" s="46"/>
      <c r="G623" s="46"/>
      <c r="H623" s="46"/>
      <c r="I623" s="46"/>
      <c r="J623" s="46"/>
      <c r="K623" s="46"/>
      <c r="L623" s="41" t="str">
        <f t="shared" ca="1" si="37"/>
        <v/>
      </c>
      <c r="M623" s="47" t="str">
        <f t="shared" ca="1" si="38"/>
        <v/>
      </c>
      <c r="R623" s="48" t="str">
        <f t="shared" si="39"/>
        <v/>
      </c>
      <c r="S623" s="48" t="str">
        <f t="shared" si="40"/>
        <v/>
      </c>
    </row>
    <row r="624" spans="5:19" x14ac:dyDescent="0.35">
      <c r="E624" s="30" t="s">
        <v>42</v>
      </c>
      <c r="F624" s="46"/>
      <c r="G624" s="46"/>
      <c r="H624" s="46"/>
      <c r="I624" s="46"/>
      <c r="J624" s="46"/>
      <c r="K624" s="46"/>
      <c r="L624" s="41" t="str">
        <f t="shared" ca="1" si="37"/>
        <v/>
      </c>
      <c r="M624" s="47" t="str">
        <f t="shared" ca="1" si="38"/>
        <v/>
      </c>
      <c r="R624" s="48" t="str">
        <f t="shared" si="39"/>
        <v/>
      </c>
      <c r="S624" s="48" t="str">
        <f t="shared" si="40"/>
        <v/>
      </c>
    </row>
    <row r="625" spans="5:19" x14ac:dyDescent="0.35">
      <c r="E625" s="30" t="s">
        <v>42</v>
      </c>
      <c r="F625" s="46"/>
      <c r="G625" s="46"/>
      <c r="H625" s="46"/>
      <c r="I625" s="46"/>
      <c r="J625" s="46"/>
      <c r="K625" s="46"/>
      <c r="L625" s="41" t="str">
        <f t="shared" ca="1" si="37"/>
        <v/>
      </c>
      <c r="M625" s="47" t="str">
        <f t="shared" ca="1" si="38"/>
        <v/>
      </c>
      <c r="R625" s="48" t="str">
        <f t="shared" si="39"/>
        <v/>
      </c>
      <c r="S625" s="48" t="str">
        <f t="shared" si="40"/>
        <v/>
      </c>
    </row>
    <row r="626" spans="5:19" x14ac:dyDescent="0.35">
      <c r="E626" s="30" t="s">
        <v>42</v>
      </c>
      <c r="F626" s="46"/>
      <c r="G626" s="46"/>
      <c r="H626" s="46"/>
      <c r="I626" s="46"/>
      <c r="J626" s="46"/>
      <c r="K626" s="46"/>
      <c r="L626" s="41" t="str">
        <f t="shared" ca="1" si="37"/>
        <v/>
      </c>
      <c r="M626" s="47" t="str">
        <f t="shared" ca="1" si="38"/>
        <v/>
      </c>
      <c r="R626" s="48" t="str">
        <f t="shared" si="39"/>
        <v/>
      </c>
      <c r="S626" s="48" t="str">
        <f t="shared" si="40"/>
        <v/>
      </c>
    </row>
    <row r="627" spans="5:19" x14ac:dyDescent="0.35">
      <c r="E627" s="30" t="s">
        <v>42</v>
      </c>
      <c r="F627" s="46"/>
      <c r="G627" s="46"/>
      <c r="H627" s="46"/>
      <c r="I627" s="46"/>
      <c r="J627" s="46"/>
      <c r="K627" s="46"/>
      <c r="L627" s="41" t="str">
        <f t="shared" ca="1" si="37"/>
        <v/>
      </c>
      <c r="M627" s="47" t="str">
        <f t="shared" ca="1" si="38"/>
        <v/>
      </c>
      <c r="R627" s="48" t="str">
        <f t="shared" si="39"/>
        <v/>
      </c>
      <c r="S627" s="48" t="str">
        <f t="shared" si="40"/>
        <v/>
      </c>
    </row>
    <row r="628" spans="5:19" x14ac:dyDescent="0.35">
      <c r="E628" s="30" t="s">
        <v>42</v>
      </c>
      <c r="F628" s="46"/>
      <c r="G628" s="46"/>
      <c r="H628" s="46"/>
      <c r="I628" s="46"/>
      <c r="J628" s="46"/>
      <c r="K628" s="46"/>
      <c r="L628" s="41" t="str">
        <f t="shared" ca="1" si="37"/>
        <v/>
      </c>
      <c r="M628" s="47" t="str">
        <f t="shared" ca="1" si="38"/>
        <v/>
      </c>
      <c r="R628" s="48" t="str">
        <f t="shared" si="39"/>
        <v/>
      </c>
      <c r="S628" s="48" t="str">
        <f t="shared" si="40"/>
        <v/>
      </c>
    </row>
    <row r="629" spans="5:19" x14ac:dyDescent="0.35">
      <c r="E629" s="30" t="s">
        <v>42</v>
      </c>
      <c r="F629" s="46"/>
      <c r="G629" s="46"/>
      <c r="H629" s="46"/>
      <c r="I629" s="46"/>
      <c r="J629" s="46"/>
      <c r="K629" s="46"/>
      <c r="L629" s="41" t="str">
        <f t="shared" ca="1" si="37"/>
        <v/>
      </c>
      <c r="M629" s="47" t="str">
        <f t="shared" ca="1" si="38"/>
        <v/>
      </c>
      <c r="R629" s="48" t="str">
        <f t="shared" si="39"/>
        <v/>
      </c>
      <c r="S629" s="48" t="str">
        <f t="shared" si="40"/>
        <v/>
      </c>
    </row>
    <row r="630" spans="5:19" x14ac:dyDescent="0.35">
      <c r="E630" s="30" t="s">
        <v>42</v>
      </c>
      <c r="F630" s="46"/>
      <c r="G630" s="46"/>
      <c r="H630" s="46"/>
      <c r="I630" s="46"/>
      <c r="J630" s="46"/>
      <c r="K630" s="46"/>
      <c r="L630" s="41" t="str">
        <f t="shared" ca="1" si="37"/>
        <v/>
      </c>
      <c r="M630" s="47" t="str">
        <f t="shared" ca="1" si="38"/>
        <v/>
      </c>
      <c r="R630" s="48" t="str">
        <f t="shared" si="39"/>
        <v/>
      </c>
      <c r="S630" s="48" t="str">
        <f t="shared" si="40"/>
        <v/>
      </c>
    </row>
    <row r="631" spans="5:19" x14ac:dyDescent="0.35">
      <c r="E631" s="30" t="s">
        <v>42</v>
      </c>
      <c r="F631" s="46"/>
      <c r="G631" s="46"/>
      <c r="H631" s="46"/>
      <c r="I631" s="46"/>
      <c r="J631" s="46"/>
      <c r="K631" s="46"/>
      <c r="L631" s="41" t="str">
        <f t="shared" ca="1" si="37"/>
        <v/>
      </c>
      <c r="M631" s="47" t="str">
        <f t="shared" ca="1" si="38"/>
        <v/>
      </c>
      <c r="R631" s="48" t="str">
        <f t="shared" si="39"/>
        <v/>
      </c>
      <c r="S631" s="48" t="str">
        <f t="shared" si="40"/>
        <v/>
      </c>
    </row>
    <row r="632" spans="5:19" x14ac:dyDescent="0.35">
      <c r="E632" s="30" t="s">
        <v>42</v>
      </c>
      <c r="F632" s="46"/>
      <c r="G632" s="46"/>
      <c r="H632" s="46"/>
      <c r="I632" s="46"/>
      <c r="J632" s="46"/>
      <c r="K632" s="46"/>
      <c r="L632" s="41" t="str">
        <f t="shared" ca="1" si="37"/>
        <v/>
      </c>
      <c r="M632" s="47" t="str">
        <f t="shared" ca="1" si="38"/>
        <v/>
      </c>
      <c r="R632" s="48" t="str">
        <f t="shared" si="39"/>
        <v/>
      </c>
      <c r="S632" s="48" t="str">
        <f t="shared" si="40"/>
        <v/>
      </c>
    </row>
    <row r="633" spans="5:19" x14ac:dyDescent="0.35">
      <c r="E633" s="30" t="s">
        <v>42</v>
      </c>
      <c r="F633" s="46"/>
      <c r="G633" s="46"/>
      <c r="H633" s="46"/>
      <c r="I633" s="46"/>
      <c r="J633" s="46"/>
      <c r="K633" s="46"/>
      <c r="L633" s="41" t="str">
        <f t="shared" ca="1" si="37"/>
        <v/>
      </c>
      <c r="M633" s="47" t="str">
        <f t="shared" ca="1" si="38"/>
        <v/>
      </c>
      <c r="R633" s="48" t="str">
        <f t="shared" si="39"/>
        <v/>
      </c>
      <c r="S633" s="48" t="str">
        <f t="shared" si="40"/>
        <v/>
      </c>
    </row>
    <row r="634" spans="5:19" x14ac:dyDescent="0.35">
      <c r="E634" s="30" t="s">
        <v>42</v>
      </c>
      <c r="F634" s="46"/>
      <c r="G634" s="46"/>
      <c r="H634" s="46"/>
      <c r="I634" s="46"/>
      <c r="J634" s="46"/>
      <c r="K634" s="46"/>
      <c r="L634" s="41" t="str">
        <f t="shared" ca="1" si="37"/>
        <v/>
      </c>
      <c r="M634" s="47" t="str">
        <f t="shared" ca="1" si="38"/>
        <v/>
      </c>
      <c r="R634" s="48" t="str">
        <f t="shared" si="39"/>
        <v/>
      </c>
      <c r="S634" s="48" t="str">
        <f t="shared" si="40"/>
        <v/>
      </c>
    </row>
    <row r="635" spans="5:19" x14ac:dyDescent="0.35">
      <c r="E635" s="30" t="s">
        <v>42</v>
      </c>
      <c r="F635" s="46"/>
      <c r="G635" s="46"/>
      <c r="H635" s="46"/>
      <c r="I635" s="46"/>
      <c r="J635" s="46"/>
      <c r="K635" s="46"/>
      <c r="L635" s="41" t="str">
        <f t="shared" ca="1" si="37"/>
        <v/>
      </c>
      <c r="M635" s="47" t="str">
        <f t="shared" ca="1" si="38"/>
        <v/>
      </c>
      <c r="R635" s="48" t="str">
        <f t="shared" si="39"/>
        <v/>
      </c>
      <c r="S635" s="48" t="str">
        <f t="shared" si="40"/>
        <v/>
      </c>
    </row>
    <row r="636" spans="5:19" x14ac:dyDescent="0.35">
      <c r="E636" s="30" t="s">
        <v>42</v>
      </c>
      <c r="F636" s="46"/>
      <c r="G636" s="46"/>
      <c r="H636" s="46"/>
      <c r="I636" s="46"/>
      <c r="J636" s="46"/>
      <c r="K636" s="46"/>
      <c r="L636" s="41" t="str">
        <f t="shared" ca="1" si="37"/>
        <v/>
      </c>
      <c r="M636" s="47" t="str">
        <f t="shared" ca="1" si="38"/>
        <v/>
      </c>
      <c r="R636" s="48" t="str">
        <f t="shared" si="39"/>
        <v/>
      </c>
      <c r="S636" s="48" t="str">
        <f t="shared" si="40"/>
        <v/>
      </c>
    </row>
    <row r="637" spans="5:19" x14ac:dyDescent="0.35">
      <c r="E637" s="30" t="s">
        <v>42</v>
      </c>
      <c r="F637" s="46"/>
      <c r="G637" s="46"/>
      <c r="H637" s="46"/>
      <c r="I637" s="46"/>
      <c r="J637" s="46"/>
      <c r="K637" s="46"/>
      <c r="L637" s="41" t="str">
        <f t="shared" ca="1" si="37"/>
        <v/>
      </c>
      <c r="M637" s="47" t="str">
        <f t="shared" ca="1" si="38"/>
        <v/>
      </c>
      <c r="R637" s="48" t="str">
        <f t="shared" si="39"/>
        <v/>
      </c>
      <c r="S637" s="48" t="str">
        <f t="shared" si="40"/>
        <v/>
      </c>
    </row>
    <row r="638" spans="5:19" x14ac:dyDescent="0.35">
      <c r="E638" s="30" t="s">
        <v>42</v>
      </c>
      <c r="F638" s="46"/>
      <c r="G638" s="46"/>
      <c r="H638" s="46"/>
      <c r="I638" s="46"/>
      <c r="J638" s="46"/>
      <c r="K638" s="46"/>
      <c r="L638" s="41" t="str">
        <f t="shared" ca="1" si="37"/>
        <v/>
      </c>
      <c r="M638" s="47" t="str">
        <f t="shared" ca="1" si="38"/>
        <v/>
      </c>
      <c r="R638" s="48" t="str">
        <f t="shared" si="39"/>
        <v/>
      </c>
      <c r="S638" s="48" t="str">
        <f t="shared" si="40"/>
        <v/>
      </c>
    </row>
    <row r="639" spans="5:19" x14ac:dyDescent="0.35">
      <c r="E639" s="30" t="s">
        <v>42</v>
      </c>
      <c r="F639" s="46"/>
      <c r="G639" s="46"/>
      <c r="H639" s="46"/>
      <c r="I639" s="46"/>
      <c r="J639" s="46"/>
      <c r="K639" s="46"/>
      <c r="L639" s="41" t="str">
        <f t="shared" ca="1" si="37"/>
        <v/>
      </c>
      <c r="M639" s="47" t="str">
        <f t="shared" ca="1" si="38"/>
        <v/>
      </c>
      <c r="R639" s="48" t="str">
        <f t="shared" si="39"/>
        <v/>
      </c>
      <c r="S639" s="48" t="str">
        <f t="shared" si="40"/>
        <v/>
      </c>
    </row>
    <row r="640" spans="5:19" x14ac:dyDescent="0.35">
      <c r="E640" s="30" t="s">
        <v>42</v>
      </c>
      <c r="F640" s="46"/>
      <c r="G640" s="46"/>
      <c r="H640" s="46"/>
      <c r="I640" s="46"/>
      <c r="J640" s="46"/>
      <c r="K640" s="46"/>
      <c r="L640" s="41" t="str">
        <f t="shared" ca="1" si="37"/>
        <v/>
      </c>
      <c r="M640" s="47" t="str">
        <f t="shared" ca="1" si="38"/>
        <v/>
      </c>
      <c r="R640" s="48" t="str">
        <f t="shared" si="39"/>
        <v/>
      </c>
      <c r="S640" s="48" t="str">
        <f t="shared" si="40"/>
        <v/>
      </c>
    </row>
    <row r="641" spans="5:19" x14ac:dyDescent="0.35">
      <c r="E641" s="30" t="s">
        <v>42</v>
      </c>
      <c r="F641" s="46"/>
      <c r="G641" s="46"/>
      <c r="H641" s="46"/>
      <c r="I641" s="46"/>
      <c r="J641" s="46"/>
      <c r="K641" s="46"/>
      <c r="L641" s="41" t="str">
        <f t="shared" ca="1" si="37"/>
        <v/>
      </c>
      <c r="M641" s="47" t="str">
        <f t="shared" ca="1" si="38"/>
        <v/>
      </c>
      <c r="R641" s="48" t="str">
        <f t="shared" si="39"/>
        <v/>
      </c>
      <c r="S641" s="48" t="str">
        <f t="shared" si="40"/>
        <v/>
      </c>
    </row>
    <row r="642" spans="5:19" x14ac:dyDescent="0.35">
      <c r="E642" s="30" t="s">
        <v>42</v>
      </c>
      <c r="F642" s="46"/>
      <c r="G642" s="46"/>
      <c r="H642" s="46"/>
      <c r="I642" s="46"/>
      <c r="J642" s="46"/>
      <c r="K642" s="46"/>
      <c r="L642" s="41" t="str">
        <f t="shared" ca="1" si="37"/>
        <v/>
      </c>
      <c r="M642" s="47" t="str">
        <f t="shared" ca="1" si="38"/>
        <v/>
      </c>
      <c r="R642" s="48" t="str">
        <f t="shared" si="39"/>
        <v/>
      </c>
      <c r="S642" s="48" t="str">
        <f t="shared" si="40"/>
        <v/>
      </c>
    </row>
    <row r="643" spans="5:19" x14ac:dyDescent="0.35">
      <c r="E643" s="30" t="s">
        <v>42</v>
      </c>
      <c r="F643" s="46"/>
      <c r="G643" s="46"/>
      <c r="H643" s="46"/>
      <c r="I643" s="46"/>
      <c r="J643" s="46"/>
      <c r="K643" s="46"/>
      <c r="L643" s="41" t="str">
        <f t="shared" ca="1" si="37"/>
        <v/>
      </c>
      <c r="M643" s="47" t="str">
        <f t="shared" ca="1" si="38"/>
        <v/>
      </c>
      <c r="R643" s="48" t="str">
        <f t="shared" si="39"/>
        <v/>
      </c>
      <c r="S643" s="48" t="str">
        <f t="shared" si="40"/>
        <v/>
      </c>
    </row>
    <row r="644" spans="5:19" x14ac:dyDescent="0.35">
      <c r="E644" s="30" t="s">
        <v>42</v>
      </c>
      <c r="F644" s="46"/>
      <c r="G644" s="46"/>
      <c r="H644" s="46"/>
      <c r="I644" s="46"/>
      <c r="J644" s="46"/>
      <c r="K644" s="46"/>
      <c r="L644" s="41" t="str">
        <f t="shared" ca="1" si="37"/>
        <v/>
      </c>
      <c r="M644" s="47" t="str">
        <f t="shared" ca="1" si="38"/>
        <v/>
      </c>
      <c r="R644" s="48" t="str">
        <f t="shared" si="39"/>
        <v/>
      </c>
      <c r="S644" s="48" t="str">
        <f t="shared" si="40"/>
        <v/>
      </c>
    </row>
    <row r="645" spans="5:19" x14ac:dyDescent="0.35">
      <c r="E645" s="30" t="s">
        <v>42</v>
      </c>
      <c r="F645" s="46"/>
      <c r="G645" s="46"/>
      <c r="H645" s="46"/>
      <c r="I645" s="46"/>
      <c r="J645" s="46"/>
      <c r="K645" s="46"/>
      <c r="L645" s="41" t="str">
        <f t="shared" ca="1" si="37"/>
        <v/>
      </c>
      <c r="M645" s="47" t="str">
        <f t="shared" ca="1" si="38"/>
        <v/>
      </c>
      <c r="R645" s="48" t="str">
        <f t="shared" si="39"/>
        <v/>
      </c>
      <c r="S645" s="48" t="str">
        <f t="shared" si="40"/>
        <v/>
      </c>
    </row>
    <row r="646" spans="5:19" x14ac:dyDescent="0.35">
      <c r="E646" s="30" t="s">
        <v>42</v>
      </c>
      <c r="F646" s="46"/>
      <c r="G646" s="46"/>
      <c r="H646" s="46"/>
      <c r="I646" s="46"/>
      <c r="J646" s="46"/>
      <c r="K646" s="46"/>
      <c r="L646" s="41" t="str">
        <f t="shared" ref="L646:L709" ca="1" si="41">IF(AND(C646&lt;&gt;"",C646&lt;&gt;R646),TODAY(),IF(C646="","",L646))</f>
        <v/>
      </c>
      <c r="M646" s="47" t="str">
        <f t="shared" ref="M646:M709" ca="1" si="42">IF(AND(C646&lt;&gt;"",C646&lt;&gt;S646),NOW(),IF(C646="","",M646))</f>
        <v/>
      </c>
      <c r="R646" s="48" t="str">
        <f t="shared" ref="R646:R709" si="43">IF(C646="","",IF(OR(L646="",AND(ISNUMBER(R646),C646=R646)),R646,C646))</f>
        <v/>
      </c>
      <c r="S646" s="48" t="str">
        <f t="shared" ref="S646:S709" si="44">IF(C646="","",IF(OR(M646="",AND(ISNUMBER(S646),C646=S646)),S646,C646))</f>
        <v/>
      </c>
    </row>
    <row r="647" spans="5:19" x14ac:dyDescent="0.35">
      <c r="E647" s="30" t="s">
        <v>42</v>
      </c>
      <c r="F647" s="46"/>
      <c r="G647" s="46"/>
      <c r="H647" s="46"/>
      <c r="I647" s="46"/>
      <c r="J647" s="46"/>
      <c r="K647" s="46"/>
      <c r="L647" s="41" t="str">
        <f t="shared" ca="1" si="41"/>
        <v/>
      </c>
      <c r="M647" s="47" t="str">
        <f t="shared" ca="1" si="42"/>
        <v/>
      </c>
      <c r="R647" s="48" t="str">
        <f t="shared" si="43"/>
        <v/>
      </c>
      <c r="S647" s="48" t="str">
        <f t="shared" si="44"/>
        <v/>
      </c>
    </row>
    <row r="648" spans="5:19" x14ac:dyDescent="0.35">
      <c r="E648" s="30" t="s">
        <v>42</v>
      </c>
      <c r="F648" s="46"/>
      <c r="G648" s="46"/>
      <c r="H648" s="46"/>
      <c r="I648" s="46"/>
      <c r="J648" s="46"/>
      <c r="K648" s="46"/>
      <c r="L648" s="41" t="str">
        <f t="shared" ca="1" si="41"/>
        <v/>
      </c>
      <c r="M648" s="47" t="str">
        <f t="shared" ca="1" si="42"/>
        <v/>
      </c>
      <c r="R648" s="48" t="str">
        <f t="shared" si="43"/>
        <v/>
      </c>
      <c r="S648" s="48" t="str">
        <f t="shared" si="44"/>
        <v/>
      </c>
    </row>
    <row r="649" spans="5:19" x14ac:dyDescent="0.35">
      <c r="E649" s="30" t="s">
        <v>42</v>
      </c>
      <c r="F649" s="46"/>
      <c r="G649" s="46"/>
      <c r="H649" s="46"/>
      <c r="I649" s="46"/>
      <c r="J649" s="46"/>
      <c r="K649" s="46"/>
      <c r="L649" s="41" t="str">
        <f t="shared" ca="1" si="41"/>
        <v/>
      </c>
      <c r="M649" s="47" t="str">
        <f t="shared" ca="1" si="42"/>
        <v/>
      </c>
      <c r="R649" s="48" t="str">
        <f t="shared" si="43"/>
        <v/>
      </c>
      <c r="S649" s="48" t="str">
        <f t="shared" si="44"/>
        <v/>
      </c>
    </row>
    <row r="650" spans="5:19" x14ac:dyDescent="0.35">
      <c r="E650" s="30" t="s">
        <v>42</v>
      </c>
      <c r="F650" s="46"/>
      <c r="G650" s="46"/>
      <c r="H650" s="46"/>
      <c r="I650" s="46"/>
      <c r="J650" s="46"/>
      <c r="K650" s="46"/>
      <c r="L650" s="41" t="str">
        <f t="shared" ca="1" si="41"/>
        <v/>
      </c>
      <c r="M650" s="47" t="str">
        <f t="shared" ca="1" si="42"/>
        <v/>
      </c>
      <c r="R650" s="48" t="str">
        <f t="shared" si="43"/>
        <v/>
      </c>
      <c r="S650" s="48" t="str">
        <f t="shared" si="44"/>
        <v/>
      </c>
    </row>
    <row r="651" spans="5:19" x14ac:dyDescent="0.35">
      <c r="E651" s="30" t="s">
        <v>42</v>
      </c>
      <c r="F651" s="46"/>
      <c r="G651" s="46"/>
      <c r="H651" s="46"/>
      <c r="I651" s="46"/>
      <c r="J651" s="46"/>
      <c r="K651" s="46"/>
      <c r="L651" s="41" t="str">
        <f t="shared" ca="1" si="41"/>
        <v/>
      </c>
      <c r="M651" s="47" t="str">
        <f t="shared" ca="1" si="42"/>
        <v/>
      </c>
      <c r="R651" s="48" t="str">
        <f t="shared" si="43"/>
        <v/>
      </c>
      <c r="S651" s="48" t="str">
        <f t="shared" si="44"/>
        <v/>
      </c>
    </row>
    <row r="652" spans="5:19" x14ac:dyDescent="0.35">
      <c r="E652" s="30" t="s">
        <v>42</v>
      </c>
      <c r="F652" s="46"/>
      <c r="G652" s="46"/>
      <c r="H652" s="46"/>
      <c r="I652" s="46"/>
      <c r="J652" s="46"/>
      <c r="K652" s="46"/>
      <c r="L652" s="41" t="str">
        <f t="shared" ca="1" si="41"/>
        <v/>
      </c>
      <c r="M652" s="47" t="str">
        <f t="shared" ca="1" si="42"/>
        <v/>
      </c>
      <c r="R652" s="48" t="str">
        <f t="shared" si="43"/>
        <v/>
      </c>
      <c r="S652" s="48" t="str">
        <f t="shared" si="44"/>
        <v/>
      </c>
    </row>
    <row r="653" spans="5:19" x14ac:dyDescent="0.35">
      <c r="E653" s="30" t="s">
        <v>42</v>
      </c>
      <c r="F653" s="46"/>
      <c r="G653" s="46"/>
      <c r="H653" s="46"/>
      <c r="I653" s="46"/>
      <c r="J653" s="46"/>
      <c r="K653" s="46"/>
      <c r="L653" s="41" t="str">
        <f t="shared" ca="1" si="41"/>
        <v/>
      </c>
      <c r="M653" s="47" t="str">
        <f t="shared" ca="1" si="42"/>
        <v/>
      </c>
      <c r="R653" s="48" t="str">
        <f t="shared" si="43"/>
        <v/>
      </c>
      <c r="S653" s="48" t="str">
        <f t="shared" si="44"/>
        <v/>
      </c>
    </row>
    <row r="654" spans="5:19" x14ac:dyDescent="0.35">
      <c r="E654" s="30" t="s">
        <v>42</v>
      </c>
      <c r="F654" s="46"/>
      <c r="G654" s="46"/>
      <c r="H654" s="46"/>
      <c r="I654" s="46"/>
      <c r="J654" s="46"/>
      <c r="K654" s="46"/>
      <c r="L654" s="41" t="str">
        <f t="shared" ca="1" si="41"/>
        <v/>
      </c>
      <c r="M654" s="47" t="str">
        <f t="shared" ca="1" si="42"/>
        <v/>
      </c>
      <c r="R654" s="48" t="str">
        <f t="shared" si="43"/>
        <v/>
      </c>
      <c r="S654" s="48" t="str">
        <f t="shared" si="44"/>
        <v/>
      </c>
    </row>
    <row r="655" spans="5:19" x14ac:dyDescent="0.35">
      <c r="E655" s="30" t="s">
        <v>42</v>
      </c>
      <c r="F655" s="46"/>
      <c r="G655" s="46"/>
      <c r="H655" s="46"/>
      <c r="I655" s="46"/>
      <c r="J655" s="46"/>
      <c r="K655" s="46"/>
      <c r="L655" s="41" t="str">
        <f t="shared" ca="1" si="41"/>
        <v/>
      </c>
      <c r="M655" s="47" t="str">
        <f t="shared" ca="1" si="42"/>
        <v/>
      </c>
      <c r="R655" s="48" t="str">
        <f t="shared" si="43"/>
        <v/>
      </c>
      <c r="S655" s="48" t="str">
        <f t="shared" si="44"/>
        <v/>
      </c>
    </row>
    <row r="656" spans="5:19" x14ac:dyDescent="0.35">
      <c r="E656" s="30" t="s">
        <v>42</v>
      </c>
      <c r="F656" s="46"/>
      <c r="G656" s="46"/>
      <c r="H656" s="46"/>
      <c r="I656" s="46"/>
      <c r="J656" s="46"/>
      <c r="K656" s="46"/>
      <c r="L656" s="41" t="str">
        <f t="shared" ca="1" si="41"/>
        <v/>
      </c>
      <c r="M656" s="47" t="str">
        <f t="shared" ca="1" si="42"/>
        <v/>
      </c>
      <c r="R656" s="48" t="str">
        <f t="shared" si="43"/>
        <v/>
      </c>
      <c r="S656" s="48" t="str">
        <f t="shared" si="44"/>
        <v/>
      </c>
    </row>
    <row r="657" spans="5:19" x14ac:dyDescent="0.35">
      <c r="E657" s="30" t="s">
        <v>42</v>
      </c>
      <c r="F657" s="46"/>
      <c r="G657" s="46"/>
      <c r="H657" s="46"/>
      <c r="I657" s="46"/>
      <c r="J657" s="46"/>
      <c r="K657" s="46"/>
      <c r="L657" s="41" t="str">
        <f t="shared" ca="1" si="41"/>
        <v/>
      </c>
      <c r="M657" s="47" t="str">
        <f t="shared" ca="1" si="42"/>
        <v/>
      </c>
      <c r="R657" s="48" t="str">
        <f t="shared" si="43"/>
        <v/>
      </c>
      <c r="S657" s="48" t="str">
        <f t="shared" si="44"/>
        <v/>
      </c>
    </row>
    <row r="658" spans="5:19" x14ac:dyDescent="0.35">
      <c r="E658" s="30" t="s">
        <v>42</v>
      </c>
      <c r="F658" s="46"/>
      <c r="G658" s="46"/>
      <c r="H658" s="46"/>
      <c r="I658" s="46"/>
      <c r="J658" s="46"/>
      <c r="K658" s="46"/>
      <c r="L658" s="41" t="str">
        <f t="shared" ca="1" si="41"/>
        <v/>
      </c>
      <c r="M658" s="47" t="str">
        <f t="shared" ca="1" si="42"/>
        <v/>
      </c>
      <c r="R658" s="48" t="str">
        <f t="shared" si="43"/>
        <v/>
      </c>
      <c r="S658" s="48" t="str">
        <f t="shared" si="44"/>
        <v/>
      </c>
    </row>
    <row r="659" spans="5:19" x14ac:dyDescent="0.35">
      <c r="E659" s="30" t="s">
        <v>42</v>
      </c>
      <c r="F659" s="46"/>
      <c r="G659" s="46"/>
      <c r="H659" s="46"/>
      <c r="I659" s="46"/>
      <c r="J659" s="46"/>
      <c r="K659" s="46"/>
      <c r="L659" s="41" t="str">
        <f t="shared" ca="1" si="41"/>
        <v/>
      </c>
      <c r="M659" s="47" t="str">
        <f t="shared" ca="1" si="42"/>
        <v/>
      </c>
      <c r="R659" s="48" t="str">
        <f t="shared" si="43"/>
        <v/>
      </c>
      <c r="S659" s="48" t="str">
        <f t="shared" si="44"/>
        <v/>
      </c>
    </row>
    <row r="660" spans="5:19" x14ac:dyDescent="0.35">
      <c r="E660" s="30" t="s">
        <v>42</v>
      </c>
      <c r="F660" s="46"/>
      <c r="G660" s="46"/>
      <c r="H660" s="46"/>
      <c r="I660" s="46"/>
      <c r="J660" s="46"/>
      <c r="K660" s="46"/>
      <c r="L660" s="41" t="str">
        <f t="shared" ca="1" si="41"/>
        <v/>
      </c>
      <c r="M660" s="47" t="str">
        <f t="shared" ca="1" si="42"/>
        <v/>
      </c>
      <c r="R660" s="48" t="str">
        <f t="shared" si="43"/>
        <v/>
      </c>
      <c r="S660" s="48" t="str">
        <f t="shared" si="44"/>
        <v/>
      </c>
    </row>
    <row r="661" spans="5:19" x14ac:dyDescent="0.35">
      <c r="E661" s="30" t="s">
        <v>42</v>
      </c>
      <c r="F661" s="46"/>
      <c r="G661" s="46"/>
      <c r="H661" s="46"/>
      <c r="I661" s="46"/>
      <c r="J661" s="46"/>
      <c r="K661" s="46"/>
      <c r="L661" s="41" t="str">
        <f t="shared" ca="1" si="41"/>
        <v/>
      </c>
      <c r="M661" s="47" t="str">
        <f t="shared" ca="1" si="42"/>
        <v/>
      </c>
      <c r="R661" s="48" t="str">
        <f t="shared" si="43"/>
        <v/>
      </c>
      <c r="S661" s="48" t="str">
        <f t="shared" si="44"/>
        <v/>
      </c>
    </row>
    <row r="662" spans="5:19" x14ac:dyDescent="0.35">
      <c r="E662" s="30" t="s">
        <v>42</v>
      </c>
      <c r="F662" s="46"/>
      <c r="G662" s="46"/>
      <c r="H662" s="46"/>
      <c r="I662" s="46"/>
      <c r="J662" s="46"/>
      <c r="K662" s="46"/>
      <c r="L662" s="41" t="str">
        <f t="shared" ca="1" si="41"/>
        <v/>
      </c>
      <c r="M662" s="47" t="str">
        <f t="shared" ca="1" si="42"/>
        <v/>
      </c>
      <c r="R662" s="48" t="str">
        <f t="shared" si="43"/>
        <v/>
      </c>
      <c r="S662" s="48" t="str">
        <f t="shared" si="44"/>
        <v/>
      </c>
    </row>
    <row r="663" spans="5:19" x14ac:dyDescent="0.35">
      <c r="E663" s="30" t="s">
        <v>42</v>
      </c>
      <c r="F663" s="46"/>
      <c r="G663" s="46"/>
      <c r="H663" s="46"/>
      <c r="I663" s="46"/>
      <c r="J663" s="46"/>
      <c r="K663" s="46"/>
      <c r="L663" s="41" t="str">
        <f t="shared" ca="1" si="41"/>
        <v/>
      </c>
      <c r="M663" s="47" t="str">
        <f t="shared" ca="1" si="42"/>
        <v/>
      </c>
      <c r="R663" s="48" t="str">
        <f t="shared" si="43"/>
        <v/>
      </c>
      <c r="S663" s="48" t="str">
        <f t="shared" si="44"/>
        <v/>
      </c>
    </row>
    <row r="664" spans="5:19" x14ac:dyDescent="0.35">
      <c r="E664" s="30" t="s">
        <v>42</v>
      </c>
      <c r="F664" s="46"/>
      <c r="G664" s="46"/>
      <c r="H664" s="46"/>
      <c r="I664" s="46"/>
      <c r="J664" s="46"/>
      <c r="K664" s="46"/>
      <c r="L664" s="41" t="str">
        <f t="shared" ca="1" si="41"/>
        <v/>
      </c>
      <c r="M664" s="47" t="str">
        <f t="shared" ca="1" si="42"/>
        <v/>
      </c>
      <c r="R664" s="48" t="str">
        <f t="shared" si="43"/>
        <v/>
      </c>
      <c r="S664" s="48" t="str">
        <f t="shared" si="44"/>
        <v/>
      </c>
    </row>
    <row r="665" spans="5:19" x14ac:dyDescent="0.35">
      <c r="E665" s="30" t="s">
        <v>42</v>
      </c>
      <c r="F665" s="46"/>
      <c r="G665" s="46"/>
      <c r="H665" s="46"/>
      <c r="I665" s="46"/>
      <c r="J665" s="46"/>
      <c r="K665" s="46"/>
      <c r="L665" s="41" t="str">
        <f t="shared" ca="1" si="41"/>
        <v/>
      </c>
      <c r="M665" s="47" t="str">
        <f t="shared" ca="1" si="42"/>
        <v/>
      </c>
      <c r="R665" s="48" t="str">
        <f t="shared" si="43"/>
        <v/>
      </c>
      <c r="S665" s="48" t="str">
        <f t="shared" si="44"/>
        <v/>
      </c>
    </row>
    <row r="666" spans="5:19" x14ac:dyDescent="0.35">
      <c r="E666" s="30" t="s">
        <v>42</v>
      </c>
      <c r="F666" s="46"/>
      <c r="G666" s="46"/>
      <c r="H666" s="46"/>
      <c r="I666" s="46"/>
      <c r="J666" s="46"/>
      <c r="K666" s="46"/>
      <c r="L666" s="41" t="str">
        <f t="shared" ca="1" si="41"/>
        <v/>
      </c>
      <c r="M666" s="47" t="str">
        <f t="shared" ca="1" si="42"/>
        <v/>
      </c>
      <c r="R666" s="48" t="str">
        <f t="shared" si="43"/>
        <v/>
      </c>
      <c r="S666" s="48" t="str">
        <f t="shared" si="44"/>
        <v/>
      </c>
    </row>
    <row r="667" spans="5:19" x14ac:dyDescent="0.35">
      <c r="E667" s="30" t="s">
        <v>42</v>
      </c>
      <c r="F667" s="46"/>
      <c r="G667" s="46"/>
      <c r="H667" s="46"/>
      <c r="I667" s="46"/>
      <c r="J667" s="46"/>
      <c r="K667" s="46"/>
      <c r="L667" s="41" t="str">
        <f t="shared" ca="1" si="41"/>
        <v/>
      </c>
      <c r="M667" s="47" t="str">
        <f t="shared" ca="1" si="42"/>
        <v/>
      </c>
      <c r="R667" s="48" t="str">
        <f t="shared" si="43"/>
        <v/>
      </c>
      <c r="S667" s="48" t="str">
        <f t="shared" si="44"/>
        <v/>
      </c>
    </row>
    <row r="668" spans="5:19" x14ac:dyDescent="0.35">
      <c r="E668" s="30" t="s">
        <v>42</v>
      </c>
      <c r="F668" s="46"/>
      <c r="G668" s="46"/>
      <c r="H668" s="46"/>
      <c r="I668" s="46"/>
      <c r="J668" s="46"/>
      <c r="K668" s="46"/>
      <c r="L668" s="41" t="str">
        <f t="shared" ca="1" si="41"/>
        <v/>
      </c>
      <c r="M668" s="47" t="str">
        <f t="shared" ca="1" si="42"/>
        <v/>
      </c>
      <c r="R668" s="48" t="str">
        <f t="shared" si="43"/>
        <v/>
      </c>
      <c r="S668" s="48" t="str">
        <f t="shared" si="44"/>
        <v/>
      </c>
    </row>
    <row r="669" spans="5:19" x14ac:dyDescent="0.35">
      <c r="E669" s="30" t="s">
        <v>42</v>
      </c>
      <c r="F669" s="46"/>
      <c r="G669" s="46"/>
      <c r="H669" s="46"/>
      <c r="I669" s="46"/>
      <c r="J669" s="46"/>
      <c r="K669" s="46"/>
      <c r="L669" s="41" t="str">
        <f t="shared" ca="1" si="41"/>
        <v/>
      </c>
      <c r="M669" s="47" t="str">
        <f t="shared" ca="1" si="42"/>
        <v/>
      </c>
      <c r="R669" s="48" t="str">
        <f t="shared" si="43"/>
        <v/>
      </c>
      <c r="S669" s="48" t="str">
        <f t="shared" si="44"/>
        <v/>
      </c>
    </row>
    <row r="670" spans="5:19" x14ac:dyDescent="0.35">
      <c r="E670" s="30" t="s">
        <v>42</v>
      </c>
      <c r="F670" s="46"/>
      <c r="G670" s="46"/>
      <c r="H670" s="46"/>
      <c r="I670" s="46"/>
      <c r="J670" s="46"/>
      <c r="K670" s="46"/>
      <c r="L670" s="41" t="str">
        <f t="shared" ca="1" si="41"/>
        <v/>
      </c>
      <c r="M670" s="47" t="str">
        <f t="shared" ca="1" si="42"/>
        <v/>
      </c>
      <c r="R670" s="48" t="str">
        <f t="shared" si="43"/>
        <v/>
      </c>
      <c r="S670" s="48" t="str">
        <f t="shared" si="44"/>
        <v/>
      </c>
    </row>
    <row r="671" spans="5:19" x14ac:dyDescent="0.35">
      <c r="E671" s="30" t="s">
        <v>42</v>
      </c>
      <c r="F671" s="46"/>
      <c r="G671" s="46"/>
      <c r="H671" s="46"/>
      <c r="I671" s="46"/>
      <c r="J671" s="46"/>
      <c r="K671" s="46"/>
      <c r="L671" s="41" t="str">
        <f t="shared" ca="1" si="41"/>
        <v/>
      </c>
      <c r="M671" s="47" t="str">
        <f t="shared" ca="1" si="42"/>
        <v/>
      </c>
      <c r="R671" s="48" t="str">
        <f t="shared" si="43"/>
        <v/>
      </c>
      <c r="S671" s="48" t="str">
        <f t="shared" si="44"/>
        <v/>
      </c>
    </row>
    <row r="672" spans="5:19" x14ac:dyDescent="0.35">
      <c r="E672" s="30" t="s">
        <v>42</v>
      </c>
      <c r="F672" s="46"/>
      <c r="G672" s="46"/>
      <c r="H672" s="46"/>
      <c r="I672" s="46"/>
      <c r="J672" s="46"/>
      <c r="K672" s="46"/>
      <c r="L672" s="41" t="str">
        <f t="shared" ca="1" si="41"/>
        <v/>
      </c>
      <c r="M672" s="47" t="str">
        <f t="shared" ca="1" si="42"/>
        <v/>
      </c>
      <c r="R672" s="48" t="str">
        <f t="shared" si="43"/>
        <v/>
      </c>
      <c r="S672" s="48" t="str">
        <f t="shared" si="44"/>
        <v/>
      </c>
    </row>
    <row r="673" spans="5:19" x14ac:dyDescent="0.35">
      <c r="E673" s="30" t="s">
        <v>42</v>
      </c>
      <c r="F673" s="46"/>
      <c r="G673" s="46"/>
      <c r="H673" s="46"/>
      <c r="I673" s="46"/>
      <c r="J673" s="46"/>
      <c r="K673" s="46"/>
      <c r="L673" s="41" t="str">
        <f t="shared" ca="1" si="41"/>
        <v/>
      </c>
      <c r="M673" s="47" t="str">
        <f t="shared" ca="1" si="42"/>
        <v/>
      </c>
      <c r="R673" s="48" t="str">
        <f t="shared" si="43"/>
        <v/>
      </c>
      <c r="S673" s="48" t="str">
        <f t="shared" si="44"/>
        <v/>
      </c>
    </row>
    <row r="674" spans="5:19" x14ac:dyDescent="0.35">
      <c r="E674" s="30" t="s">
        <v>42</v>
      </c>
      <c r="F674" s="46"/>
      <c r="G674" s="46"/>
      <c r="H674" s="46"/>
      <c r="I674" s="46"/>
      <c r="J674" s="46"/>
      <c r="K674" s="46"/>
      <c r="L674" s="41" t="str">
        <f t="shared" ca="1" si="41"/>
        <v/>
      </c>
      <c r="M674" s="47" t="str">
        <f t="shared" ca="1" si="42"/>
        <v/>
      </c>
      <c r="R674" s="48" t="str">
        <f t="shared" si="43"/>
        <v/>
      </c>
      <c r="S674" s="48" t="str">
        <f t="shared" si="44"/>
        <v/>
      </c>
    </row>
    <row r="675" spans="5:19" x14ac:dyDescent="0.35">
      <c r="E675" s="30" t="s">
        <v>42</v>
      </c>
      <c r="F675" s="46"/>
      <c r="G675" s="46"/>
      <c r="H675" s="46"/>
      <c r="I675" s="46"/>
      <c r="J675" s="46"/>
      <c r="K675" s="46"/>
      <c r="L675" s="41" t="str">
        <f t="shared" ca="1" si="41"/>
        <v/>
      </c>
      <c r="M675" s="47" t="str">
        <f t="shared" ca="1" si="42"/>
        <v/>
      </c>
      <c r="R675" s="48" t="str">
        <f t="shared" si="43"/>
        <v/>
      </c>
      <c r="S675" s="48" t="str">
        <f t="shared" si="44"/>
        <v/>
      </c>
    </row>
    <row r="676" spans="5:19" x14ac:dyDescent="0.35">
      <c r="E676" s="30" t="s">
        <v>42</v>
      </c>
      <c r="F676" s="46"/>
      <c r="G676" s="46"/>
      <c r="H676" s="46"/>
      <c r="I676" s="46"/>
      <c r="J676" s="46"/>
      <c r="K676" s="46"/>
      <c r="L676" s="41" t="str">
        <f t="shared" ca="1" si="41"/>
        <v/>
      </c>
      <c r="M676" s="47" t="str">
        <f t="shared" ca="1" si="42"/>
        <v/>
      </c>
      <c r="R676" s="48" t="str">
        <f t="shared" si="43"/>
        <v/>
      </c>
      <c r="S676" s="48" t="str">
        <f t="shared" si="44"/>
        <v/>
      </c>
    </row>
    <row r="677" spans="5:19" x14ac:dyDescent="0.35">
      <c r="E677" s="30" t="s">
        <v>42</v>
      </c>
      <c r="F677" s="46"/>
      <c r="G677" s="46"/>
      <c r="H677" s="46"/>
      <c r="I677" s="46"/>
      <c r="J677" s="46"/>
      <c r="K677" s="46"/>
      <c r="L677" s="41" t="str">
        <f t="shared" ca="1" si="41"/>
        <v/>
      </c>
      <c r="M677" s="47" t="str">
        <f t="shared" ca="1" si="42"/>
        <v/>
      </c>
      <c r="R677" s="48" t="str">
        <f t="shared" si="43"/>
        <v/>
      </c>
      <c r="S677" s="48" t="str">
        <f t="shared" si="44"/>
        <v/>
      </c>
    </row>
    <row r="678" spans="5:19" x14ac:dyDescent="0.35">
      <c r="E678" s="30" t="s">
        <v>42</v>
      </c>
      <c r="F678" s="46"/>
      <c r="G678" s="46"/>
      <c r="H678" s="46"/>
      <c r="I678" s="46"/>
      <c r="J678" s="46"/>
      <c r="K678" s="46"/>
      <c r="L678" s="41" t="str">
        <f t="shared" ca="1" si="41"/>
        <v/>
      </c>
      <c r="M678" s="47" t="str">
        <f t="shared" ca="1" si="42"/>
        <v/>
      </c>
      <c r="R678" s="48" t="str">
        <f t="shared" si="43"/>
        <v/>
      </c>
      <c r="S678" s="48" t="str">
        <f t="shared" si="44"/>
        <v/>
      </c>
    </row>
    <row r="679" spans="5:19" x14ac:dyDescent="0.35">
      <c r="E679" s="30" t="s">
        <v>42</v>
      </c>
      <c r="F679" s="46"/>
      <c r="G679" s="46"/>
      <c r="H679" s="46"/>
      <c r="I679" s="46"/>
      <c r="J679" s="46"/>
      <c r="K679" s="46"/>
      <c r="L679" s="41" t="str">
        <f t="shared" ca="1" si="41"/>
        <v/>
      </c>
      <c r="M679" s="47" t="str">
        <f t="shared" ca="1" si="42"/>
        <v/>
      </c>
      <c r="R679" s="48" t="str">
        <f t="shared" si="43"/>
        <v/>
      </c>
      <c r="S679" s="48" t="str">
        <f t="shared" si="44"/>
        <v/>
      </c>
    </row>
    <row r="680" spans="5:19" x14ac:dyDescent="0.35">
      <c r="E680" s="30" t="s">
        <v>42</v>
      </c>
      <c r="F680" s="46"/>
      <c r="G680" s="46"/>
      <c r="H680" s="46"/>
      <c r="I680" s="46"/>
      <c r="J680" s="46"/>
      <c r="K680" s="46"/>
      <c r="L680" s="41" t="str">
        <f t="shared" ca="1" si="41"/>
        <v/>
      </c>
      <c r="M680" s="47" t="str">
        <f t="shared" ca="1" si="42"/>
        <v/>
      </c>
      <c r="R680" s="48" t="str">
        <f t="shared" si="43"/>
        <v/>
      </c>
      <c r="S680" s="48" t="str">
        <f t="shared" si="44"/>
        <v/>
      </c>
    </row>
    <row r="681" spans="5:19" x14ac:dyDescent="0.35">
      <c r="E681" s="30" t="s">
        <v>42</v>
      </c>
      <c r="F681" s="46"/>
      <c r="G681" s="46"/>
      <c r="H681" s="46"/>
      <c r="I681" s="46"/>
      <c r="J681" s="46"/>
      <c r="K681" s="46"/>
      <c r="L681" s="41" t="str">
        <f t="shared" ca="1" si="41"/>
        <v/>
      </c>
      <c r="M681" s="47" t="str">
        <f t="shared" ca="1" si="42"/>
        <v/>
      </c>
      <c r="R681" s="48" t="str">
        <f t="shared" si="43"/>
        <v/>
      </c>
      <c r="S681" s="48" t="str">
        <f t="shared" si="44"/>
        <v/>
      </c>
    </row>
    <row r="682" spans="5:19" x14ac:dyDescent="0.35">
      <c r="E682" s="30" t="s">
        <v>42</v>
      </c>
      <c r="F682" s="46"/>
      <c r="G682" s="46"/>
      <c r="H682" s="46"/>
      <c r="I682" s="46"/>
      <c r="J682" s="46"/>
      <c r="K682" s="46"/>
      <c r="L682" s="41" t="str">
        <f t="shared" ca="1" si="41"/>
        <v/>
      </c>
      <c r="M682" s="47" t="str">
        <f t="shared" ca="1" si="42"/>
        <v/>
      </c>
      <c r="R682" s="48" t="str">
        <f t="shared" si="43"/>
        <v/>
      </c>
      <c r="S682" s="48" t="str">
        <f t="shared" si="44"/>
        <v/>
      </c>
    </row>
    <row r="683" spans="5:19" x14ac:dyDescent="0.35">
      <c r="E683" s="30" t="s">
        <v>42</v>
      </c>
      <c r="F683" s="46"/>
      <c r="G683" s="46"/>
      <c r="H683" s="46"/>
      <c r="I683" s="46"/>
      <c r="J683" s="46"/>
      <c r="K683" s="46"/>
      <c r="L683" s="41" t="str">
        <f t="shared" ca="1" si="41"/>
        <v/>
      </c>
      <c r="M683" s="47" t="str">
        <f t="shared" ca="1" si="42"/>
        <v/>
      </c>
      <c r="R683" s="48" t="str">
        <f t="shared" si="43"/>
        <v/>
      </c>
      <c r="S683" s="48" t="str">
        <f t="shared" si="44"/>
        <v/>
      </c>
    </row>
    <row r="684" spans="5:19" x14ac:dyDescent="0.35">
      <c r="E684" s="30" t="s">
        <v>42</v>
      </c>
      <c r="F684" s="46"/>
      <c r="G684" s="46"/>
      <c r="H684" s="46"/>
      <c r="I684" s="46"/>
      <c r="J684" s="46"/>
      <c r="K684" s="46"/>
      <c r="L684" s="41" t="str">
        <f t="shared" ca="1" si="41"/>
        <v/>
      </c>
      <c r="M684" s="47" t="str">
        <f t="shared" ca="1" si="42"/>
        <v/>
      </c>
      <c r="R684" s="48" t="str">
        <f t="shared" si="43"/>
        <v/>
      </c>
      <c r="S684" s="48" t="str">
        <f t="shared" si="44"/>
        <v/>
      </c>
    </row>
    <row r="685" spans="5:19" x14ac:dyDescent="0.35">
      <c r="E685" s="30" t="s">
        <v>42</v>
      </c>
      <c r="F685" s="46"/>
      <c r="G685" s="46"/>
      <c r="H685" s="46"/>
      <c r="I685" s="46"/>
      <c r="J685" s="46"/>
      <c r="K685" s="46"/>
      <c r="L685" s="41" t="str">
        <f t="shared" ca="1" si="41"/>
        <v/>
      </c>
      <c r="M685" s="47" t="str">
        <f t="shared" ca="1" si="42"/>
        <v/>
      </c>
      <c r="R685" s="48" t="str">
        <f t="shared" si="43"/>
        <v/>
      </c>
      <c r="S685" s="48" t="str">
        <f t="shared" si="44"/>
        <v/>
      </c>
    </row>
    <row r="686" spans="5:19" x14ac:dyDescent="0.35">
      <c r="E686" s="30" t="s">
        <v>42</v>
      </c>
      <c r="F686" s="46"/>
      <c r="G686" s="46"/>
      <c r="H686" s="46"/>
      <c r="I686" s="46"/>
      <c r="J686" s="46"/>
      <c r="K686" s="46"/>
      <c r="L686" s="41" t="str">
        <f t="shared" ca="1" si="41"/>
        <v/>
      </c>
      <c r="M686" s="47" t="str">
        <f t="shared" ca="1" si="42"/>
        <v/>
      </c>
      <c r="R686" s="48" t="str">
        <f t="shared" si="43"/>
        <v/>
      </c>
      <c r="S686" s="48" t="str">
        <f t="shared" si="44"/>
        <v/>
      </c>
    </row>
    <row r="687" spans="5:19" x14ac:dyDescent="0.35">
      <c r="E687" s="30" t="s">
        <v>42</v>
      </c>
      <c r="F687" s="46"/>
      <c r="G687" s="46"/>
      <c r="H687" s="46"/>
      <c r="I687" s="46"/>
      <c r="J687" s="46"/>
      <c r="K687" s="46"/>
      <c r="L687" s="41" t="str">
        <f t="shared" ca="1" si="41"/>
        <v/>
      </c>
      <c r="M687" s="47" t="str">
        <f t="shared" ca="1" si="42"/>
        <v/>
      </c>
      <c r="R687" s="48" t="str">
        <f t="shared" si="43"/>
        <v/>
      </c>
      <c r="S687" s="48" t="str">
        <f t="shared" si="44"/>
        <v/>
      </c>
    </row>
    <row r="688" spans="5:19" x14ac:dyDescent="0.35">
      <c r="E688" s="30" t="s">
        <v>42</v>
      </c>
      <c r="F688" s="46"/>
      <c r="G688" s="46"/>
      <c r="H688" s="46"/>
      <c r="I688" s="46"/>
      <c r="J688" s="46"/>
      <c r="K688" s="46"/>
      <c r="L688" s="41" t="str">
        <f t="shared" ca="1" si="41"/>
        <v/>
      </c>
      <c r="M688" s="47" t="str">
        <f t="shared" ca="1" si="42"/>
        <v/>
      </c>
      <c r="R688" s="48" t="str">
        <f t="shared" si="43"/>
        <v/>
      </c>
      <c r="S688" s="48" t="str">
        <f t="shared" si="44"/>
        <v/>
      </c>
    </row>
    <row r="689" spans="5:19" x14ac:dyDescent="0.35">
      <c r="E689" s="30" t="s">
        <v>42</v>
      </c>
      <c r="F689" s="46"/>
      <c r="G689" s="46"/>
      <c r="H689" s="46"/>
      <c r="I689" s="46"/>
      <c r="J689" s="46"/>
      <c r="K689" s="46"/>
      <c r="L689" s="41" t="str">
        <f t="shared" ca="1" si="41"/>
        <v/>
      </c>
      <c r="M689" s="47" t="str">
        <f t="shared" ca="1" si="42"/>
        <v/>
      </c>
      <c r="R689" s="48" t="str">
        <f t="shared" si="43"/>
        <v/>
      </c>
      <c r="S689" s="48" t="str">
        <f t="shared" si="44"/>
        <v/>
      </c>
    </row>
    <row r="690" spans="5:19" x14ac:dyDescent="0.35">
      <c r="E690" s="30" t="s">
        <v>42</v>
      </c>
      <c r="F690" s="46"/>
      <c r="G690" s="46"/>
      <c r="H690" s="46"/>
      <c r="I690" s="46"/>
      <c r="J690" s="46"/>
      <c r="K690" s="46"/>
      <c r="L690" s="41" t="str">
        <f t="shared" ca="1" si="41"/>
        <v/>
      </c>
      <c r="M690" s="47" t="str">
        <f t="shared" ca="1" si="42"/>
        <v/>
      </c>
      <c r="R690" s="48" t="str">
        <f t="shared" si="43"/>
        <v/>
      </c>
      <c r="S690" s="48" t="str">
        <f t="shared" si="44"/>
        <v/>
      </c>
    </row>
    <row r="691" spans="5:19" x14ac:dyDescent="0.35">
      <c r="E691" s="30" t="s">
        <v>42</v>
      </c>
      <c r="F691" s="46"/>
      <c r="G691" s="46"/>
      <c r="H691" s="46"/>
      <c r="I691" s="46"/>
      <c r="J691" s="46"/>
      <c r="K691" s="46"/>
      <c r="L691" s="41" t="str">
        <f t="shared" ca="1" si="41"/>
        <v/>
      </c>
      <c r="M691" s="47" t="str">
        <f t="shared" ca="1" si="42"/>
        <v/>
      </c>
      <c r="R691" s="48" t="str">
        <f t="shared" si="43"/>
        <v/>
      </c>
      <c r="S691" s="48" t="str">
        <f t="shared" si="44"/>
        <v/>
      </c>
    </row>
    <row r="692" spans="5:19" x14ac:dyDescent="0.35">
      <c r="E692" s="30" t="s">
        <v>42</v>
      </c>
      <c r="F692" s="46"/>
      <c r="G692" s="46"/>
      <c r="H692" s="46"/>
      <c r="I692" s="46"/>
      <c r="J692" s="46"/>
      <c r="K692" s="46"/>
      <c r="L692" s="41" t="str">
        <f t="shared" ca="1" si="41"/>
        <v/>
      </c>
      <c r="M692" s="47" t="str">
        <f t="shared" ca="1" si="42"/>
        <v/>
      </c>
      <c r="R692" s="48" t="str">
        <f t="shared" si="43"/>
        <v/>
      </c>
      <c r="S692" s="48" t="str">
        <f t="shared" si="44"/>
        <v/>
      </c>
    </row>
    <row r="693" spans="5:19" x14ac:dyDescent="0.35">
      <c r="E693" s="30" t="s">
        <v>42</v>
      </c>
      <c r="F693" s="46"/>
      <c r="G693" s="46"/>
      <c r="H693" s="46"/>
      <c r="I693" s="46"/>
      <c r="J693" s="46"/>
      <c r="K693" s="46"/>
      <c r="L693" s="41" t="str">
        <f t="shared" ca="1" si="41"/>
        <v/>
      </c>
      <c r="M693" s="47" t="str">
        <f t="shared" ca="1" si="42"/>
        <v/>
      </c>
      <c r="R693" s="48" t="str">
        <f t="shared" si="43"/>
        <v/>
      </c>
      <c r="S693" s="48" t="str">
        <f t="shared" si="44"/>
        <v/>
      </c>
    </row>
    <row r="694" spans="5:19" x14ac:dyDescent="0.35">
      <c r="E694" s="30" t="s">
        <v>42</v>
      </c>
      <c r="F694" s="46"/>
      <c r="G694" s="46"/>
      <c r="H694" s="46"/>
      <c r="I694" s="46"/>
      <c r="J694" s="46"/>
      <c r="K694" s="46"/>
      <c r="L694" s="41" t="str">
        <f t="shared" ca="1" si="41"/>
        <v/>
      </c>
      <c r="M694" s="47" t="str">
        <f t="shared" ca="1" si="42"/>
        <v/>
      </c>
      <c r="R694" s="48" t="str">
        <f t="shared" si="43"/>
        <v/>
      </c>
      <c r="S694" s="48" t="str">
        <f t="shared" si="44"/>
        <v/>
      </c>
    </row>
    <row r="695" spans="5:19" x14ac:dyDescent="0.35">
      <c r="E695" s="30" t="s">
        <v>42</v>
      </c>
      <c r="F695" s="46"/>
      <c r="G695" s="46"/>
      <c r="H695" s="46"/>
      <c r="I695" s="46"/>
      <c r="J695" s="46"/>
      <c r="K695" s="46"/>
      <c r="L695" s="41" t="str">
        <f t="shared" ca="1" si="41"/>
        <v/>
      </c>
      <c r="M695" s="47" t="str">
        <f t="shared" ca="1" si="42"/>
        <v/>
      </c>
      <c r="R695" s="48" t="str">
        <f t="shared" si="43"/>
        <v/>
      </c>
      <c r="S695" s="48" t="str">
        <f t="shared" si="44"/>
        <v/>
      </c>
    </row>
    <row r="696" spans="5:19" x14ac:dyDescent="0.35">
      <c r="E696" s="30" t="s">
        <v>42</v>
      </c>
      <c r="F696" s="46"/>
      <c r="G696" s="46"/>
      <c r="H696" s="46"/>
      <c r="I696" s="46"/>
      <c r="J696" s="46"/>
      <c r="K696" s="46"/>
      <c r="L696" s="41" t="str">
        <f t="shared" ca="1" si="41"/>
        <v/>
      </c>
      <c r="M696" s="47" t="str">
        <f t="shared" ca="1" si="42"/>
        <v/>
      </c>
      <c r="R696" s="48" t="str">
        <f t="shared" si="43"/>
        <v/>
      </c>
      <c r="S696" s="48" t="str">
        <f t="shared" si="44"/>
        <v/>
      </c>
    </row>
    <row r="697" spans="5:19" x14ac:dyDescent="0.35">
      <c r="E697" s="30" t="s">
        <v>42</v>
      </c>
      <c r="F697" s="46"/>
      <c r="G697" s="46"/>
      <c r="H697" s="46"/>
      <c r="I697" s="46"/>
      <c r="J697" s="46"/>
      <c r="K697" s="46"/>
      <c r="L697" s="41" t="str">
        <f t="shared" ca="1" si="41"/>
        <v/>
      </c>
      <c r="M697" s="47" t="str">
        <f t="shared" ca="1" si="42"/>
        <v/>
      </c>
      <c r="R697" s="48" t="str">
        <f t="shared" si="43"/>
        <v/>
      </c>
      <c r="S697" s="48" t="str">
        <f t="shared" si="44"/>
        <v/>
      </c>
    </row>
    <row r="698" spans="5:19" x14ac:dyDescent="0.35">
      <c r="E698" s="30" t="s">
        <v>42</v>
      </c>
      <c r="F698" s="46"/>
      <c r="G698" s="46"/>
      <c r="H698" s="46"/>
      <c r="I698" s="46"/>
      <c r="J698" s="46"/>
      <c r="K698" s="46"/>
      <c r="L698" s="41" t="str">
        <f t="shared" ca="1" si="41"/>
        <v/>
      </c>
      <c r="M698" s="47" t="str">
        <f t="shared" ca="1" si="42"/>
        <v/>
      </c>
      <c r="R698" s="48" t="str">
        <f t="shared" si="43"/>
        <v/>
      </c>
      <c r="S698" s="48" t="str">
        <f t="shared" si="44"/>
        <v/>
      </c>
    </row>
    <row r="699" spans="5:19" x14ac:dyDescent="0.35">
      <c r="E699" s="30" t="s">
        <v>42</v>
      </c>
      <c r="F699" s="46"/>
      <c r="G699" s="46"/>
      <c r="H699" s="46"/>
      <c r="I699" s="46"/>
      <c r="J699" s="46"/>
      <c r="K699" s="46"/>
      <c r="L699" s="41" t="str">
        <f t="shared" ca="1" si="41"/>
        <v/>
      </c>
      <c r="M699" s="47" t="str">
        <f t="shared" ca="1" si="42"/>
        <v/>
      </c>
      <c r="R699" s="48" t="str">
        <f t="shared" si="43"/>
        <v/>
      </c>
      <c r="S699" s="48" t="str">
        <f t="shared" si="44"/>
        <v/>
      </c>
    </row>
    <row r="700" spans="5:19" x14ac:dyDescent="0.35">
      <c r="E700" s="30" t="s">
        <v>42</v>
      </c>
      <c r="F700" s="46"/>
      <c r="G700" s="46"/>
      <c r="H700" s="46"/>
      <c r="I700" s="46"/>
      <c r="J700" s="46"/>
      <c r="K700" s="46"/>
      <c r="L700" s="41" t="str">
        <f t="shared" ca="1" si="41"/>
        <v/>
      </c>
      <c r="M700" s="47" t="str">
        <f t="shared" ca="1" si="42"/>
        <v/>
      </c>
      <c r="R700" s="48" t="str">
        <f t="shared" si="43"/>
        <v/>
      </c>
      <c r="S700" s="48" t="str">
        <f t="shared" si="44"/>
        <v/>
      </c>
    </row>
    <row r="701" spans="5:19" x14ac:dyDescent="0.35">
      <c r="E701" s="30" t="s">
        <v>42</v>
      </c>
      <c r="F701" s="46"/>
      <c r="G701" s="46"/>
      <c r="H701" s="46"/>
      <c r="I701" s="46"/>
      <c r="J701" s="46"/>
      <c r="K701" s="46"/>
      <c r="L701" s="41" t="str">
        <f t="shared" ca="1" si="41"/>
        <v/>
      </c>
      <c r="M701" s="47" t="str">
        <f t="shared" ca="1" si="42"/>
        <v/>
      </c>
      <c r="R701" s="48" t="str">
        <f t="shared" si="43"/>
        <v/>
      </c>
      <c r="S701" s="48" t="str">
        <f t="shared" si="44"/>
        <v/>
      </c>
    </row>
    <row r="702" spans="5:19" x14ac:dyDescent="0.35">
      <c r="E702" s="30" t="s">
        <v>42</v>
      </c>
      <c r="F702" s="46"/>
      <c r="G702" s="46"/>
      <c r="H702" s="46"/>
      <c r="I702" s="46"/>
      <c r="J702" s="46"/>
      <c r="K702" s="46"/>
      <c r="L702" s="41" t="str">
        <f t="shared" ca="1" si="41"/>
        <v/>
      </c>
      <c r="M702" s="47" t="str">
        <f t="shared" ca="1" si="42"/>
        <v/>
      </c>
      <c r="R702" s="48" t="str">
        <f t="shared" si="43"/>
        <v/>
      </c>
      <c r="S702" s="48" t="str">
        <f t="shared" si="44"/>
        <v/>
      </c>
    </row>
    <row r="703" spans="5:19" x14ac:dyDescent="0.35">
      <c r="E703" s="30" t="s">
        <v>42</v>
      </c>
      <c r="F703" s="46"/>
      <c r="G703" s="46"/>
      <c r="H703" s="46"/>
      <c r="I703" s="46"/>
      <c r="J703" s="46"/>
      <c r="K703" s="46"/>
      <c r="L703" s="41" t="str">
        <f t="shared" ca="1" si="41"/>
        <v/>
      </c>
      <c r="M703" s="47" t="str">
        <f t="shared" ca="1" si="42"/>
        <v/>
      </c>
      <c r="R703" s="48" t="str">
        <f t="shared" si="43"/>
        <v/>
      </c>
      <c r="S703" s="48" t="str">
        <f t="shared" si="44"/>
        <v/>
      </c>
    </row>
    <row r="704" spans="5:19" x14ac:dyDescent="0.35">
      <c r="E704" s="30" t="s">
        <v>42</v>
      </c>
      <c r="F704" s="46"/>
      <c r="G704" s="46"/>
      <c r="H704" s="46"/>
      <c r="I704" s="46"/>
      <c r="J704" s="46"/>
      <c r="K704" s="46"/>
      <c r="L704" s="41" t="str">
        <f t="shared" ca="1" si="41"/>
        <v/>
      </c>
      <c r="M704" s="47" t="str">
        <f t="shared" ca="1" si="42"/>
        <v/>
      </c>
      <c r="R704" s="48" t="str">
        <f t="shared" si="43"/>
        <v/>
      </c>
      <c r="S704" s="48" t="str">
        <f t="shared" si="44"/>
        <v/>
      </c>
    </row>
    <row r="705" spans="5:19" x14ac:dyDescent="0.35">
      <c r="E705" s="30" t="s">
        <v>42</v>
      </c>
      <c r="F705" s="46"/>
      <c r="G705" s="46"/>
      <c r="H705" s="46"/>
      <c r="I705" s="46"/>
      <c r="J705" s="46"/>
      <c r="K705" s="46"/>
      <c r="L705" s="41" t="str">
        <f t="shared" ca="1" si="41"/>
        <v/>
      </c>
      <c r="M705" s="47" t="str">
        <f t="shared" ca="1" si="42"/>
        <v/>
      </c>
      <c r="R705" s="48" t="str">
        <f t="shared" si="43"/>
        <v/>
      </c>
      <c r="S705" s="48" t="str">
        <f t="shared" si="44"/>
        <v/>
      </c>
    </row>
    <row r="706" spans="5:19" x14ac:dyDescent="0.35">
      <c r="E706" s="30" t="s">
        <v>42</v>
      </c>
      <c r="F706" s="46"/>
      <c r="G706" s="46"/>
      <c r="H706" s="46"/>
      <c r="I706" s="46"/>
      <c r="J706" s="46"/>
      <c r="K706" s="46"/>
      <c r="L706" s="41" t="str">
        <f t="shared" ca="1" si="41"/>
        <v/>
      </c>
      <c r="M706" s="47" t="str">
        <f t="shared" ca="1" si="42"/>
        <v/>
      </c>
      <c r="R706" s="48" t="str">
        <f t="shared" si="43"/>
        <v/>
      </c>
      <c r="S706" s="48" t="str">
        <f t="shared" si="44"/>
        <v/>
      </c>
    </row>
    <row r="707" spans="5:19" x14ac:dyDescent="0.35">
      <c r="E707" s="30" t="s">
        <v>42</v>
      </c>
      <c r="F707" s="46"/>
      <c r="G707" s="46"/>
      <c r="H707" s="46"/>
      <c r="I707" s="46"/>
      <c r="J707" s="46"/>
      <c r="K707" s="46"/>
      <c r="L707" s="41" t="str">
        <f t="shared" ca="1" si="41"/>
        <v/>
      </c>
      <c r="M707" s="47" t="str">
        <f t="shared" ca="1" si="42"/>
        <v/>
      </c>
      <c r="R707" s="48" t="str">
        <f t="shared" si="43"/>
        <v/>
      </c>
      <c r="S707" s="48" t="str">
        <f t="shared" si="44"/>
        <v/>
      </c>
    </row>
    <row r="708" spans="5:19" x14ac:dyDescent="0.35">
      <c r="E708" s="30" t="s">
        <v>42</v>
      </c>
      <c r="F708" s="46"/>
      <c r="G708" s="46"/>
      <c r="H708" s="46"/>
      <c r="I708" s="46"/>
      <c r="J708" s="46"/>
      <c r="K708" s="46"/>
      <c r="L708" s="41" t="str">
        <f t="shared" ca="1" si="41"/>
        <v/>
      </c>
      <c r="M708" s="47" t="str">
        <f t="shared" ca="1" si="42"/>
        <v/>
      </c>
      <c r="R708" s="48" t="str">
        <f t="shared" si="43"/>
        <v/>
      </c>
      <c r="S708" s="48" t="str">
        <f t="shared" si="44"/>
        <v/>
      </c>
    </row>
    <row r="709" spans="5:19" x14ac:dyDescent="0.35">
      <c r="E709" s="30" t="s">
        <v>42</v>
      </c>
      <c r="F709" s="46"/>
      <c r="G709" s="46"/>
      <c r="H709" s="46"/>
      <c r="I709" s="46"/>
      <c r="J709" s="46"/>
      <c r="K709" s="46"/>
      <c r="L709" s="41" t="str">
        <f t="shared" ca="1" si="41"/>
        <v/>
      </c>
      <c r="M709" s="47" t="str">
        <f t="shared" ca="1" si="42"/>
        <v/>
      </c>
      <c r="R709" s="48" t="str">
        <f t="shared" si="43"/>
        <v/>
      </c>
      <c r="S709" s="48" t="str">
        <f t="shared" si="44"/>
        <v/>
      </c>
    </row>
    <row r="710" spans="5:19" x14ac:dyDescent="0.35">
      <c r="E710" s="30" t="s">
        <v>42</v>
      </c>
      <c r="F710" s="46"/>
      <c r="G710" s="46"/>
      <c r="H710" s="46"/>
      <c r="I710" s="46"/>
      <c r="J710" s="46"/>
      <c r="K710" s="46"/>
      <c r="L710" s="41" t="str">
        <f t="shared" ref="L710:L773" ca="1" si="45">IF(AND(C710&lt;&gt;"",C710&lt;&gt;R710),TODAY(),IF(C710="","",L710))</f>
        <v/>
      </c>
      <c r="M710" s="47" t="str">
        <f t="shared" ref="M710:M773" ca="1" si="46">IF(AND(C710&lt;&gt;"",C710&lt;&gt;S710),NOW(),IF(C710="","",M710))</f>
        <v/>
      </c>
      <c r="R710" s="48" t="str">
        <f t="shared" ref="R710:R773" si="47">IF(C710="","",IF(OR(L710="",AND(ISNUMBER(R710),C710=R710)),R710,C710))</f>
        <v/>
      </c>
      <c r="S710" s="48" t="str">
        <f t="shared" ref="S710:S773" si="48">IF(C710="","",IF(OR(M710="",AND(ISNUMBER(S710),C710=S710)),S710,C710))</f>
        <v/>
      </c>
    </row>
    <row r="711" spans="5:19" x14ac:dyDescent="0.35">
      <c r="E711" s="30" t="s">
        <v>42</v>
      </c>
      <c r="F711" s="46"/>
      <c r="G711" s="46"/>
      <c r="H711" s="46"/>
      <c r="I711" s="46"/>
      <c r="J711" s="46"/>
      <c r="K711" s="46"/>
      <c r="L711" s="41" t="str">
        <f t="shared" ca="1" si="45"/>
        <v/>
      </c>
      <c r="M711" s="47" t="str">
        <f t="shared" ca="1" si="46"/>
        <v/>
      </c>
      <c r="R711" s="48" t="str">
        <f t="shared" si="47"/>
        <v/>
      </c>
      <c r="S711" s="48" t="str">
        <f t="shared" si="48"/>
        <v/>
      </c>
    </row>
    <row r="712" spans="5:19" x14ac:dyDescent="0.35">
      <c r="E712" s="30" t="s">
        <v>42</v>
      </c>
      <c r="F712" s="46"/>
      <c r="G712" s="46"/>
      <c r="H712" s="46"/>
      <c r="I712" s="46"/>
      <c r="J712" s="46"/>
      <c r="K712" s="46"/>
      <c r="L712" s="41" t="str">
        <f t="shared" ca="1" si="45"/>
        <v/>
      </c>
      <c r="M712" s="47" t="str">
        <f t="shared" ca="1" si="46"/>
        <v/>
      </c>
      <c r="R712" s="48" t="str">
        <f t="shared" si="47"/>
        <v/>
      </c>
      <c r="S712" s="48" t="str">
        <f t="shared" si="48"/>
        <v/>
      </c>
    </row>
    <row r="713" spans="5:19" x14ac:dyDescent="0.35">
      <c r="E713" s="30" t="s">
        <v>42</v>
      </c>
      <c r="F713" s="46"/>
      <c r="G713" s="46"/>
      <c r="H713" s="46"/>
      <c r="I713" s="46"/>
      <c r="J713" s="46"/>
      <c r="K713" s="46"/>
      <c r="L713" s="41" t="str">
        <f t="shared" ca="1" si="45"/>
        <v/>
      </c>
      <c r="M713" s="47" t="str">
        <f t="shared" ca="1" si="46"/>
        <v/>
      </c>
      <c r="R713" s="48" t="str">
        <f t="shared" si="47"/>
        <v/>
      </c>
      <c r="S713" s="48" t="str">
        <f t="shared" si="48"/>
        <v/>
      </c>
    </row>
    <row r="714" spans="5:19" x14ac:dyDescent="0.35">
      <c r="E714" s="30" t="s">
        <v>42</v>
      </c>
      <c r="F714" s="46"/>
      <c r="G714" s="46"/>
      <c r="H714" s="46"/>
      <c r="I714" s="46"/>
      <c r="J714" s="46"/>
      <c r="K714" s="46"/>
      <c r="L714" s="41" t="str">
        <f t="shared" ca="1" si="45"/>
        <v/>
      </c>
      <c r="M714" s="47" t="str">
        <f t="shared" ca="1" si="46"/>
        <v/>
      </c>
      <c r="R714" s="48" t="str">
        <f t="shared" si="47"/>
        <v/>
      </c>
      <c r="S714" s="48" t="str">
        <f t="shared" si="48"/>
        <v/>
      </c>
    </row>
    <row r="715" spans="5:19" x14ac:dyDescent="0.35">
      <c r="E715" s="30" t="s">
        <v>42</v>
      </c>
      <c r="F715" s="46"/>
      <c r="G715" s="46"/>
      <c r="H715" s="46"/>
      <c r="I715" s="46"/>
      <c r="J715" s="46"/>
      <c r="K715" s="46"/>
      <c r="L715" s="41" t="str">
        <f t="shared" ca="1" si="45"/>
        <v/>
      </c>
      <c r="M715" s="47" t="str">
        <f t="shared" ca="1" si="46"/>
        <v/>
      </c>
      <c r="R715" s="48" t="str">
        <f t="shared" si="47"/>
        <v/>
      </c>
      <c r="S715" s="48" t="str">
        <f t="shared" si="48"/>
        <v/>
      </c>
    </row>
    <row r="716" spans="5:19" x14ac:dyDescent="0.35">
      <c r="E716" s="30" t="s">
        <v>42</v>
      </c>
      <c r="F716" s="46"/>
      <c r="G716" s="46"/>
      <c r="H716" s="46"/>
      <c r="I716" s="46"/>
      <c r="J716" s="46"/>
      <c r="K716" s="46"/>
      <c r="L716" s="41" t="str">
        <f t="shared" ca="1" si="45"/>
        <v/>
      </c>
      <c r="M716" s="47" t="str">
        <f t="shared" ca="1" si="46"/>
        <v/>
      </c>
      <c r="R716" s="48" t="str">
        <f t="shared" si="47"/>
        <v/>
      </c>
      <c r="S716" s="48" t="str">
        <f t="shared" si="48"/>
        <v/>
      </c>
    </row>
    <row r="717" spans="5:19" x14ac:dyDescent="0.35">
      <c r="E717" s="30" t="s">
        <v>42</v>
      </c>
      <c r="F717" s="46"/>
      <c r="G717" s="46"/>
      <c r="H717" s="46"/>
      <c r="I717" s="46"/>
      <c r="J717" s="46"/>
      <c r="K717" s="46"/>
      <c r="L717" s="41" t="str">
        <f t="shared" ca="1" si="45"/>
        <v/>
      </c>
      <c r="M717" s="47" t="str">
        <f t="shared" ca="1" si="46"/>
        <v/>
      </c>
      <c r="R717" s="48" t="str">
        <f t="shared" si="47"/>
        <v/>
      </c>
      <c r="S717" s="48" t="str">
        <f t="shared" si="48"/>
        <v/>
      </c>
    </row>
    <row r="718" spans="5:19" x14ac:dyDescent="0.35">
      <c r="E718" s="30" t="s">
        <v>42</v>
      </c>
      <c r="F718" s="46"/>
      <c r="G718" s="46"/>
      <c r="H718" s="46"/>
      <c r="I718" s="46"/>
      <c r="J718" s="46"/>
      <c r="K718" s="46"/>
      <c r="L718" s="41" t="str">
        <f t="shared" ca="1" si="45"/>
        <v/>
      </c>
      <c r="M718" s="47" t="str">
        <f t="shared" ca="1" si="46"/>
        <v/>
      </c>
      <c r="R718" s="48" t="str">
        <f t="shared" si="47"/>
        <v/>
      </c>
      <c r="S718" s="48" t="str">
        <f t="shared" si="48"/>
        <v/>
      </c>
    </row>
    <row r="719" spans="5:19" x14ac:dyDescent="0.35">
      <c r="E719" s="30" t="s">
        <v>42</v>
      </c>
      <c r="F719" s="46"/>
      <c r="G719" s="46"/>
      <c r="H719" s="46"/>
      <c r="I719" s="46"/>
      <c r="J719" s="46"/>
      <c r="K719" s="46"/>
      <c r="L719" s="41" t="str">
        <f t="shared" ca="1" si="45"/>
        <v/>
      </c>
      <c r="M719" s="47" t="str">
        <f t="shared" ca="1" si="46"/>
        <v/>
      </c>
      <c r="R719" s="48" t="str">
        <f t="shared" si="47"/>
        <v/>
      </c>
      <c r="S719" s="48" t="str">
        <f t="shared" si="48"/>
        <v/>
      </c>
    </row>
    <row r="720" spans="5:19" x14ac:dyDescent="0.35">
      <c r="E720" s="30" t="s">
        <v>42</v>
      </c>
      <c r="F720" s="46"/>
      <c r="G720" s="46"/>
      <c r="H720" s="46"/>
      <c r="I720" s="46"/>
      <c r="J720" s="46"/>
      <c r="K720" s="46"/>
      <c r="L720" s="41" t="str">
        <f t="shared" ca="1" si="45"/>
        <v/>
      </c>
      <c r="M720" s="47" t="str">
        <f t="shared" ca="1" si="46"/>
        <v/>
      </c>
      <c r="R720" s="48" t="str">
        <f t="shared" si="47"/>
        <v/>
      </c>
      <c r="S720" s="48" t="str">
        <f t="shared" si="48"/>
        <v/>
      </c>
    </row>
    <row r="721" spans="5:19" x14ac:dyDescent="0.35">
      <c r="E721" s="30" t="s">
        <v>42</v>
      </c>
      <c r="F721" s="46"/>
      <c r="G721" s="46"/>
      <c r="H721" s="46"/>
      <c r="I721" s="46"/>
      <c r="J721" s="46"/>
      <c r="K721" s="46"/>
      <c r="L721" s="41" t="str">
        <f t="shared" ca="1" si="45"/>
        <v/>
      </c>
      <c r="M721" s="47" t="str">
        <f t="shared" ca="1" si="46"/>
        <v/>
      </c>
      <c r="R721" s="48" t="str">
        <f t="shared" si="47"/>
        <v/>
      </c>
      <c r="S721" s="48" t="str">
        <f t="shared" si="48"/>
        <v/>
      </c>
    </row>
    <row r="722" spans="5:19" x14ac:dyDescent="0.35">
      <c r="E722" s="30" t="s">
        <v>42</v>
      </c>
      <c r="F722" s="46"/>
      <c r="G722" s="46"/>
      <c r="H722" s="46"/>
      <c r="I722" s="46"/>
      <c r="J722" s="46"/>
      <c r="K722" s="46"/>
      <c r="L722" s="41" t="str">
        <f t="shared" ca="1" si="45"/>
        <v/>
      </c>
      <c r="M722" s="47" t="str">
        <f t="shared" ca="1" si="46"/>
        <v/>
      </c>
      <c r="R722" s="48" t="str">
        <f t="shared" si="47"/>
        <v/>
      </c>
      <c r="S722" s="48" t="str">
        <f t="shared" si="48"/>
        <v/>
      </c>
    </row>
    <row r="723" spans="5:19" x14ac:dyDescent="0.35">
      <c r="E723" s="30" t="s">
        <v>42</v>
      </c>
      <c r="F723" s="46"/>
      <c r="G723" s="46"/>
      <c r="H723" s="46"/>
      <c r="I723" s="46"/>
      <c r="J723" s="46"/>
      <c r="K723" s="46"/>
      <c r="L723" s="41" t="str">
        <f t="shared" ca="1" si="45"/>
        <v/>
      </c>
      <c r="M723" s="47" t="str">
        <f t="shared" ca="1" si="46"/>
        <v/>
      </c>
      <c r="R723" s="48" t="str">
        <f t="shared" si="47"/>
        <v/>
      </c>
      <c r="S723" s="48" t="str">
        <f t="shared" si="48"/>
        <v/>
      </c>
    </row>
    <row r="724" spans="5:19" x14ac:dyDescent="0.35">
      <c r="E724" s="30" t="s">
        <v>42</v>
      </c>
      <c r="F724" s="46"/>
      <c r="G724" s="46"/>
      <c r="H724" s="46"/>
      <c r="I724" s="46"/>
      <c r="J724" s="46"/>
      <c r="K724" s="46"/>
      <c r="L724" s="41" t="str">
        <f t="shared" ca="1" si="45"/>
        <v/>
      </c>
      <c r="M724" s="47" t="str">
        <f t="shared" ca="1" si="46"/>
        <v/>
      </c>
      <c r="R724" s="48" t="str">
        <f t="shared" si="47"/>
        <v/>
      </c>
      <c r="S724" s="48" t="str">
        <f t="shared" si="48"/>
        <v/>
      </c>
    </row>
    <row r="725" spans="5:19" x14ac:dyDescent="0.35">
      <c r="E725" s="30" t="s">
        <v>42</v>
      </c>
      <c r="F725" s="46"/>
      <c r="G725" s="46"/>
      <c r="H725" s="46"/>
      <c r="I725" s="46"/>
      <c r="J725" s="46"/>
      <c r="K725" s="46"/>
      <c r="L725" s="41" t="str">
        <f t="shared" ca="1" si="45"/>
        <v/>
      </c>
      <c r="M725" s="47" t="str">
        <f t="shared" ca="1" si="46"/>
        <v/>
      </c>
      <c r="R725" s="48" t="str">
        <f t="shared" si="47"/>
        <v/>
      </c>
      <c r="S725" s="48" t="str">
        <f t="shared" si="48"/>
        <v/>
      </c>
    </row>
    <row r="726" spans="5:19" x14ac:dyDescent="0.35">
      <c r="E726" s="30" t="s">
        <v>42</v>
      </c>
      <c r="F726" s="46"/>
      <c r="G726" s="46"/>
      <c r="H726" s="46"/>
      <c r="I726" s="46"/>
      <c r="J726" s="46"/>
      <c r="K726" s="46"/>
      <c r="L726" s="41" t="str">
        <f t="shared" ca="1" si="45"/>
        <v/>
      </c>
      <c r="M726" s="47" t="str">
        <f t="shared" ca="1" si="46"/>
        <v/>
      </c>
      <c r="R726" s="48" t="str">
        <f t="shared" si="47"/>
        <v/>
      </c>
      <c r="S726" s="48" t="str">
        <f t="shared" si="48"/>
        <v/>
      </c>
    </row>
    <row r="727" spans="5:19" x14ac:dyDescent="0.35">
      <c r="E727" s="30" t="s">
        <v>42</v>
      </c>
      <c r="F727" s="46"/>
      <c r="G727" s="46"/>
      <c r="H727" s="46"/>
      <c r="I727" s="46"/>
      <c r="J727" s="46"/>
      <c r="K727" s="46"/>
      <c r="L727" s="41" t="str">
        <f t="shared" ca="1" si="45"/>
        <v/>
      </c>
      <c r="M727" s="47" t="str">
        <f t="shared" ca="1" si="46"/>
        <v/>
      </c>
      <c r="R727" s="48" t="str">
        <f t="shared" si="47"/>
        <v/>
      </c>
      <c r="S727" s="48" t="str">
        <f t="shared" si="48"/>
        <v/>
      </c>
    </row>
    <row r="728" spans="5:19" x14ac:dyDescent="0.35">
      <c r="E728" s="30" t="s">
        <v>42</v>
      </c>
      <c r="F728" s="46"/>
      <c r="G728" s="46"/>
      <c r="H728" s="46"/>
      <c r="I728" s="46"/>
      <c r="J728" s="46"/>
      <c r="K728" s="46"/>
      <c r="L728" s="41" t="str">
        <f t="shared" ca="1" si="45"/>
        <v/>
      </c>
      <c r="M728" s="47" t="str">
        <f t="shared" ca="1" si="46"/>
        <v/>
      </c>
      <c r="R728" s="48" t="str">
        <f t="shared" si="47"/>
        <v/>
      </c>
      <c r="S728" s="48" t="str">
        <f t="shared" si="48"/>
        <v/>
      </c>
    </row>
    <row r="729" spans="5:19" x14ac:dyDescent="0.35">
      <c r="E729" s="30" t="s">
        <v>42</v>
      </c>
      <c r="F729" s="46"/>
      <c r="G729" s="46"/>
      <c r="H729" s="46"/>
      <c r="I729" s="46"/>
      <c r="J729" s="46"/>
      <c r="K729" s="46"/>
      <c r="L729" s="41" t="str">
        <f t="shared" ca="1" si="45"/>
        <v/>
      </c>
      <c r="M729" s="47" t="str">
        <f t="shared" ca="1" si="46"/>
        <v/>
      </c>
      <c r="R729" s="48" t="str">
        <f t="shared" si="47"/>
        <v/>
      </c>
      <c r="S729" s="48" t="str">
        <f t="shared" si="48"/>
        <v/>
      </c>
    </row>
    <row r="730" spans="5:19" x14ac:dyDescent="0.35">
      <c r="E730" s="30" t="s">
        <v>42</v>
      </c>
      <c r="F730" s="46"/>
      <c r="G730" s="46"/>
      <c r="H730" s="46"/>
      <c r="I730" s="46"/>
      <c r="J730" s="46"/>
      <c r="K730" s="46"/>
      <c r="L730" s="41" t="str">
        <f t="shared" ca="1" si="45"/>
        <v/>
      </c>
      <c r="M730" s="47" t="str">
        <f t="shared" ca="1" si="46"/>
        <v/>
      </c>
      <c r="R730" s="48" t="str">
        <f t="shared" si="47"/>
        <v/>
      </c>
      <c r="S730" s="48" t="str">
        <f t="shared" si="48"/>
        <v/>
      </c>
    </row>
    <row r="731" spans="5:19" x14ac:dyDescent="0.35">
      <c r="E731" s="30" t="s">
        <v>42</v>
      </c>
      <c r="F731" s="46"/>
      <c r="G731" s="46"/>
      <c r="H731" s="46"/>
      <c r="I731" s="46"/>
      <c r="J731" s="46"/>
      <c r="K731" s="46"/>
      <c r="L731" s="41" t="str">
        <f t="shared" ca="1" si="45"/>
        <v/>
      </c>
      <c r="M731" s="47" t="str">
        <f t="shared" ca="1" si="46"/>
        <v/>
      </c>
      <c r="R731" s="48" t="str">
        <f t="shared" si="47"/>
        <v/>
      </c>
      <c r="S731" s="48" t="str">
        <f t="shared" si="48"/>
        <v/>
      </c>
    </row>
    <row r="732" spans="5:19" x14ac:dyDescent="0.35">
      <c r="E732" s="30" t="s">
        <v>42</v>
      </c>
      <c r="F732" s="46"/>
      <c r="G732" s="46"/>
      <c r="H732" s="46"/>
      <c r="I732" s="46"/>
      <c r="J732" s="46"/>
      <c r="K732" s="46"/>
      <c r="L732" s="41" t="str">
        <f t="shared" ca="1" si="45"/>
        <v/>
      </c>
      <c r="M732" s="47" t="str">
        <f t="shared" ca="1" si="46"/>
        <v/>
      </c>
      <c r="R732" s="48" t="str">
        <f t="shared" si="47"/>
        <v/>
      </c>
      <c r="S732" s="48" t="str">
        <f t="shared" si="48"/>
        <v/>
      </c>
    </row>
    <row r="733" spans="5:19" x14ac:dyDescent="0.35">
      <c r="E733" s="30" t="s">
        <v>42</v>
      </c>
      <c r="F733" s="46"/>
      <c r="G733" s="46"/>
      <c r="H733" s="46"/>
      <c r="I733" s="46"/>
      <c r="J733" s="46"/>
      <c r="K733" s="46"/>
      <c r="L733" s="41" t="str">
        <f t="shared" ca="1" si="45"/>
        <v/>
      </c>
      <c r="M733" s="47" t="str">
        <f t="shared" ca="1" si="46"/>
        <v/>
      </c>
      <c r="R733" s="48" t="str">
        <f t="shared" si="47"/>
        <v/>
      </c>
      <c r="S733" s="48" t="str">
        <f t="shared" si="48"/>
        <v/>
      </c>
    </row>
    <row r="734" spans="5:19" x14ac:dyDescent="0.35">
      <c r="E734" s="30" t="s">
        <v>42</v>
      </c>
      <c r="F734" s="46"/>
      <c r="G734" s="46"/>
      <c r="H734" s="46"/>
      <c r="I734" s="46"/>
      <c r="J734" s="46"/>
      <c r="K734" s="46"/>
      <c r="L734" s="41" t="str">
        <f t="shared" ca="1" si="45"/>
        <v/>
      </c>
      <c r="M734" s="47" t="str">
        <f t="shared" ca="1" si="46"/>
        <v/>
      </c>
      <c r="R734" s="48" t="str">
        <f t="shared" si="47"/>
        <v/>
      </c>
      <c r="S734" s="48" t="str">
        <f t="shared" si="48"/>
        <v/>
      </c>
    </row>
    <row r="735" spans="5:19" x14ac:dyDescent="0.35">
      <c r="E735" s="30" t="s">
        <v>42</v>
      </c>
      <c r="F735" s="46"/>
      <c r="G735" s="46"/>
      <c r="H735" s="46"/>
      <c r="I735" s="46"/>
      <c r="J735" s="46"/>
      <c r="K735" s="46"/>
      <c r="L735" s="41" t="str">
        <f t="shared" ca="1" si="45"/>
        <v/>
      </c>
      <c r="M735" s="47" t="str">
        <f t="shared" ca="1" si="46"/>
        <v/>
      </c>
      <c r="R735" s="48" t="str">
        <f t="shared" si="47"/>
        <v/>
      </c>
      <c r="S735" s="48" t="str">
        <f t="shared" si="48"/>
        <v/>
      </c>
    </row>
    <row r="736" spans="5:19" x14ac:dyDescent="0.35">
      <c r="E736" s="30" t="s">
        <v>42</v>
      </c>
      <c r="F736" s="46"/>
      <c r="G736" s="46"/>
      <c r="H736" s="46"/>
      <c r="I736" s="46"/>
      <c r="J736" s="46"/>
      <c r="K736" s="46"/>
      <c r="L736" s="41" t="str">
        <f t="shared" ca="1" si="45"/>
        <v/>
      </c>
      <c r="M736" s="47" t="str">
        <f t="shared" ca="1" si="46"/>
        <v/>
      </c>
      <c r="R736" s="48" t="str">
        <f t="shared" si="47"/>
        <v/>
      </c>
      <c r="S736" s="48" t="str">
        <f t="shared" si="48"/>
        <v/>
      </c>
    </row>
    <row r="737" spans="5:19" x14ac:dyDescent="0.35">
      <c r="E737" s="30" t="s">
        <v>42</v>
      </c>
      <c r="F737" s="46"/>
      <c r="G737" s="46"/>
      <c r="H737" s="46"/>
      <c r="I737" s="46"/>
      <c r="J737" s="46"/>
      <c r="K737" s="46"/>
      <c r="L737" s="41" t="str">
        <f t="shared" ca="1" si="45"/>
        <v/>
      </c>
      <c r="M737" s="47" t="str">
        <f t="shared" ca="1" si="46"/>
        <v/>
      </c>
      <c r="R737" s="48" t="str">
        <f t="shared" si="47"/>
        <v/>
      </c>
      <c r="S737" s="48" t="str">
        <f t="shared" si="48"/>
        <v/>
      </c>
    </row>
    <row r="738" spans="5:19" x14ac:dyDescent="0.35">
      <c r="E738" s="30" t="s">
        <v>42</v>
      </c>
      <c r="F738" s="46"/>
      <c r="G738" s="46"/>
      <c r="H738" s="46"/>
      <c r="I738" s="46"/>
      <c r="J738" s="46"/>
      <c r="K738" s="46"/>
      <c r="L738" s="41" t="str">
        <f t="shared" ca="1" si="45"/>
        <v/>
      </c>
      <c r="M738" s="47" t="str">
        <f t="shared" ca="1" si="46"/>
        <v/>
      </c>
      <c r="R738" s="48" t="str">
        <f t="shared" si="47"/>
        <v/>
      </c>
      <c r="S738" s="48" t="str">
        <f t="shared" si="48"/>
        <v/>
      </c>
    </row>
    <row r="739" spans="5:19" x14ac:dyDescent="0.35">
      <c r="E739" s="30" t="s">
        <v>42</v>
      </c>
      <c r="F739" s="46"/>
      <c r="G739" s="46"/>
      <c r="H739" s="46"/>
      <c r="I739" s="46"/>
      <c r="J739" s="46"/>
      <c r="K739" s="46"/>
      <c r="L739" s="41" t="str">
        <f t="shared" ca="1" si="45"/>
        <v/>
      </c>
      <c r="M739" s="47" t="str">
        <f t="shared" ca="1" si="46"/>
        <v/>
      </c>
      <c r="R739" s="48" t="str">
        <f t="shared" si="47"/>
        <v/>
      </c>
      <c r="S739" s="48" t="str">
        <f t="shared" si="48"/>
        <v/>
      </c>
    </row>
    <row r="740" spans="5:19" x14ac:dyDescent="0.35">
      <c r="E740" s="30" t="s">
        <v>42</v>
      </c>
      <c r="F740" s="46"/>
      <c r="G740" s="46"/>
      <c r="H740" s="46"/>
      <c r="I740" s="46"/>
      <c r="J740" s="46"/>
      <c r="K740" s="46"/>
      <c r="L740" s="41" t="str">
        <f t="shared" ca="1" si="45"/>
        <v/>
      </c>
      <c r="M740" s="47" t="str">
        <f t="shared" ca="1" si="46"/>
        <v/>
      </c>
      <c r="R740" s="48" t="str">
        <f t="shared" si="47"/>
        <v/>
      </c>
      <c r="S740" s="48" t="str">
        <f t="shared" si="48"/>
        <v/>
      </c>
    </row>
    <row r="741" spans="5:19" x14ac:dyDescent="0.35">
      <c r="E741" s="30" t="s">
        <v>42</v>
      </c>
      <c r="F741" s="46"/>
      <c r="G741" s="46"/>
      <c r="H741" s="46"/>
      <c r="I741" s="46"/>
      <c r="J741" s="46"/>
      <c r="K741" s="46"/>
      <c r="L741" s="41" t="str">
        <f t="shared" ca="1" si="45"/>
        <v/>
      </c>
      <c r="M741" s="47" t="str">
        <f t="shared" ca="1" si="46"/>
        <v/>
      </c>
      <c r="R741" s="48" t="str">
        <f t="shared" si="47"/>
        <v/>
      </c>
      <c r="S741" s="48" t="str">
        <f t="shared" si="48"/>
        <v/>
      </c>
    </row>
    <row r="742" spans="5:19" x14ac:dyDescent="0.35">
      <c r="E742" s="30" t="s">
        <v>42</v>
      </c>
      <c r="F742" s="46"/>
      <c r="G742" s="46"/>
      <c r="H742" s="46"/>
      <c r="I742" s="46"/>
      <c r="J742" s="46"/>
      <c r="K742" s="46"/>
      <c r="L742" s="41" t="str">
        <f t="shared" ca="1" si="45"/>
        <v/>
      </c>
      <c r="M742" s="47" t="str">
        <f t="shared" ca="1" si="46"/>
        <v/>
      </c>
      <c r="R742" s="48" t="str">
        <f t="shared" si="47"/>
        <v/>
      </c>
      <c r="S742" s="48" t="str">
        <f t="shared" si="48"/>
        <v/>
      </c>
    </row>
    <row r="743" spans="5:19" x14ac:dyDescent="0.35">
      <c r="E743" s="30" t="s">
        <v>42</v>
      </c>
      <c r="F743" s="46"/>
      <c r="G743" s="46"/>
      <c r="H743" s="46"/>
      <c r="I743" s="46"/>
      <c r="J743" s="46"/>
      <c r="K743" s="46"/>
      <c r="L743" s="41" t="str">
        <f t="shared" ca="1" si="45"/>
        <v/>
      </c>
      <c r="M743" s="47" t="str">
        <f t="shared" ca="1" si="46"/>
        <v/>
      </c>
      <c r="R743" s="48" t="str">
        <f t="shared" si="47"/>
        <v/>
      </c>
      <c r="S743" s="48" t="str">
        <f t="shared" si="48"/>
        <v/>
      </c>
    </row>
    <row r="744" spans="5:19" x14ac:dyDescent="0.35">
      <c r="E744" s="30" t="s">
        <v>42</v>
      </c>
      <c r="F744" s="46"/>
      <c r="G744" s="46"/>
      <c r="H744" s="46"/>
      <c r="I744" s="46"/>
      <c r="J744" s="46"/>
      <c r="K744" s="46"/>
      <c r="L744" s="41" t="str">
        <f t="shared" ca="1" si="45"/>
        <v/>
      </c>
      <c r="M744" s="47" t="str">
        <f t="shared" ca="1" si="46"/>
        <v/>
      </c>
      <c r="R744" s="48" t="str">
        <f t="shared" si="47"/>
        <v/>
      </c>
      <c r="S744" s="48" t="str">
        <f t="shared" si="48"/>
        <v/>
      </c>
    </row>
    <row r="745" spans="5:19" x14ac:dyDescent="0.35">
      <c r="E745" s="30" t="s">
        <v>42</v>
      </c>
      <c r="F745" s="46"/>
      <c r="G745" s="46"/>
      <c r="H745" s="46"/>
      <c r="I745" s="46"/>
      <c r="J745" s="46"/>
      <c r="K745" s="46"/>
      <c r="L745" s="41" t="str">
        <f t="shared" ca="1" si="45"/>
        <v/>
      </c>
      <c r="M745" s="47" t="str">
        <f t="shared" ca="1" si="46"/>
        <v/>
      </c>
      <c r="R745" s="48" t="str">
        <f t="shared" si="47"/>
        <v/>
      </c>
      <c r="S745" s="48" t="str">
        <f t="shared" si="48"/>
        <v/>
      </c>
    </row>
    <row r="746" spans="5:19" x14ac:dyDescent="0.35">
      <c r="E746" s="30" t="s">
        <v>42</v>
      </c>
      <c r="F746" s="46"/>
      <c r="G746" s="46"/>
      <c r="H746" s="46"/>
      <c r="I746" s="46"/>
      <c r="J746" s="46"/>
      <c r="K746" s="46"/>
      <c r="L746" s="41" t="str">
        <f t="shared" ca="1" si="45"/>
        <v/>
      </c>
      <c r="M746" s="47" t="str">
        <f t="shared" ca="1" si="46"/>
        <v/>
      </c>
      <c r="R746" s="48" t="str">
        <f t="shared" si="47"/>
        <v/>
      </c>
      <c r="S746" s="48" t="str">
        <f t="shared" si="48"/>
        <v/>
      </c>
    </row>
    <row r="747" spans="5:19" x14ac:dyDescent="0.35">
      <c r="E747" s="30" t="s">
        <v>42</v>
      </c>
      <c r="F747" s="46"/>
      <c r="G747" s="46"/>
      <c r="H747" s="46"/>
      <c r="I747" s="46"/>
      <c r="J747" s="46"/>
      <c r="K747" s="46"/>
      <c r="L747" s="41" t="str">
        <f t="shared" ca="1" si="45"/>
        <v/>
      </c>
      <c r="M747" s="47" t="str">
        <f t="shared" ca="1" si="46"/>
        <v/>
      </c>
      <c r="R747" s="48" t="str">
        <f t="shared" si="47"/>
        <v/>
      </c>
      <c r="S747" s="48" t="str">
        <f t="shared" si="48"/>
        <v/>
      </c>
    </row>
    <row r="748" spans="5:19" x14ac:dyDescent="0.35">
      <c r="E748" s="30" t="s">
        <v>42</v>
      </c>
      <c r="F748" s="46"/>
      <c r="G748" s="46"/>
      <c r="H748" s="46"/>
      <c r="I748" s="46"/>
      <c r="J748" s="46"/>
      <c r="K748" s="46"/>
      <c r="L748" s="41" t="str">
        <f t="shared" ca="1" si="45"/>
        <v/>
      </c>
      <c r="M748" s="47" t="str">
        <f t="shared" ca="1" si="46"/>
        <v/>
      </c>
      <c r="R748" s="48" t="str">
        <f t="shared" si="47"/>
        <v/>
      </c>
      <c r="S748" s="48" t="str">
        <f t="shared" si="48"/>
        <v/>
      </c>
    </row>
    <row r="749" spans="5:19" x14ac:dyDescent="0.35">
      <c r="E749" s="30" t="s">
        <v>42</v>
      </c>
      <c r="F749" s="46"/>
      <c r="G749" s="46"/>
      <c r="H749" s="46"/>
      <c r="I749" s="46"/>
      <c r="J749" s="46"/>
      <c r="K749" s="46"/>
      <c r="L749" s="41" t="str">
        <f t="shared" ca="1" si="45"/>
        <v/>
      </c>
      <c r="M749" s="47" t="str">
        <f t="shared" ca="1" si="46"/>
        <v/>
      </c>
      <c r="R749" s="48" t="str">
        <f t="shared" si="47"/>
        <v/>
      </c>
      <c r="S749" s="48" t="str">
        <f t="shared" si="48"/>
        <v/>
      </c>
    </row>
    <row r="750" spans="5:19" x14ac:dyDescent="0.35">
      <c r="E750" s="30" t="s">
        <v>42</v>
      </c>
      <c r="F750" s="46"/>
      <c r="G750" s="46"/>
      <c r="H750" s="46"/>
      <c r="I750" s="46"/>
      <c r="J750" s="46"/>
      <c r="K750" s="46"/>
      <c r="L750" s="41" t="str">
        <f t="shared" ca="1" si="45"/>
        <v/>
      </c>
      <c r="M750" s="47" t="str">
        <f t="shared" ca="1" si="46"/>
        <v/>
      </c>
      <c r="R750" s="48" t="str">
        <f t="shared" si="47"/>
        <v/>
      </c>
      <c r="S750" s="48" t="str">
        <f t="shared" si="48"/>
        <v/>
      </c>
    </row>
    <row r="751" spans="5:19" x14ac:dyDescent="0.35">
      <c r="E751" s="30" t="s">
        <v>42</v>
      </c>
      <c r="F751" s="46"/>
      <c r="G751" s="46"/>
      <c r="H751" s="46"/>
      <c r="I751" s="46"/>
      <c r="J751" s="46"/>
      <c r="K751" s="46"/>
      <c r="L751" s="41" t="str">
        <f t="shared" ca="1" si="45"/>
        <v/>
      </c>
      <c r="M751" s="47" t="str">
        <f t="shared" ca="1" si="46"/>
        <v/>
      </c>
      <c r="R751" s="48" t="str">
        <f t="shared" si="47"/>
        <v/>
      </c>
      <c r="S751" s="48" t="str">
        <f t="shared" si="48"/>
        <v/>
      </c>
    </row>
    <row r="752" spans="5:19" x14ac:dyDescent="0.35">
      <c r="E752" s="30" t="s">
        <v>42</v>
      </c>
      <c r="F752" s="46"/>
      <c r="G752" s="46"/>
      <c r="H752" s="46"/>
      <c r="I752" s="46"/>
      <c r="J752" s="46"/>
      <c r="K752" s="46"/>
      <c r="L752" s="41" t="str">
        <f t="shared" ca="1" si="45"/>
        <v/>
      </c>
      <c r="M752" s="47" t="str">
        <f t="shared" ca="1" si="46"/>
        <v/>
      </c>
      <c r="R752" s="48" t="str">
        <f t="shared" si="47"/>
        <v/>
      </c>
      <c r="S752" s="48" t="str">
        <f t="shared" si="48"/>
        <v/>
      </c>
    </row>
    <row r="753" spans="5:19" x14ac:dyDescent="0.35">
      <c r="E753" s="30" t="s">
        <v>42</v>
      </c>
      <c r="F753" s="46"/>
      <c r="G753" s="46"/>
      <c r="H753" s="46"/>
      <c r="I753" s="46"/>
      <c r="J753" s="46"/>
      <c r="K753" s="46"/>
      <c r="L753" s="41" t="str">
        <f t="shared" ca="1" si="45"/>
        <v/>
      </c>
      <c r="M753" s="47" t="str">
        <f t="shared" ca="1" si="46"/>
        <v/>
      </c>
      <c r="R753" s="48" t="str">
        <f t="shared" si="47"/>
        <v/>
      </c>
      <c r="S753" s="48" t="str">
        <f t="shared" si="48"/>
        <v/>
      </c>
    </row>
    <row r="754" spans="5:19" x14ac:dyDescent="0.35">
      <c r="E754" s="30" t="s">
        <v>42</v>
      </c>
      <c r="F754" s="46"/>
      <c r="G754" s="46"/>
      <c r="H754" s="46"/>
      <c r="I754" s="46"/>
      <c r="J754" s="46"/>
      <c r="K754" s="46"/>
      <c r="L754" s="41" t="str">
        <f t="shared" ca="1" si="45"/>
        <v/>
      </c>
      <c r="M754" s="47" t="str">
        <f t="shared" ca="1" si="46"/>
        <v/>
      </c>
      <c r="R754" s="48" t="str">
        <f t="shared" si="47"/>
        <v/>
      </c>
      <c r="S754" s="48" t="str">
        <f t="shared" si="48"/>
        <v/>
      </c>
    </row>
    <row r="755" spans="5:19" x14ac:dyDescent="0.35">
      <c r="E755" s="30" t="s">
        <v>42</v>
      </c>
      <c r="F755" s="46"/>
      <c r="G755" s="46"/>
      <c r="H755" s="46"/>
      <c r="I755" s="46"/>
      <c r="J755" s="46"/>
      <c r="K755" s="46"/>
      <c r="L755" s="41" t="str">
        <f t="shared" ca="1" si="45"/>
        <v/>
      </c>
      <c r="M755" s="47" t="str">
        <f t="shared" ca="1" si="46"/>
        <v/>
      </c>
      <c r="R755" s="48" t="str">
        <f t="shared" si="47"/>
        <v/>
      </c>
      <c r="S755" s="48" t="str">
        <f t="shared" si="48"/>
        <v/>
      </c>
    </row>
    <row r="756" spans="5:19" x14ac:dyDescent="0.35">
      <c r="E756" s="30" t="s">
        <v>42</v>
      </c>
      <c r="F756" s="46"/>
      <c r="G756" s="46"/>
      <c r="H756" s="46"/>
      <c r="I756" s="46"/>
      <c r="J756" s="46"/>
      <c r="K756" s="46"/>
      <c r="L756" s="41" t="str">
        <f t="shared" ca="1" si="45"/>
        <v/>
      </c>
      <c r="M756" s="47" t="str">
        <f t="shared" ca="1" si="46"/>
        <v/>
      </c>
      <c r="R756" s="48" t="str">
        <f t="shared" si="47"/>
        <v/>
      </c>
      <c r="S756" s="48" t="str">
        <f t="shared" si="48"/>
        <v/>
      </c>
    </row>
    <row r="757" spans="5:19" x14ac:dyDescent="0.35">
      <c r="E757" s="30" t="s">
        <v>42</v>
      </c>
      <c r="F757" s="46"/>
      <c r="G757" s="46"/>
      <c r="H757" s="46"/>
      <c r="I757" s="46"/>
      <c r="J757" s="46"/>
      <c r="K757" s="46"/>
      <c r="L757" s="41" t="str">
        <f t="shared" ca="1" si="45"/>
        <v/>
      </c>
      <c r="M757" s="47" t="str">
        <f t="shared" ca="1" si="46"/>
        <v/>
      </c>
      <c r="R757" s="48" t="str">
        <f t="shared" si="47"/>
        <v/>
      </c>
      <c r="S757" s="48" t="str">
        <f t="shared" si="48"/>
        <v/>
      </c>
    </row>
    <row r="758" spans="5:19" x14ac:dyDescent="0.35">
      <c r="E758" s="30" t="s">
        <v>42</v>
      </c>
      <c r="F758" s="46"/>
      <c r="G758" s="46"/>
      <c r="H758" s="46"/>
      <c r="I758" s="46"/>
      <c r="J758" s="46"/>
      <c r="K758" s="46"/>
      <c r="L758" s="41" t="str">
        <f t="shared" ca="1" si="45"/>
        <v/>
      </c>
      <c r="M758" s="47" t="str">
        <f t="shared" ca="1" si="46"/>
        <v/>
      </c>
      <c r="R758" s="48" t="str">
        <f t="shared" si="47"/>
        <v/>
      </c>
      <c r="S758" s="48" t="str">
        <f t="shared" si="48"/>
        <v/>
      </c>
    </row>
    <row r="759" spans="5:19" x14ac:dyDescent="0.35">
      <c r="E759" s="30" t="s">
        <v>42</v>
      </c>
      <c r="F759" s="46"/>
      <c r="G759" s="46"/>
      <c r="H759" s="46"/>
      <c r="I759" s="46"/>
      <c r="J759" s="46"/>
      <c r="K759" s="46"/>
      <c r="L759" s="41" t="str">
        <f t="shared" ca="1" si="45"/>
        <v/>
      </c>
      <c r="M759" s="47" t="str">
        <f t="shared" ca="1" si="46"/>
        <v/>
      </c>
      <c r="R759" s="48" t="str">
        <f t="shared" si="47"/>
        <v/>
      </c>
      <c r="S759" s="48" t="str">
        <f t="shared" si="48"/>
        <v/>
      </c>
    </row>
    <row r="760" spans="5:19" x14ac:dyDescent="0.35">
      <c r="E760" s="30" t="s">
        <v>42</v>
      </c>
      <c r="F760" s="46"/>
      <c r="G760" s="46"/>
      <c r="H760" s="46"/>
      <c r="I760" s="46"/>
      <c r="J760" s="46"/>
      <c r="K760" s="46"/>
      <c r="L760" s="41" t="str">
        <f t="shared" ca="1" si="45"/>
        <v/>
      </c>
      <c r="M760" s="47" t="str">
        <f t="shared" ca="1" si="46"/>
        <v/>
      </c>
      <c r="R760" s="48" t="str">
        <f t="shared" si="47"/>
        <v/>
      </c>
      <c r="S760" s="48" t="str">
        <f t="shared" si="48"/>
        <v/>
      </c>
    </row>
    <row r="761" spans="5:19" x14ac:dyDescent="0.35">
      <c r="E761" s="30" t="s">
        <v>42</v>
      </c>
      <c r="F761" s="46"/>
      <c r="G761" s="46"/>
      <c r="H761" s="46"/>
      <c r="I761" s="46"/>
      <c r="J761" s="46"/>
      <c r="K761" s="46"/>
      <c r="L761" s="41" t="str">
        <f t="shared" ca="1" si="45"/>
        <v/>
      </c>
      <c r="M761" s="47" t="str">
        <f t="shared" ca="1" si="46"/>
        <v/>
      </c>
      <c r="R761" s="48" t="str">
        <f t="shared" si="47"/>
        <v/>
      </c>
      <c r="S761" s="48" t="str">
        <f t="shared" si="48"/>
        <v/>
      </c>
    </row>
    <row r="762" spans="5:19" x14ac:dyDescent="0.35">
      <c r="E762" s="30" t="s">
        <v>42</v>
      </c>
      <c r="F762" s="46"/>
      <c r="G762" s="46"/>
      <c r="H762" s="46"/>
      <c r="I762" s="46"/>
      <c r="J762" s="46"/>
      <c r="K762" s="46"/>
      <c r="L762" s="41" t="str">
        <f t="shared" ca="1" si="45"/>
        <v/>
      </c>
      <c r="M762" s="47" t="str">
        <f t="shared" ca="1" si="46"/>
        <v/>
      </c>
      <c r="R762" s="48" t="str">
        <f t="shared" si="47"/>
        <v/>
      </c>
      <c r="S762" s="48" t="str">
        <f t="shared" si="48"/>
        <v/>
      </c>
    </row>
    <row r="763" spans="5:19" x14ac:dyDescent="0.35">
      <c r="E763" s="30" t="s">
        <v>42</v>
      </c>
      <c r="F763" s="46"/>
      <c r="G763" s="46"/>
      <c r="H763" s="46"/>
      <c r="I763" s="46"/>
      <c r="J763" s="46"/>
      <c r="K763" s="46"/>
      <c r="L763" s="41" t="str">
        <f t="shared" ca="1" si="45"/>
        <v/>
      </c>
      <c r="M763" s="47" t="str">
        <f t="shared" ca="1" si="46"/>
        <v/>
      </c>
      <c r="R763" s="48" t="str">
        <f t="shared" si="47"/>
        <v/>
      </c>
      <c r="S763" s="48" t="str">
        <f t="shared" si="48"/>
        <v/>
      </c>
    </row>
    <row r="764" spans="5:19" x14ac:dyDescent="0.35">
      <c r="E764" s="30" t="s">
        <v>42</v>
      </c>
      <c r="F764" s="46"/>
      <c r="G764" s="46"/>
      <c r="H764" s="46"/>
      <c r="I764" s="46"/>
      <c r="J764" s="46"/>
      <c r="K764" s="46"/>
      <c r="L764" s="41" t="str">
        <f t="shared" ca="1" si="45"/>
        <v/>
      </c>
      <c r="M764" s="47" t="str">
        <f t="shared" ca="1" si="46"/>
        <v/>
      </c>
      <c r="R764" s="48" t="str">
        <f t="shared" si="47"/>
        <v/>
      </c>
      <c r="S764" s="48" t="str">
        <f t="shared" si="48"/>
        <v/>
      </c>
    </row>
    <row r="765" spans="5:19" x14ac:dyDescent="0.35">
      <c r="E765" s="30" t="s">
        <v>42</v>
      </c>
      <c r="F765" s="46"/>
      <c r="G765" s="46"/>
      <c r="H765" s="46"/>
      <c r="I765" s="46"/>
      <c r="J765" s="46"/>
      <c r="K765" s="46"/>
      <c r="L765" s="41" t="str">
        <f t="shared" ca="1" si="45"/>
        <v/>
      </c>
      <c r="M765" s="47" t="str">
        <f t="shared" ca="1" si="46"/>
        <v/>
      </c>
      <c r="R765" s="48" t="str">
        <f t="shared" si="47"/>
        <v/>
      </c>
      <c r="S765" s="48" t="str">
        <f t="shared" si="48"/>
        <v/>
      </c>
    </row>
    <row r="766" spans="5:19" x14ac:dyDescent="0.35">
      <c r="E766" s="30" t="s">
        <v>42</v>
      </c>
      <c r="F766" s="46"/>
      <c r="G766" s="46"/>
      <c r="H766" s="46"/>
      <c r="I766" s="46"/>
      <c r="J766" s="46"/>
      <c r="K766" s="46"/>
      <c r="L766" s="41" t="str">
        <f t="shared" ca="1" si="45"/>
        <v/>
      </c>
      <c r="M766" s="47" t="str">
        <f t="shared" ca="1" si="46"/>
        <v/>
      </c>
      <c r="R766" s="48" t="str">
        <f t="shared" si="47"/>
        <v/>
      </c>
      <c r="S766" s="48" t="str">
        <f t="shared" si="48"/>
        <v/>
      </c>
    </row>
    <row r="767" spans="5:19" x14ac:dyDescent="0.35">
      <c r="E767" s="30" t="s">
        <v>42</v>
      </c>
      <c r="F767" s="46"/>
      <c r="G767" s="46"/>
      <c r="H767" s="46"/>
      <c r="I767" s="46"/>
      <c r="J767" s="46"/>
      <c r="K767" s="46"/>
      <c r="L767" s="41" t="str">
        <f t="shared" ca="1" si="45"/>
        <v/>
      </c>
      <c r="M767" s="47" t="str">
        <f t="shared" ca="1" si="46"/>
        <v/>
      </c>
      <c r="R767" s="48" t="str">
        <f t="shared" si="47"/>
        <v/>
      </c>
      <c r="S767" s="48" t="str">
        <f t="shared" si="48"/>
        <v/>
      </c>
    </row>
    <row r="768" spans="5:19" x14ac:dyDescent="0.35">
      <c r="E768" s="30" t="s">
        <v>42</v>
      </c>
      <c r="F768" s="46"/>
      <c r="G768" s="46"/>
      <c r="H768" s="46"/>
      <c r="I768" s="46"/>
      <c r="J768" s="46"/>
      <c r="K768" s="46"/>
      <c r="L768" s="41" t="str">
        <f t="shared" ca="1" si="45"/>
        <v/>
      </c>
      <c r="M768" s="47" t="str">
        <f t="shared" ca="1" si="46"/>
        <v/>
      </c>
      <c r="R768" s="48" t="str">
        <f t="shared" si="47"/>
        <v/>
      </c>
      <c r="S768" s="48" t="str">
        <f t="shared" si="48"/>
        <v/>
      </c>
    </row>
    <row r="769" spans="5:19" x14ac:dyDescent="0.35">
      <c r="E769" s="30" t="s">
        <v>42</v>
      </c>
      <c r="F769" s="46"/>
      <c r="G769" s="46"/>
      <c r="H769" s="46"/>
      <c r="I769" s="46"/>
      <c r="J769" s="46"/>
      <c r="K769" s="46"/>
      <c r="L769" s="41" t="str">
        <f t="shared" ca="1" si="45"/>
        <v/>
      </c>
      <c r="M769" s="47" t="str">
        <f t="shared" ca="1" si="46"/>
        <v/>
      </c>
      <c r="R769" s="48" t="str">
        <f t="shared" si="47"/>
        <v/>
      </c>
      <c r="S769" s="48" t="str">
        <f t="shared" si="48"/>
        <v/>
      </c>
    </row>
    <row r="770" spans="5:19" x14ac:dyDescent="0.35">
      <c r="E770" s="30" t="s">
        <v>42</v>
      </c>
      <c r="F770" s="46"/>
      <c r="G770" s="46"/>
      <c r="H770" s="46"/>
      <c r="I770" s="46"/>
      <c r="J770" s="46"/>
      <c r="K770" s="46"/>
      <c r="L770" s="41" t="str">
        <f t="shared" ca="1" si="45"/>
        <v/>
      </c>
      <c r="M770" s="47" t="str">
        <f t="shared" ca="1" si="46"/>
        <v/>
      </c>
      <c r="R770" s="48" t="str">
        <f t="shared" si="47"/>
        <v/>
      </c>
      <c r="S770" s="48" t="str">
        <f t="shared" si="48"/>
        <v/>
      </c>
    </row>
    <row r="771" spans="5:19" x14ac:dyDescent="0.35">
      <c r="E771" s="30" t="s">
        <v>42</v>
      </c>
      <c r="F771" s="46"/>
      <c r="G771" s="46"/>
      <c r="H771" s="46"/>
      <c r="I771" s="46"/>
      <c r="J771" s="46"/>
      <c r="K771" s="46"/>
      <c r="L771" s="41" t="str">
        <f t="shared" ca="1" si="45"/>
        <v/>
      </c>
      <c r="M771" s="47" t="str">
        <f t="shared" ca="1" si="46"/>
        <v/>
      </c>
      <c r="R771" s="48" t="str">
        <f t="shared" si="47"/>
        <v/>
      </c>
      <c r="S771" s="48" t="str">
        <f t="shared" si="48"/>
        <v/>
      </c>
    </row>
    <row r="772" spans="5:19" x14ac:dyDescent="0.35">
      <c r="E772" s="30" t="s">
        <v>42</v>
      </c>
      <c r="F772" s="46"/>
      <c r="G772" s="46"/>
      <c r="H772" s="46"/>
      <c r="I772" s="46"/>
      <c r="J772" s="46"/>
      <c r="K772" s="46"/>
      <c r="L772" s="41" t="str">
        <f t="shared" ca="1" si="45"/>
        <v/>
      </c>
      <c r="M772" s="47" t="str">
        <f t="shared" ca="1" si="46"/>
        <v/>
      </c>
      <c r="R772" s="48" t="str">
        <f t="shared" si="47"/>
        <v/>
      </c>
      <c r="S772" s="48" t="str">
        <f t="shared" si="48"/>
        <v/>
      </c>
    </row>
    <row r="773" spans="5:19" x14ac:dyDescent="0.35">
      <c r="E773" s="30" t="s">
        <v>42</v>
      </c>
      <c r="F773" s="46"/>
      <c r="G773" s="46"/>
      <c r="H773" s="46"/>
      <c r="I773" s="46"/>
      <c r="J773" s="46"/>
      <c r="K773" s="46"/>
      <c r="L773" s="41" t="str">
        <f t="shared" ca="1" si="45"/>
        <v/>
      </c>
      <c r="M773" s="47" t="str">
        <f t="shared" ca="1" si="46"/>
        <v/>
      </c>
      <c r="R773" s="48" t="str">
        <f t="shared" si="47"/>
        <v/>
      </c>
      <c r="S773" s="48" t="str">
        <f t="shared" si="48"/>
        <v/>
      </c>
    </row>
    <row r="774" spans="5:19" x14ac:dyDescent="0.35">
      <c r="E774" s="30" t="s">
        <v>42</v>
      </c>
      <c r="F774" s="46"/>
      <c r="G774" s="46"/>
      <c r="H774" s="46"/>
      <c r="I774" s="46"/>
      <c r="J774" s="46"/>
      <c r="K774" s="46"/>
      <c r="L774" s="41" t="str">
        <f t="shared" ref="L774:L837" ca="1" si="49">IF(AND(C774&lt;&gt;"",C774&lt;&gt;R774),TODAY(),IF(C774="","",L774))</f>
        <v/>
      </c>
      <c r="M774" s="47" t="str">
        <f t="shared" ref="M774:M837" ca="1" si="50">IF(AND(C774&lt;&gt;"",C774&lt;&gt;S774),NOW(),IF(C774="","",M774))</f>
        <v/>
      </c>
      <c r="R774" s="48" t="str">
        <f t="shared" ref="R774:R837" si="51">IF(C774="","",IF(OR(L774="",AND(ISNUMBER(R774),C774=R774)),R774,C774))</f>
        <v/>
      </c>
      <c r="S774" s="48" t="str">
        <f t="shared" ref="S774:S837" si="52">IF(C774="","",IF(OR(M774="",AND(ISNUMBER(S774),C774=S774)),S774,C774))</f>
        <v/>
      </c>
    </row>
    <row r="775" spans="5:19" x14ac:dyDescent="0.35">
      <c r="E775" s="30" t="s">
        <v>42</v>
      </c>
      <c r="F775" s="46"/>
      <c r="G775" s="46"/>
      <c r="H775" s="46"/>
      <c r="I775" s="46"/>
      <c r="J775" s="46"/>
      <c r="K775" s="46"/>
      <c r="L775" s="41" t="str">
        <f t="shared" ca="1" si="49"/>
        <v/>
      </c>
      <c r="M775" s="47" t="str">
        <f t="shared" ca="1" si="50"/>
        <v/>
      </c>
      <c r="R775" s="48" t="str">
        <f t="shared" si="51"/>
        <v/>
      </c>
      <c r="S775" s="48" t="str">
        <f t="shared" si="52"/>
        <v/>
      </c>
    </row>
    <row r="776" spans="5:19" x14ac:dyDescent="0.35">
      <c r="E776" s="30" t="s">
        <v>42</v>
      </c>
      <c r="F776" s="46"/>
      <c r="G776" s="46"/>
      <c r="H776" s="46"/>
      <c r="I776" s="46"/>
      <c r="J776" s="46"/>
      <c r="K776" s="46"/>
      <c r="L776" s="41" t="str">
        <f t="shared" ca="1" si="49"/>
        <v/>
      </c>
      <c r="M776" s="47" t="str">
        <f t="shared" ca="1" si="50"/>
        <v/>
      </c>
      <c r="R776" s="48" t="str">
        <f t="shared" si="51"/>
        <v/>
      </c>
      <c r="S776" s="48" t="str">
        <f t="shared" si="52"/>
        <v/>
      </c>
    </row>
    <row r="777" spans="5:19" x14ac:dyDescent="0.35">
      <c r="E777" s="30" t="s">
        <v>42</v>
      </c>
      <c r="F777" s="46"/>
      <c r="G777" s="46"/>
      <c r="H777" s="46"/>
      <c r="I777" s="46"/>
      <c r="J777" s="46"/>
      <c r="K777" s="46"/>
      <c r="L777" s="41" t="str">
        <f t="shared" ca="1" si="49"/>
        <v/>
      </c>
      <c r="M777" s="47" t="str">
        <f t="shared" ca="1" si="50"/>
        <v/>
      </c>
      <c r="R777" s="48" t="str">
        <f t="shared" si="51"/>
        <v/>
      </c>
      <c r="S777" s="48" t="str">
        <f t="shared" si="52"/>
        <v/>
      </c>
    </row>
    <row r="778" spans="5:19" x14ac:dyDescent="0.35">
      <c r="E778" s="30" t="s">
        <v>42</v>
      </c>
      <c r="F778" s="46"/>
      <c r="G778" s="46"/>
      <c r="H778" s="46"/>
      <c r="I778" s="46"/>
      <c r="J778" s="46"/>
      <c r="K778" s="46"/>
      <c r="L778" s="41" t="str">
        <f t="shared" ca="1" si="49"/>
        <v/>
      </c>
      <c r="M778" s="47" t="str">
        <f t="shared" ca="1" si="50"/>
        <v/>
      </c>
      <c r="R778" s="48" t="str">
        <f t="shared" si="51"/>
        <v/>
      </c>
      <c r="S778" s="48" t="str">
        <f t="shared" si="52"/>
        <v/>
      </c>
    </row>
    <row r="779" spans="5:19" x14ac:dyDescent="0.35">
      <c r="E779" s="30" t="s">
        <v>42</v>
      </c>
      <c r="F779" s="46"/>
      <c r="G779" s="46"/>
      <c r="H779" s="46"/>
      <c r="I779" s="46"/>
      <c r="J779" s="46"/>
      <c r="K779" s="46"/>
      <c r="L779" s="41" t="str">
        <f t="shared" ca="1" si="49"/>
        <v/>
      </c>
      <c r="M779" s="47" t="str">
        <f t="shared" ca="1" si="50"/>
        <v/>
      </c>
      <c r="R779" s="48" t="str">
        <f t="shared" si="51"/>
        <v/>
      </c>
      <c r="S779" s="48" t="str">
        <f t="shared" si="52"/>
        <v/>
      </c>
    </row>
    <row r="780" spans="5:19" x14ac:dyDescent="0.35">
      <c r="E780" s="30" t="s">
        <v>42</v>
      </c>
      <c r="F780" s="46"/>
      <c r="G780" s="46"/>
      <c r="H780" s="46"/>
      <c r="I780" s="46"/>
      <c r="J780" s="46"/>
      <c r="K780" s="46"/>
      <c r="L780" s="41" t="str">
        <f t="shared" ca="1" si="49"/>
        <v/>
      </c>
      <c r="M780" s="47" t="str">
        <f t="shared" ca="1" si="50"/>
        <v/>
      </c>
      <c r="R780" s="48" t="str">
        <f t="shared" si="51"/>
        <v/>
      </c>
      <c r="S780" s="48" t="str">
        <f t="shared" si="52"/>
        <v/>
      </c>
    </row>
    <row r="781" spans="5:19" x14ac:dyDescent="0.35">
      <c r="E781" s="30" t="s">
        <v>42</v>
      </c>
      <c r="F781" s="46"/>
      <c r="G781" s="46"/>
      <c r="H781" s="46"/>
      <c r="I781" s="46"/>
      <c r="J781" s="46"/>
      <c r="K781" s="46"/>
      <c r="L781" s="41" t="str">
        <f t="shared" ca="1" si="49"/>
        <v/>
      </c>
      <c r="M781" s="47" t="str">
        <f t="shared" ca="1" si="50"/>
        <v/>
      </c>
      <c r="R781" s="48" t="str">
        <f t="shared" si="51"/>
        <v/>
      </c>
      <c r="S781" s="48" t="str">
        <f t="shared" si="52"/>
        <v/>
      </c>
    </row>
    <row r="782" spans="5:19" x14ac:dyDescent="0.35">
      <c r="E782" s="30" t="s">
        <v>42</v>
      </c>
      <c r="F782" s="46"/>
      <c r="G782" s="46"/>
      <c r="H782" s="46"/>
      <c r="I782" s="46"/>
      <c r="J782" s="46"/>
      <c r="K782" s="46"/>
      <c r="L782" s="41" t="str">
        <f t="shared" ca="1" si="49"/>
        <v/>
      </c>
      <c r="M782" s="47" t="str">
        <f t="shared" ca="1" si="50"/>
        <v/>
      </c>
      <c r="R782" s="48" t="str">
        <f t="shared" si="51"/>
        <v/>
      </c>
      <c r="S782" s="48" t="str">
        <f t="shared" si="52"/>
        <v/>
      </c>
    </row>
    <row r="783" spans="5:19" x14ac:dyDescent="0.35">
      <c r="E783" s="30" t="s">
        <v>42</v>
      </c>
      <c r="F783" s="46"/>
      <c r="G783" s="46"/>
      <c r="H783" s="46"/>
      <c r="I783" s="46"/>
      <c r="J783" s="46"/>
      <c r="K783" s="46"/>
      <c r="L783" s="41" t="str">
        <f t="shared" ca="1" si="49"/>
        <v/>
      </c>
      <c r="M783" s="47" t="str">
        <f t="shared" ca="1" si="50"/>
        <v/>
      </c>
      <c r="R783" s="48" t="str">
        <f t="shared" si="51"/>
        <v/>
      </c>
      <c r="S783" s="48" t="str">
        <f t="shared" si="52"/>
        <v/>
      </c>
    </row>
    <row r="784" spans="5:19" x14ac:dyDescent="0.35">
      <c r="E784" s="30" t="s">
        <v>42</v>
      </c>
      <c r="F784" s="46"/>
      <c r="G784" s="46"/>
      <c r="H784" s="46"/>
      <c r="I784" s="46"/>
      <c r="J784" s="46"/>
      <c r="K784" s="46"/>
      <c r="L784" s="41" t="str">
        <f t="shared" ca="1" si="49"/>
        <v/>
      </c>
      <c r="M784" s="47" t="str">
        <f t="shared" ca="1" si="50"/>
        <v/>
      </c>
      <c r="R784" s="48" t="str">
        <f t="shared" si="51"/>
        <v/>
      </c>
      <c r="S784" s="48" t="str">
        <f t="shared" si="52"/>
        <v/>
      </c>
    </row>
    <row r="785" spans="5:19" x14ac:dyDescent="0.35">
      <c r="E785" s="30" t="s">
        <v>42</v>
      </c>
      <c r="F785" s="46"/>
      <c r="G785" s="46"/>
      <c r="H785" s="46"/>
      <c r="I785" s="46"/>
      <c r="J785" s="46"/>
      <c r="K785" s="46"/>
      <c r="L785" s="41" t="str">
        <f t="shared" ca="1" si="49"/>
        <v/>
      </c>
      <c r="M785" s="47" t="str">
        <f t="shared" ca="1" si="50"/>
        <v/>
      </c>
      <c r="R785" s="48" t="str">
        <f t="shared" si="51"/>
        <v/>
      </c>
      <c r="S785" s="48" t="str">
        <f t="shared" si="52"/>
        <v/>
      </c>
    </row>
    <row r="786" spans="5:19" x14ac:dyDescent="0.35">
      <c r="E786" s="30" t="s">
        <v>42</v>
      </c>
      <c r="F786" s="46"/>
      <c r="G786" s="46"/>
      <c r="H786" s="46"/>
      <c r="I786" s="46"/>
      <c r="J786" s="46"/>
      <c r="K786" s="46"/>
      <c r="L786" s="41" t="str">
        <f t="shared" ca="1" si="49"/>
        <v/>
      </c>
      <c r="M786" s="47" t="str">
        <f t="shared" ca="1" si="50"/>
        <v/>
      </c>
      <c r="R786" s="48" t="str">
        <f t="shared" si="51"/>
        <v/>
      </c>
      <c r="S786" s="48" t="str">
        <f t="shared" si="52"/>
        <v/>
      </c>
    </row>
    <row r="787" spans="5:19" x14ac:dyDescent="0.35">
      <c r="E787" s="30" t="s">
        <v>42</v>
      </c>
      <c r="F787" s="46"/>
      <c r="G787" s="46"/>
      <c r="H787" s="46"/>
      <c r="I787" s="46"/>
      <c r="J787" s="46"/>
      <c r="K787" s="46"/>
      <c r="L787" s="41" t="str">
        <f t="shared" ca="1" si="49"/>
        <v/>
      </c>
      <c r="M787" s="47" t="str">
        <f t="shared" ca="1" si="50"/>
        <v/>
      </c>
      <c r="R787" s="48" t="str">
        <f t="shared" si="51"/>
        <v/>
      </c>
      <c r="S787" s="48" t="str">
        <f t="shared" si="52"/>
        <v/>
      </c>
    </row>
    <row r="788" spans="5:19" x14ac:dyDescent="0.35">
      <c r="E788" s="30" t="s">
        <v>42</v>
      </c>
      <c r="F788" s="46"/>
      <c r="G788" s="46"/>
      <c r="H788" s="46"/>
      <c r="I788" s="46"/>
      <c r="J788" s="46"/>
      <c r="K788" s="46"/>
      <c r="L788" s="41" t="str">
        <f t="shared" ca="1" si="49"/>
        <v/>
      </c>
      <c r="M788" s="47" t="str">
        <f t="shared" ca="1" si="50"/>
        <v/>
      </c>
      <c r="R788" s="48" t="str">
        <f t="shared" si="51"/>
        <v/>
      </c>
      <c r="S788" s="48" t="str">
        <f t="shared" si="52"/>
        <v/>
      </c>
    </row>
    <row r="789" spans="5:19" x14ac:dyDescent="0.35">
      <c r="E789" s="30" t="s">
        <v>42</v>
      </c>
      <c r="F789" s="46"/>
      <c r="G789" s="46"/>
      <c r="H789" s="46"/>
      <c r="I789" s="46"/>
      <c r="J789" s="46"/>
      <c r="K789" s="46"/>
      <c r="L789" s="41" t="str">
        <f t="shared" ca="1" si="49"/>
        <v/>
      </c>
      <c r="M789" s="47" t="str">
        <f t="shared" ca="1" si="50"/>
        <v/>
      </c>
      <c r="R789" s="48" t="str">
        <f t="shared" si="51"/>
        <v/>
      </c>
      <c r="S789" s="48" t="str">
        <f t="shared" si="52"/>
        <v/>
      </c>
    </row>
    <row r="790" spans="5:19" x14ac:dyDescent="0.35">
      <c r="E790" s="30" t="s">
        <v>42</v>
      </c>
      <c r="F790" s="46"/>
      <c r="G790" s="46"/>
      <c r="H790" s="46"/>
      <c r="I790" s="46"/>
      <c r="J790" s="46"/>
      <c r="K790" s="46"/>
      <c r="L790" s="41" t="str">
        <f t="shared" ca="1" si="49"/>
        <v/>
      </c>
      <c r="M790" s="47" t="str">
        <f t="shared" ca="1" si="50"/>
        <v/>
      </c>
      <c r="R790" s="48" t="str">
        <f t="shared" si="51"/>
        <v/>
      </c>
      <c r="S790" s="48" t="str">
        <f t="shared" si="52"/>
        <v/>
      </c>
    </row>
    <row r="791" spans="5:19" x14ac:dyDescent="0.35">
      <c r="E791" s="30" t="s">
        <v>42</v>
      </c>
      <c r="F791" s="46"/>
      <c r="G791" s="46"/>
      <c r="H791" s="46"/>
      <c r="I791" s="46"/>
      <c r="J791" s="46"/>
      <c r="K791" s="46"/>
      <c r="L791" s="41" t="str">
        <f t="shared" ca="1" si="49"/>
        <v/>
      </c>
      <c r="M791" s="47" t="str">
        <f t="shared" ca="1" si="50"/>
        <v/>
      </c>
      <c r="R791" s="48" t="str">
        <f t="shared" si="51"/>
        <v/>
      </c>
      <c r="S791" s="48" t="str">
        <f t="shared" si="52"/>
        <v/>
      </c>
    </row>
    <row r="792" spans="5:19" x14ac:dyDescent="0.35">
      <c r="E792" s="30" t="s">
        <v>42</v>
      </c>
      <c r="F792" s="46"/>
      <c r="G792" s="46"/>
      <c r="H792" s="46"/>
      <c r="I792" s="46"/>
      <c r="J792" s="46"/>
      <c r="K792" s="46"/>
      <c r="L792" s="41" t="str">
        <f t="shared" ca="1" si="49"/>
        <v/>
      </c>
      <c r="M792" s="47" t="str">
        <f t="shared" ca="1" si="50"/>
        <v/>
      </c>
      <c r="R792" s="48" t="str">
        <f t="shared" si="51"/>
        <v/>
      </c>
      <c r="S792" s="48" t="str">
        <f t="shared" si="52"/>
        <v/>
      </c>
    </row>
    <row r="793" spans="5:19" x14ac:dyDescent="0.35">
      <c r="E793" s="30" t="s">
        <v>42</v>
      </c>
      <c r="F793" s="46"/>
      <c r="G793" s="46"/>
      <c r="H793" s="46"/>
      <c r="I793" s="46"/>
      <c r="J793" s="46"/>
      <c r="K793" s="46"/>
      <c r="L793" s="41" t="str">
        <f t="shared" ca="1" si="49"/>
        <v/>
      </c>
      <c r="M793" s="47" t="str">
        <f t="shared" ca="1" si="50"/>
        <v/>
      </c>
      <c r="R793" s="48" t="str">
        <f t="shared" si="51"/>
        <v/>
      </c>
      <c r="S793" s="48" t="str">
        <f t="shared" si="52"/>
        <v/>
      </c>
    </row>
    <row r="794" spans="5:19" x14ac:dyDescent="0.35">
      <c r="E794" s="30" t="s">
        <v>42</v>
      </c>
      <c r="F794" s="46"/>
      <c r="G794" s="46"/>
      <c r="H794" s="46"/>
      <c r="I794" s="46"/>
      <c r="J794" s="46"/>
      <c r="K794" s="46"/>
      <c r="L794" s="41" t="str">
        <f t="shared" ca="1" si="49"/>
        <v/>
      </c>
      <c r="M794" s="47" t="str">
        <f t="shared" ca="1" si="50"/>
        <v/>
      </c>
      <c r="R794" s="48" t="str">
        <f t="shared" si="51"/>
        <v/>
      </c>
      <c r="S794" s="48" t="str">
        <f t="shared" si="52"/>
        <v/>
      </c>
    </row>
    <row r="795" spans="5:19" x14ac:dyDescent="0.35">
      <c r="E795" s="30" t="s">
        <v>42</v>
      </c>
      <c r="F795" s="46"/>
      <c r="G795" s="46"/>
      <c r="H795" s="46"/>
      <c r="I795" s="46"/>
      <c r="J795" s="46"/>
      <c r="K795" s="46"/>
      <c r="L795" s="41" t="str">
        <f t="shared" ca="1" si="49"/>
        <v/>
      </c>
      <c r="M795" s="47" t="str">
        <f t="shared" ca="1" si="50"/>
        <v/>
      </c>
      <c r="R795" s="48" t="str">
        <f t="shared" si="51"/>
        <v/>
      </c>
      <c r="S795" s="48" t="str">
        <f t="shared" si="52"/>
        <v/>
      </c>
    </row>
    <row r="796" spans="5:19" x14ac:dyDescent="0.35">
      <c r="E796" s="30" t="s">
        <v>42</v>
      </c>
      <c r="F796" s="46"/>
      <c r="G796" s="46"/>
      <c r="H796" s="46"/>
      <c r="I796" s="46"/>
      <c r="J796" s="46"/>
      <c r="K796" s="46"/>
      <c r="L796" s="41" t="str">
        <f t="shared" ca="1" si="49"/>
        <v/>
      </c>
      <c r="M796" s="47" t="str">
        <f t="shared" ca="1" si="50"/>
        <v/>
      </c>
      <c r="R796" s="48" t="str">
        <f t="shared" si="51"/>
        <v/>
      </c>
      <c r="S796" s="48" t="str">
        <f t="shared" si="52"/>
        <v/>
      </c>
    </row>
    <row r="797" spans="5:19" x14ac:dyDescent="0.35">
      <c r="E797" s="30" t="s">
        <v>42</v>
      </c>
      <c r="F797" s="46"/>
      <c r="G797" s="46"/>
      <c r="H797" s="46"/>
      <c r="I797" s="46"/>
      <c r="J797" s="46"/>
      <c r="K797" s="46"/>
      <c r="L797" s="41" t="str">
        <f t="shared" ca="1" si="49"/>
        <v/>
      </c>
      <c r="M797" s="47" t="str">
        <f t="shared" ca="1" si="50"/>
        <v/>
      </c>
      <c r="R797" s="48" t="str">
        <f t="shared" si="51"/>
        <v/>
      </c>
      <c r="S797" s="48" t="str">
        <f t="shared" si="52"/>
        <v/>
      </c>
    </row>
    <row r="798" spans="5:19" x14ac:dyDescent="0.35">
      <c r="E798" s="30" t="s">
        <v>42</v>
      </c>
      <c r="F798" s="46"/>
      <c r="G798" s="46"/>
      <c r="H798" s="46"/>
      <c r="I798" s="46"/>
      <c r="J798" s="46"/>
      <c r="K798" s="46"/>
      <c r="L798" s="41" t="str">
        <f t="shared" ca="1" si="49"/>
        <v/>
      </c>
      <c r="M798" s="47" t="str">
        <f t="shared" ca="1" si="50"/>
        <v/>
      </c>
      <c r="R798" s="48" t="str">
        <f t="shared" si="51"/>
        <v/>
      </c>
      <c r="S798" s="48" t="str">
        <f t="shared" si="52"/>
        <v/>
      </c>
    </row>
    <row r="799" spans="5:19" x14ac:dyDescent="0.35">
      <c r="E799" s="30" t="s">
        <v>42</v>
      </c>
      <c r="F799" s="46"/>
      <c r="G799" s="46"/>
      <c r="H799" s="46"/>
      <c r="I799" s="46"/>
      <c r="J799" s="46"/>
      <c r="K799" s="46"/>
      <c r="L799" s="41" t="str">
        <f t="shared" ca="1" si="49"/>
        <v/>
      </c>
      <c r="M799" s="47" t="str">
        <f t="shared" ca="1" si="50"/>
        <v/>
      </c>
      <c r="R799" s="48" t="str">
        <f t="shared" si="51"/>
        <v/>
      </c>
      <c r="S799" s="48" t="str">
        <f t="shared" si="52"/>
        <v/>
      </c>
    </row>
    <row r="800" spans="5:19" x14ac:dyDescent="0.35">
      <c r="E800" s="30" t="s">
        <v>42</v>
      </c>
      <c r="F800" s="46"/>
      <c r="G800" s="46"/>
      <c r="H800" s="46"/>
      <c r="I800" s="46"/>
      <c r="J800" s="46"/>
      <c r="K800" s="46"/>
      <c r="L800" s="41" t="str">
        <f t="shared" ca="1" si="49"/>
        <v/>
      </c>
      <c r="M800" s="47" t="str">
        <f t="shared" ca="1" si="50"/>
        <v/>
      </c>
      <c r="R800" s="48" t="str">
        <f t="shared" si="51"/>
        <v/>
      </c>
      <c r="S800" s="48" t="str">
        <f t="shared" si="52"/>
        <v/>
      </c>
    </row>
    <row r="801" spans="5:19" x14ac:dyDescent="0.35">
      <c r="E801" s="30" t="s">
        <v>42</v>
      </c>
      <c r="F801" s="46"/>
      <c r="G801" s="46"/>
      <c r="H801" s="46"/>
      <c r="I801" s="46"/>
      <c r="J801" s="46"/>
      <c r="K801" s="46"/>
      <c r="L801" s="41" t="str">
        <f t="shared" ca="1" si="49"/>
        <v/>
      </c>
      <c r="M801" s="47" t="str">
        <f t="shared" ca="1" si="50"/>
        <v/>
      </c>
      <c r="R801" s="48" t="str">
        <f t="shared" si="51"/>
        <v/>
      </c>
      <c r="S801" s="48" t="str">
        <f t="shared" si="52"/>
        <v/>
      </c>
    </row>
    <row r="802" spans="5:19" x14ac:dyDescent="0.35">
      <c r="E802" s="30" t="s">
        <v>42</v>
      </c>
      <c r="F802" s="46"/>
      <c r="G802" s="46"/>
      <c r="H802" s="46"/>
      <c r="I802" s="46"/>
      <c r="J802" s="46"/>
      <c r="K802" s="46"/>
      <c r="L802" s="41" t="str">
        <f t="shared" ca="1" si="49"/>
        <v/>
      </c>
      <c r="M802" s="47" t="str">
        <f t="shared" ca="1" si="50"/>
        <v/>
      </c>
      <c r="R802" s="48" t="str">
        <f t="shared" si="51"/>
        <v/>
      </c>
      <c r="S802" s="48" t="str">
        <f t="shared" si="52"/>
        <v/>
      </c>
    </row>
    <row r="803" spans="5:19" x14ac:dyDescent="0.35">
      <c r="E803" s="30" t="s">
        <v>42</v>
      </c>
      <c r="F803" s="46"/>
      <c r="G803" s="46"/>
      <c r="H803" s="46"/>
      <c r="I803" s="46"/>
      <c r="J803" s="46"/>
      <c r="K803" s="46"/>
      <c r="L803" s="41" t="str">
        <f t="shared" ca="1" si="49"/>
        <v/>
      </c>
      <c r="M803" s="47" t="str">
        <f t="shared" ca="1" si="50"/>
        <v/>
      </c>
      <c r="R803" s="48" t="str">
        <f t="shared" si="51"/>
        <v/>
      </c>
      <c r="S803" s="48" t="str">
        <f t="shared" si="52"/>
        <v/>
      </c>
    </row>
    <row r="804" spans="5:19" x14ac:dyDescent="0.35">
      <c r="E804" s="30" t="s">
        <v>42</v>
      </c>
      <c r="F804" s="46"/>
      <c r="G804" s="46"/>
      <c r="H804" s="46"/>
      <c r="I804" s="46"/>
      <c r="J804" s="46"/>
      <c r="K804" s="46"/>
      <c r="L804" s="41" t="str">
        <f t="shared" ca="1" si="49"/>
        <v/>
      </c>
      <c r="M804" s="47" t="str">
        <f t="shared" ca="1" si="50"/>
        <v/>
      </c>
      <c r="R804" s="48" t="str">
        <f t="shared" si="51"/>
        <v/>
      </c>
      <c r="S804" s="48" t="str">
        <f t="shared" si="52"/>
        <v/>
      </c>
    </row>
    <row r="805" spans="5:19" x14ac:dyDescent="0.35">
      <c r="E805" s="30" t="s">
        <v>42</v>
      </c>
      <c r="F805" s="46"/>
      <c r="G805" s="46"/>
      <c r="H805" s="46"/>
      <c r="I805" s="46"/>
      <c r="J805" s="46"/>
      <c r="K805" s="46"/>
      <c r="L805" s="41" t="str">
        <f t="shared" ca="1" si="49"/>
        <v/>
      </c>
      <c r="M805" s="47" t="str">
        <f t="shared" ca="1" si="50"/>
        <v/>
      </c>
      <c r="R805" s="48" t="str">
        <f t="shared" si="51"/>
        <v/>
      </c>
      <c r="S805" s="48" t="str">
        <f t="shared" si="52"/>
        <v/>
      </c>
    </row>
    <row r="806" spans="5:19" x14ac:dyDescent="0.35">
      <c r="E806" s="30" t="s">
        <v>42</v>
      </c>
      <c r="F806" s="46"/>
      <c r="G806" s="46"/>
      <c r="H806" s="46"/>
      <c r="I806" s="46"/>
      <c r="J806" s="46"/>
      <c r="K806" s="46"/>
      <c r="L806" s="41" t="str">
        <f t="shared" ca="1" si="49"/>
        <v/>
      </c>
      <c r="M806" s="47" t="str">
        <f t="shared" ca="1" si="50"/>
        <v/>
      </c>
      <c r="R806" s="48" t="str">
        <f t="shared" si="51"/>
        <v/>
      </c>
      <c r="S806" s="48" t="str">
        <f t="shared" si="52"/>
        <v/>
      </c>
    </row>
    <row r="807" spans="5:19" x14ac:dyDescent="0.35">
      <c r="E807" s="30" t="s">
        <v>42</v>
      </c>
      <c r="F807" s="46"/>
      <c r="G807" s="46"/>
      <c r="H807" s="46"/>
      <c r="I807" s="46"/>
      <c r="J807" s="46"/>
      <c r="K807" s="46"/>
      <c r="L807" s="41" t="str">
        <f t="shared" ca="1" si="49"/>
        <v/>
      </c>
      <c r="M807" s="47" t="str">
        <f t="shared" ca="1" si="50"/>
        <v/>
      </c>
      <c r="R807" s="48" t="str">
        <f t="shared" si="51"/>
        <v/>
      </c>
      <c r="S807" s="48" t="str">
        <f t="shared" si="52"/>
        <v/>
      </c>
    </row>
    <row r="808" spans="5:19" x14ac:dyDescent="0.35">
      <c r="E808" s="30" t="s">
        <v>42</v>
      </c>
      <c r="F808" s="46"/>
      <c r="G808" s="46"/>
      <c r="H808" s="46"/>
      <c r="I808" s="46"/>
      <c r="J808" s="46"/>
      <c r="K808" s="46"/>
      <c r="L808" s="41" t="str">
        <f t="shared" ca="1" si="49"/>
        <v/>
      </c>
      <c r="M808" s="47" t="str">
        <f t="shared" ca="1" si="50"/>
        <v/>
      </c>
      <c r="R808" s="48" t="str">
        <f t="shared" si="51"/>
        <v/>
      </c>
      <c r="S808" s="48" t="str">
        <f t="shared" si="52"/>
        <v/>
      </c>
    </row>
    <row r="809" spans="5:19" x14ac:dyDescent="0.35">
      <c r="E809" s="30" t="s">
        <v>42</v>
      </c>
      <c r="F809" s="46"/>
      <c r="G809" s="46"/>
      <c r="H809" s="46"/>
      <c r="I809" s="46"/>
      <c r="J809" s="46"/>
      <c r="K809" s="46"/>
      <c r="L809" s="41" t="str">
        <f t="shared" ca="1" si="49"/>
        <v/>
      </c>
      <c r="M809" s="47" t="str">
        <f t="shared" ca="1" si="50"/>
        <v/>
      </c>
      <c r="R809" s="48" t="str">
        <f t="shared" si="51"/>
        <v/>
      </c>
      <c r="S809" s="48" t="str">
        <f t="shared" si="52"/>
        <v/>
      </c>
    </row>
    <row r="810" spans="5:19" x14ac:dyDescent="0.35">
      <c r="E810" s="30" t="s">
        <v>42</v>
      </c>
      <c r="F810" s="46"/>
      <c r="G810" s="46"/>
      <c r="H810" s="46"/>
      <c r="I810" s="46"/>
      <c r="J810" s="46"/>
      <c r="K810" s="46"/>
      <c r="L810" s="41" t="str">
        <f t="shared" ca="1" si="49"/>
        <v/>
      </c>
      <c r="M810" s="47" t="str">
        <f t="shared" ca="1" si="50"/>
        <v/>
      </c>
      <c r="R810" s="48" t="str">
        <f t="shared" si="51"/>
        <v/>
      </c>
      <c r="S810" s="48" t="str">
        <f t="shared" si="52"/>
        <v/>
      </c>
    </row>
    <row r="811" spans="5:19" x14ac:dyDescent="0.35">
      <c r="E811" s="30" t="s">
        <v>42</v>
      </c>
      <c r="F811" s="46"/>
      <c r="G811" s="46"/>
      <c r="H811" s="46"/>
      <c r="I811" s="46"/>
      <c r="J811" s="46"/>
      <c r="K811" s="46"/>
      <c r="L811" s="41" t="str">
        <f t="shared" ca="1" si="49"/>
        <v/>
      </c>
      <c r="M811" s="47" t="str">
        <f t="shared" ca="1" si="50"/>
        <v/>
      </c>
      <c r="R811" s="48" t="str">
        <f t="shared" si="51"/>
        <v/>
      </c>
      <c r="S811" s="48" t="str">
        <f t="shared" si="52"/>
        <v/>
      </c>
    </row>
    <row r="812" spans="5:19" x14ac:dyDescent="0.35">
      <c r="E812" s="30" t="s">
        <v>42</v>
      </c>
      <c r="F812" s="46"/>
      <c r="G812" s="46"/>
      <c r="H812" s="46"/>
      <c r="I812" s="46"/>
      <c r="J812" s="46"/>
      <c r="K812" s="46"/>
      <c r="L812" s="41" t="str">
        <f t="shared" ca="1" si="49"/>
        <v/>
      </c>
      <c r="M812" s="47" t="str">
        <f t="shared" ca="1" si="50"/>
        <v/>
      </c>
      <c r="R812" s="48" t="str">
        <f t="shared" si="51"/>
        <v/>
      </c>
      <c r="S812" s="48" t="str">
        <f t="shared" si="52"/>
        <v/>
      </c>
    </row>
    <row r="813" spans="5:19" x14ac:dyDescent="0.35">
      <c r="E813" s="30" t="s">
        <v>42</v>
      </c>
      <c r="F813" s="46"/>
      <c r="G813" s="46"/>
      <c r="H813" s="46"/>
      <c r="I813" s="46"/>
      <c r="J813" s="46"/>
      <c r="K813" s="46"/>
      <c r="L813" s="41" t="str">
        <f t="shared" ca="1" si="49"/>
        <v/>
      </c>
      <c r="M813" s="47" t="str">
        <f t="shared" ca="1" si="50"/>
        <v/>
      </c>
      <c r="R813" s="48" t="str">
        <f t="shared" si="51"/>
        <v/>
      </c>
      <c r="S813" s="48" t="str">
        <f t="shared" si="52"/>
        <v/>
      </c>
    </row>
    <row r="814" spans="5:19" x14ac:dyDescent="0.35">
      <c r="E814" s="30" t="s">
        <v>42</v>
      </c>
      <c r="F814" s="46"/>
      <c r="G814" s="46"/>
      <c r="H814" s="46"/>
      <c r="I814" s="46"/>
      <c r="J814" s="46"/>
      <c r="K814" s="46"/>
      <c r="L814" s="41" t="str">
        <f t="shared" ca="1" si="49"/>
        <v/>
      </c>
      <c r="M814" s="47" t="str">
        <f t="shared" ca="1" si="50"/>
        <v/>
      </c>
      <c r="R814" s="48" t="str">
        <f t="shared" si="51"/>
        <v/>
      </c>
      <c r="S814" s="48" t="str">
        <f t="shared" si="52"/>
        <v/>
      </c>
    </row>
    <row r="815" spans="5:19" x14ac:dyDescent="0.35">
      <c r="E815" s="30" t="s">
        <v>42</v>
      </c>
      <c r="F815" s="46"/>
      <c r="G815" s="46"/>
      <c r="H815" s="46"/>
      <c r="I815" s="46"/>
      <c r="J815" s="46"/>
      <c r="K815" s="46"/>
      <c r="L815" s="41" t="str">
        <f t="shared" ca="1" si="49"/>
        <v/>
      </c>
      <c r="M815" s="47" t="str">
        <f t="shared" ca="1" si="50"/>
        <v/>
      </c>
      <c r="R815" s="48" t="str">
        <f t="shared" si="51"/>
        <v/>
      </c>
      <c r="S815" s="48" t="str">
        <f t="shared" si="52"/>
        <v/>
      </c>
    </row>
    <row r="816" spans="5:19" x14ac:dyDescent="0.35">
      <c r="E816" s="30" t="s">
        <v>42</v>
      </c>
      <c r="F816" s="46"/>
      <c r="G816" s="46"/>
      <c r="H816" s="46"/>
      <c r="I816" s="46"/>
      <c r="J816" s="46"/>
      <c r="K816" s="46"/>
      <c r="L816" s="41" t="str">
        <f t="shared" ca="1" si="49"/>
        <v/>
      </c>
      <c r="M816" s="47" t="str">
        <f t="shared" ca="1" si="50"/>
        <v/>
      </c>
      <c r="R816" s="48" t="str">
        <f t="shared" si="51"/>
        <v/>
      </c>
      <c r="S816" s="48" t="str">
        <f t="shared" si="52"/>
        <v/>
      </c>
    </row>
    <row r="817" spans="5:19" x14ac:dyDescent="0.35">
      <c r="E817" s="30" t="s">
        <v>42</v>
      </c>
      <c r="F817" s="46"/>
      <c r="G817" s="46"/>
      <c r="H817" s="46"/>
      <c r="I817" s="46"/>
      <c r="J817" s="46"/>
      <c r="K817" s="46"/>
      <c r="L817" s="41" t="str">
        <f t="shared" ca="1" si="49"/>
        <v/>
      </c>
      <c r="M817" s="47" t="str">
        <f t="shared" ca="1" si="50"/>
        <v/>
      </c>
      <c r="R817" s="48" t="str">
        <f t="shared" si="51"/>
        <v/>
      </c>
      <c r="S817" s="48" t="str">
        <f t="shared" si="52"/>
        <v/>
      </c>
    </row>
    <row r="818" spans="5:19" x14ac:dyDescent="0.35">
      <c r="E818" s="30" t="s">
        <v>42</v>
      </c>
      <c r="F818" s="46"/>
      <c r="G818" s="46"/>
      <c r="H818" s="46"/>
      <c r="I818" s="46"/>
      <c r="J818" s="46"/>
      <c r="K818" s="46"/>
      <c r="L818" s="41" t="str">
        <f t="shared" ca="1" si="49"/>
        <v/>
      </c>
      <c r="M818" s="47" t="str">
        <f t="shared" ca="1" si="50"/>
        <v/>
      </c>
      <c r="R818" s="48" t="str">
        <f t="shared" si="51"/>
        <v/>
      </c>
      <c r="S818" s="48" t="str">
        <f t="shared" si="52"/>
        <v/>
      </c>
    </row>
    <row r="819" spans="5:19" x14ac:dyDescent="0.35">
      <c r="E819" s="30" t="s">
        <v>42</v>
      </c>
      <c r="F819" s="46"/>
      <c r="G819" s="46"/>
      <c r="H819" s="46"/>
      <c r="I819" s="46"/>
      <c r="J819" s="46"/>
      <c r="K819" s="46"/>
      <c r="L819" s="41" t="str">
        <f t="shared" ca="1" si="49"/>
        <v/>
      </c>
      <c r="M819" s="47" t="str">
        <f t="shared" ca="1" si="50"/>
        <v/>
      </c>
      <c r="R819" s="48" t="str">
        <f t="shared" si="51"/>
        <v/>
      </c>
      <c r="S819" s="48" t="str">
        <f t="shared" si="52"/>
        <v/>
      </c>
    </row>
    <row r="820" spans="5:19" x14ac:dyDescent="0.35">
      <c r="E820" s="30" t="s">
        <v>42</v>
      </c>
      <c r="F820" s="46"/>
      <c r="G820" s="46"/>
      <c r="H820" s="46"/>
      <c r="I820" s="46"/>
      <c r="J820" s="46"/>
      <c r="K820" s="46"/>
      <c r="L820" s="41" t="str">
        <f t="shared" ca="1" si="49"/>
        <v/>
      </c>
      <c r="M820" s="47" t="str">
        <f t="shared" ca="1" si="50"/>
        <v/>
      </c>
      <c r="R820" s="48" t="str">
        <f t="shared" si="51"/>
        <v/>
      </c>
      <c r="S820" s="48" t="str">
        <f t="shared" si="52"/>
        <v/>
      </c>
    </row>
    <row r="821" spans="5:19" x14ac:dyDescent="0.35">
      <c r="E821" s="30" t="s">
        <v>42</v>
      </c>
      <c r="F821" s="46"/>
      <c r="G821" s="46"/>
      <c r="H821" s="46"/>
      <c r="I821" s="46"/>
      <c r="J821" s="46"/>
      <c r="K821" s="46"/>
      <c r="L821" s="41" t="str">
        <f t="shared" ca="1" si="49"/>
        <v/>
      </c>
      <c r="M821" s="47" t="str">
        <f t="shared" ca="1" si="50"/>
        <v/>
      </c>
      <c r="R821" s="48" t="str">
        <f t="shared" si="51"/>
        <v/>
      </c>
      <c r="S821" s="48" t="str">
        <f t="shared" si="52"/>
        <v/>
      </c>
    </row>
    <row r="822" spans="5:19" x14ac:dyDescent="0.35">
      <c r="E822" s="30" t="s">
        <v>42</v>
      </c>
      <c r="F822" s="46"/>
      <c r="G822" s="46"/>
      <c r="H822" s="46"/>
      <c r="I822" s="46"/>
      <c r="J822" s="46"/>
      <c r="K822" s="46"/>
      <c r="L822" s="41" t="str">
        <f t="shared" ca="1" si="49"/>
        <v/>
      </c>
      <c r="M822" s="47" t="str">
        <f t="shared" ca="1" si="50"/>
        <v/>
      </c>
      <c r="R822" s="48" t="str">
        <f t="shared" si="51"/>
        <v/>
      </c>
      <c r="S822" s="48" t="str">
        <f t="shared" si="52"/>
        <v/>
      </c>
    </row>
    <row r="823" spans="5:19" x14ac:dyDescent="0.35">
      <c r="E823" s="30" t="s">
        <v>42</v>
      </c>
      <c r="F823" s="46"/>
      <c r="G823" s="46"/>
      <c r="H823" s="46"/>
      <c r="I823" s="46"/>
      <c r="J823" s="46"/>
      <c r="K823" s="46"/>
      <c r="L823" s="41" t="str">
        <f t="shared" ca="1" si="49"/>
        <v/>
      </c>
      <c r="M823" s="47" t="str">
        <f t="shared" ca="1" si="50"/>
        <v/>
      </c>
      <c r="R823" s="48" t="str">
        <f t="shared" si="51"/>
        <v/>
      </c>
      <c r="S823" s="48" t="str">
        <f t="shared" si="52"/>
        <v/>
      </c>
    </row>
    <row r="824" spans="5:19" x14ac:dyDescent="0.35">
      <c r="E824" s="30" t="s">
        <v>42</v>
      </c>
      <c r="F824" s="46"/>
      <c r="G824" s="46"/>
      <c r="H824" s="46"/>
      <c r="I824" s="46"/>
      <c r="J824" s="46"/>
      <c r="K824" s="46"/>
      <c r="L824" s="41" t="str">
        <f t="shared" ca="1" si="49"/>
        <v/>
      </c>
      <c r="M824" s="47" t="str">
        <f t="shared" ca="1" si="50"/>
        <v/>
      </c>
      <c r="R824" s="48" t="str">
        <f t="shared" si="51"/>
        <v/>
      </c>
      <c r="S824" s="48" t="str">
        <f t="shared" si="52"/>
        <v/>
      </c>
    </row>
    <row r="825" spans="5:19" x14ac:dyDescent="0.35">
      <c r="E825" s="30" t="s">
        <v>42</v>
      </c>
      <c r="F825" s="46"/>
      <c r="G825" s="46"/>
      <c r="H825" s="46"/>
      <c r="I825" s="46"/>
      <c r="J825" s="46"/>
      <c r="K825" s="46"/>
      <c r="L825" s="41" t="str">
        <f t="shared" ca="1" si="49"/>
        <v/>
      </c>
      <c r="M825" s="47" t="str">
        <f t="shared" ca="1" si="50"/>
        <v/>
      </c>
      <c r="R825" s="48" t="str">
        <f t="shared" si="51"/>
        <v/>
      </c>
      <c r="S825" s="48" t="str">
        <f t="shared" si="52"/>
        <v/>
      </c>
    </row>
    <row r="826" spans="5:19" x14ac:dyDescent="0.35">
      <c r="E826" s="30" t="s">
        <v>42</v>
      </c>
      <c r="F826" s="46"/>
      <c r="G826" s="46"/>
      <c r="H826" s="46"/>
      <c r="I826" s="46"/>
      <c r="J826" s="46"/>
      <c r="K826" s="46"/>
      <c r="L826" s="41" t="str">
        <f t="shared" ca="1" si="49"/>
        <v/>
      </c>
      <c r="M826" s="47" t="str">
        <f t="shared" ca="1" si="50"/>
        <v/>
      </c>
      <c r="R826" s="48" t="str">
        <f t="shared" si="51"/>
        <v/>
      </c>
      <c r="S826" s="48" t="str">
        <f t="shared" si="52"/>
        <v/>
      </c>
    </row>
    <row r="827" spans="5:19" x14ac:dyDescent="0.35">
      <c r="E827" s="30" t="s">
        <v>42</v>
      </c>
      <c r="F827" s="46"/>
      <c r="G827" s="46"/>
      <c r="H827" s="46"/>
      <c r="I827" s="46"/>
      <c r="J827" s="46"/>
      <c r="K827" s="46"/>
      <c r="L827" s="41" t="str">
        <f t="shared" ca="1" si="49"/>
        <v/>
      </c>
      <c r="M827" s="47" t="str">
        <f t="shared" ca="1" si="50"/>
        <v/>
      </c>
      <c r="R827" s="48" t="str">
        <f t="shared" si="51"/>
        <v/>
      </c>
      <c r="S827" s="48" t="str">
        <f t="shared" si="52"/>
        <v/>
      </c>
    </row>
    <row r="828" spans="5:19" x14ac:dyDescent="0.35">
      <c r="E828" s="30" t="s">
        <v>42</v>
      </c>
      <c r="F828" s="46"/>
      <c r="G828" s="46"/>
      <c r="H828" s="46"/>
      <c r="I828" s="46"/>
      <c r="J828" s="46"/>
      <c r="K828" s="46"/>
      <c r="L828" s="41" t="str">
        <f t="shared" ca="1" si="49"/>
        <v/>
      </c>
      <c r="M828" s="47" t="str">
        <f t="shared" ca="1" si="50"/>
        <v/>
      </c>
      <c r="R828" s="48" t="str">
        <f t="shared" si="51"/>
        <v/>
      </c>
      <c r="S828" s="48" t="str">
        <f t="shared" si="52"/>
        <v/>
      </c>
    </row>
    <row r="829" spans="5:19" x14ac:dyDescent="0.35">
      <c r="E829" s="30" t="s">
        <v>42</v>
      </c>
      <c r="F829" s="46"/>
      <c r="G829" s="46"/>
      <c r="H829" s="46"/>
      <c r="I829" s="46"/>
      <c r="J829" s="46"/>
      <c r="K829" s="46"/>
      <c r="L829" s="41" t="str">
        <f t="shared" ca="1" si="49"/>
        <v/>
      </c>
      <c r="M829" s="47" t="str">
        <f t="shared" ca="1" si="50"/>
        <v/>
      </c>
      <c r="R829" s="48" t="str">
        <f t="shared" si="51"/>
        <v/>
      </c>
      <c r="S829" s="48" t="str">
        <f t="shared" si="52"/>
        <v/>
      </c>
    </row>
    <row r="830" spans="5:19" x14ac:dyDescent="0.35">
      <c r="E830" s="30" t="s">
        <v>42</v>
      </c>
      <c r="F830" s="46"/>
      <c r="G830" s="46"/>
      <c r="H830" s="46"/>
      <c r="I830" s="46"/>
      <c r="J830" s="46"/>
      <c r="K830" s="46"/>
      <c r="L830" s="41" t="str">
        <f t="shared" ca="1" si="49"/>
        <v/>
      </c>
      <c r="M830" s="47" t="str">
        <f t="shared" ca="1" si="50"/>
        <v/>
      </c>
      <c r="R830" s="48" t="str">
        <f t="shared" si="51"/>
        <v/>
      </c>
      <c r="S830" s="48" t="str">
        <f t="shared" si="52"/>
        <v/>
      </c>
    </row>
    <row r="831" spans="5:19" x14ac:dyDescent="0.35">
      <c r="E831" s="30" t="s">
        <v>42</v>
      </c>
      <c r="F831" s="46"/>
      <c r="G831" s="46"/>
      <c r="H831" s="46"/>
      <c r="I831" s="46"/>
      <c r="J831" s="46"/>
      <c r="K831" s="46"/>
      <c r="L831" s="41" t="str">
        <f t="shared" ca="1" si="49"/>
        <v/>
      </c>
      <c r="M831" s="47" t="str">
        <f t="shared" ca="1" si="50"/>
        <v/>
      </c>
      <c r="R831" s="48" t="str">
        <f t="shared" si="51"/>
        <v/>
      </c>
      <c r="S831" s="48" t="str">
        <f t="shared" si="52"/>
        <v/>
      </c>
    </row>
    <row r="832" spans="5:19" x14ac:dyDescent="0.35">
      <c r="E832" s="30" t="s">
        <v>42</v>
      </c>
      <c r="F832" s="46"/>
      <c r="G832" s="46"/>
      <c r="H832" s="46"/>
      <c r="I832" s="46"/>
      <c r="J832" s="46"/>
      <c r="K832" s="46"/>
      <c r="L832" s="41" t="str">
        <f t="shared" ca="1" si="49"/>
        <v/>
      </c>
      <c r="M832" s="47" t="str">
        <f t="shared" ca="1" si="50"/>
        <v/>
      </c>
      <c r="R832" s="48" t="str">
        <f t="shared" si="51"/>
        <v/>
      </c>
      <c r="S832" s="48" t="str">
        <f t="shared" si="52"/>
        <v/>
      </c>
    </row>
    <row r="833" spans="5:19" x14ac:dyDescent="0.35">
      <c r="E833" s="30" t="s">
        <v>42</v>
      </c>
      <c r="F833" s="46"/>
      <c r="G833" s="46"/>
      <c r="H833" s="46"/>
      <c r="I833" s="46"/>
      <c r="J833" s="46"/>
      <c r="K833" s="46"/>
      <c r="L833" s="41" t="str">
        <f t="shared" ca="1" si="49"/>
        <v/>
      </c>
      <c r="M833" s="47" t="str">
        <f t="shared" ca="1" si="50"/>
        <v/>
      </c>
      <c r="R833" s="48" t="str">
        <f t="shared" si="51"/>
        <v/>
      </c>
      <c r="S833" s="48" t="str">
        <f t="shared" si="52"/>
        <v/>
      </c>
    </row>
    <row r="834" spans="5:19" x14ac:dyDescent="0.35">
      <c r="E834" s="30" t="s">
        <v>42</v>
      </c>
      <c r="F834" s="46"/>
      <c r="G834" s="46"/>
      <c r="H834" s="46"/>
      <c r="I834" s="46"/>
      <c r="J834" s="46"/>
      <c r="K834" s="46"/>
      <c r="L834" s="41" t="str">
        <f t="shared" ca="1" si="49"/>
        <v/>
      </c>
      <c r="M834" s="47" t="str">
        <f t="shared" ca="1" si="50"/>
        <v/>
      </c>
      <c r="R834" s="48" t="str">
        <f t="shared" si="51"/>
        <v/>
      </c>
      <c r="S834" s="48" t="str">
        <f t="shared" si="52"/>
        <v/>
      </c>
    </row>
    <row r="835" spans="5:19" x14ac:dyDescent="0.35">
      <c r="E835" s="30" t="s">
        <v>42</v>
      </c>
      <c r="F835" s="46"/>
      <c r="G835" s="46"/>
      <c r="H835" s="46"/>
      <c r="I835" s="46"/>
      <c r="J835" s="46"/>
      <c r="K835" s="46"/>
      <c r="L835" s="41" t="str">
        <f t="shared" ca="1" si="49"/>
        <v/>
      </c>
      <c r="M835" s="47" t="str">
        <f t="shared" ca="1" si="50"/>
        <v/>
      </c>
      <c r="R835" s="48" t="str">
        <f t="shared" si="51"/>
        <v/>
      </c>
      <c r="S835" s="48" t="str">
        <f t="shared" si="52"/>
        <v/>
      </c>
    </row>
    <row r="836" spans="5:19" x14ac:dyDescent="0.35">
      <c r="E836" s="30" t="s">
        <v>42</v>
      </c>
      <c r="F836" s="46"/>
      <c r="G836" s="46"/>
      <c r="H836" s="46"/>
      <c r="I836" s="46"/>
      <c r="J836" s="46"/>
      <c r="K836" s="46"/>
      <c r="L836" s="41" t="str">
        <f t="shared" ca="1" si="49"/>
        <v/>
      </c>
      <c r="M836" s="47" t="str">
        <f t="shared" ca="1" si="50"/>
        <v/>
      </c>
      <c r="R836" s="48" t="str">
        <f t="shared" si="51"/>
        <v/>
      </c>
      <c r="S836" s="48" t="str">
        <f t="shared" si="52"/>
        <v/>
      </c>
    </row>
    <row r="837" spans="5:19" x14ac:dyDescent="0.35">
      <c r="E837" s="30" t="s">
        <v>42</v>
      </c>
      <c r="F837" s="46"/>
      <c r="G837" s="46"/>
      <c r="H837" s="46"/>
      <c r="I837" s="46"/>
      <c r="J837" s="46"/>
      <c r="K837" s="46"/>
      <c r="L837" s="41" t="str">
        <f t="shared" ca="1" si="49"/>
        <v/>
      </c>
      <c r="M837" s="47" t="str">
        <f t="shared" ca="1" si="50"/>
        <v/>
      </c>
      <c r="R837" s="48" t="str">
        <f t="shared" si="51"/>
        <v/>
      </c>
      <c r="S837" s="48" t="str">
        <f t="shared" si="52"/>
        <v/>
      </c>
    </row>
    <row r="838" spans="5:19" x14ac:dyDescent="0.35">
      <c r="E838" s="30" t="s">
        <v>42</v>
      </c>
      <c r="F838" s="46"/>
      <c r="G838" s="46"/>
      <c r="H838" s="46"/>
      <c r="I838" s="46"/>
      <c r="J838" s="46"/>
      <c r="K838" s="46"/>
      <c r="L838" s="41" t="str">
        <f t="shared" ref="L838:L901" ca="1" si="53">IF(AND(C838&lt;&gt;"",C838&lt;&gt;R838),TODAY(),IF(C838="","",L838))</f>
        <v/>
      </c>
      <c r="M838" s="47" t="str">
        <f t="shared" ref="M838:M901" ca="1" si="54">IF(AND(C838&lt;&gt;"",C838&lt;&gt;S838),NOW(),IF(C838="","",M838))</f>
        <v/>
      </c>
      <c r="R838" s="48" t="str">
        <f t="shared" ref="R838:R901" si="55">IF(C838="","",IF(OR(L838="",AND(ISNUMBER(R838),C838=R838)),R838,C838))</f>
        <v/>
      </c>
      <c r="S838" s="48" t="str">
        <f t="shared" ref="S838:S901" si="56">IF(C838="","",IF(OR(M838="",AND(ISNUMBER(S838),C838=S838)),S838,C838))</f>
        <v/>
      </c>
    </row>
    <row r="839" spans="5:19" x14ac:dyDescent="0.35">
      <c r="E839" s="30" t="s">
        <v>42</v>
      </c>
      <c r="F839" s="46"/>
      <c r="G839" s="46"/>
      <c r="H839" s="46"/>
      <c r="I839" s="46"/>
      <c r="J839" s="46"/>
      <c r="K839" s="46"/>
      <c r="L839" s="41" t="str">
        <f t="shared" ca="1" si="53"/>
        <v/>
      </c>
      <c r="M839" s="47" t="str">
        <f t="shared" ca="1" si="54"/>
        <v/>
      </c>
      <c r="R839" s="48" t="str">
        <f t="shared" si="55"/>
        <v/>
      </c>
      <c r="S839" s="48" t="str">
        <f t="shared" si="56"/>
        <v/>
      </c>
    </row>
    <row r="840" spans="5:19" x14ac:dyDescent="0.35">
      <c r="E840" s="30" t="s">
        <v>42</v>
      </c>
      <c r="F840" s="46"/>
      <c r="G840" s="46"/>
      <c r="H840" s="46"/>
      <c r="I840" s="46"/>
      <c r="J840" s="46"/>
      <c r="K840" s="46"/>
      <c r="L840" s="41" t="str">
        <f t="shared" ca="1" si="53"/>
        <v/>
      </c>
      <c r="M840" s="47" t="str">
        <f t="shared" ca="1" si="54"/>
        <v/>
      </c>
      <c r="R840" s="48" t="str">
        <f t="shared" si="55"/>
        <v/>
      </c>
      <c r="S840" s="48" t="str">
        <f t="shared" si="56"/>
        <v/>
      </c>
    </row>
    <row r="841" spans="5:19" x14ac:dyDescent="0.35">
      <c r="E841" s="30" t="s">
        <v>42</v>
      </c>
      <c r="F841" s="46"/>
      <c r="G841" s="46"/>
      <c r="H841" s="46"/>
      <c r="I841" s="46"/>
      <c r="J841" s="46"/>
      <c r="K841" s="46"/>
      <c r="L841" s="41" t="str">
        <f t="shared" ca="1" si="53"/>
        <v/>
      </c>
      <c r="M841" s="47" t="str">
        <f t="shared" ca="1" si="54"/>
        <v/>
      </c>
      <c r="R841" s="48" t="str">
        <f t="shared" si="55"/>
        <v/>
      </c>
      <c r="S841" s="48" t="str">
        <f t="shared" si="56"/>
        <v/>
      </c>
    </row>
    <row r="842" spans="5:19" x14ac:dyDescent="0.35">
      <c r="E842" s="30" t="s">
        <v>42</v>
      </c>
      <c r="F842" s="46"/>
      <c r="G842" s="46"/>
      <c r="H842" s="46"/>
      <c r="I842" s="46"/>
      <c r="J842" s="46"/>
      <c r="K842" s="46"/>
      <c r="L842" s="41" t="str">
        <f t="shared" ca="1" si="53"/>
        <v/>
      </c>
      <c r="M842" s="47" t="str">
        <f t="shared" ca="1" si="54"/>
        <v/>
      </c>
      <c r="R842" s="48" t="str">
        <f t="shared" si="55"/>
        <v/>
      </c>
      <c r="S842" s="48" t="str">
        <f t="shared" si="56"/>
        <v/>
      </c>
    </row>
    <row r="843" spans="5:19" x14ac:dyDescent="0.35">
      <c r="E843" s="30" t="s">
        <v>42</v>
      </c>
      <c r="F843" s="46"/>
      <c r="G843" s="46"/>
      <c r="H843" s="46"/>
      <c r="I843" s="46"/>
      <c r="J843" s="46"/>
      <c r="K843" s="46"/>
      <c r="L843" s="41" t="str">
        <f t="shared" ca="1" si="53"/>
        <v/>
      </c>
      <c r="M843" s="47" t="str">
        <f t="shared" ca="1" si="54"/>
        <v/>
      </c>
      <c r="R843" s="48" t="str">
        <f t="shared" si="55"/>
        <v/>
      </c>
      <c r="S843" s="48" t="str">
        <f t="shared" si="56"/>
        <v/>
      </c>
    </row>
    <row r="844" spans="5:19" x14ac:dyDescent="0.35">
      <c r="E844" s="30" t="s">
        <v>42</v>
      </c>
      <c r="F844" s="46"/>
      <c r="G844" s="46"/>
      <c r="H844" s="46"/>
      <c r="I844" s="46"/>
      <c r="J844" s="46"/>
      <c r="K844" s="46"/>
      <c r="L844" s="41" t="str">
        <f t="shared" ca="1" si="53"/>
        <v/>
      </c>
      <c r="M844" s="47" t="str">
        <f t="shared" ca="1" si="54"/>
        <v/>
      </c>
      <c r="R844" s="48" t="str">
        <f t="shared" si="55"/>
        <v/>
      </c>
      <c r="S844" s="48" t="str">
        <f t="shared" si="56"/>
        <v/>
      </c>
    </row>
    <row r="845" spans="5:19" x14ac:dyDescent="0.35">
      <c r="E845" s="30" t="s">
        <v>42</v>
      </c>
      <c r="F845" s="46"/>
      <c r="G845" s="46"/>
      <c r="H845" s="46"/>
      <c r="I845" s="46"/>
      <c r="J845" s="46"/>
      <c r="K845" s="46"/>
      <c r="L845" s="41" t="str">
        <f t="shared" ca="1" si="53"/>
        <v/>
      </c>
      <c r="M845" s="47" t="str">
        <f t="shared" ca="1" si="54"/>
        <v/>
      </c>
      <c r="R845" s="48" t="str">
        <f t="shared" si="55"/>
        <v/>
      </c>
      <c r="S845" s="48" t="str">
        <f t="shared" si="56"/>
        <v/>
      </c>
    </row>
    <row r="846" spans="5:19" x14ac:dyDescent="0.35">
      <c r="E846" s="30" t="s">
        <v>42</v>
      </c>
      <c r="F846" s="46"/>
      <c r="G846" s="46"/>
      <c r="H846" s="46"/>
      <c r="I846" s="46"/>
      <c r="J846" s="46"/>
      <c r="K846" s="46"/>
      <c r="L846" s="41" t="str">
        <f t="shared" ca="1" si="53"/>
        <v/>
      </c>
      <c r="M846" s="47" t="str">
        <f t="shared" ca="1" si="54"/>
        <v/>
      </c>
      <c r="R846" s="48" t="str">
        <f t="shared" si="55"/>
        <v/>
      </c>
      <c r="S846" s="48" t="str">
        <f t="shared" si="56"/>
        <v/>
      </c>
    </row>
    <row r="847" spans="5:19" x14ac:dyDescent="0.35">
      <c r="E847" s="30" t="s">
        <v>42</v>
      </c>
      <c r="F847" s="46"/>
      <c r="G847" s="46"/>
      <c r="H847" s="46"/>
      <c r="I847" s="46"/>
      <c r="J847" s="46"/>
      <c r="K847" s="46"/>
      <c r="L847" s="41" t="str">
        <f t="shared" ca="1" si="53"/>
        <v/>
      </c>
      <c r="M847" s="47" t="str">
        <f t="shared" ca="1" si="54"/>
        <v/>
      </c>
      <c r="R847" s="48" t="str">
        <f t="shared" si="55"/>
        <v/>
      </c>
      <c r="S847" s="48" t="str">
        <f t="shared" si="56"/>
        <v/>
      </c>
    </row>
    <row r="848" spans="5:19" x14ac:dyDescent="0.35">
      <c r="E848" s="30" t="s">
        <v>42</v>
      </c>
      <c r="F848" s="46"/>
      <c r="G848" s="46"/>
      <c r="H848" s="46"/>
      <c r="I848" s="46"/>
      <c r="J848" s="46"/>
      <c r="K848" s="46"/>
      <c r="L848" s="41" t="str">
        <f t="shared" ca="1" si="53"/>
        <v/>
      </c>
      <c r="M848" s="47" t="str">
        <f t="shared" ca="1" si="54"/>
        <v/>
      </c>
      <c r="R848" s="48" t="str">
        <f t="shared" si="55"/>
        <v/>
      </c>
      <c r="S848" s="48" t="str">
        <f t="shared" si="56"/>
        <v/>
      </c>
    </row>
    <row r="849" spans="5:19" x14ac:dyDescent="0.35">
      <c r="E849" s="30" t="s">
        <v>42</v>
      </c>
      <c r="F849" s="46"/>
      <c r="G849" s="46"/>
      <c r="H849" s="46"/>
      <c r="I849" s="46"/>
      <c r="J849" s="46"/>
      <c r="K849" s="46"/>
      <c r="L849" s="41" t="str">
        <f t="shared" ca="1" si="53"/>
        <v/>
      </c>
      <c r="M849" s="47" t="str">
        <f t="shared" ca="1" si="54"/>
        <v/>
      </c>
      <c r="R849" s="48" t="str">
        <f t="shared" si="55"/>
        <v/>
      </c>
      <c r="S849" s="48" t="str">
        <f t="shared" si="56"/>
        <v/>
      </c>
    </row>
    <row r="850" spans="5:19" x14ac:dyDescent="0.35">
      <c r="E850" s="30" t="s">
        <v>42</v>
      </c>
      <c r="F850" s="46"/>
      <c r="G850" s="46"/>
      <c r="H850" s="46"/>
      <c r="I850" s="46"/>
      <c r="J850" s="46"/>
      <c r="K850" s="46"/>
      <c r="L850" s="41" t="str">
        <f t="shared" ca="1" si="53"/>
        <v/>
      </c>
      <c r="M850" s="47" t="str">
        <f t="shared" ca="1" si="54"/>
        <v/>
      </c>
      <c r="R850" s="48" t="str">
        <f t="shared" si="55"/>
        <v/>
      </c>
      <c r="S850" s="48" t="str">
        <f t="shared" si="56"/>
        <v/>
      </c>
    </row>
    <row r="851" spans="5:19" x14ac:dyDescent="0.35">
      <c r="E851" s="30" t="s">
        <v>42</v>
      </c>
      <c r="F851" s="46"/>
      <c r="G851" s="46"/>
      <c r="H851" s="46"/>
      <c r="I851" s="46"/>
      <c r="J851" s="46"/>
      <c r="K851" s="46"/>
      <c r="L851" s="41" t="str">
        <f t="shared" ca="1" si="53"/>
        <v/>
      </c>
      <c r="M851" s="47" t="str">
        <f t="shared" ca="1" si="54"/>
        <v/>
      </c>
      <c r="R851" s="48" t="str">
        <f t="shared" si="55"/>
        <v/>
      </c>
      <c r="S851" s="48" t="str">
        <f t="shared" si="56"/>
        <v/>
      </c>
    </row>
    <row r="852" spans="5:19" x14ac:dyDescent="0.35">
      <c r="E852" s="30" t="s">
        <v>42</v>
      </c>
      <c r="F852" s="46"/>
      <c r="G852" s="46"/>
      <c r="H852" s="46"/>
      <c r="I852" s="46"/>
      <c r="J852" s="46"/>
      <c r="K852" s="46"/>
      <c r="L852" s="41" t="str">
        <f t="shared" ca="1" si="53"/>
        <v/>
      </c>
      <c r="M852" s="47" t="str">
        <f t="shared" ca="1" si="54"/>
        <v/>
      </c>
      <c r="R852" s="48" t="str">
        <f t="shared" si="55"/>
        <v/>
      </c>
      <c r="S852" s="48" t="str">
        <f t="shared" si="56"/>
        <v/>
      </c>
    </row>
    <row r="853" spans="5:19" x14ac:dyDescent="0.35">
      <c r="E853" s="30" t="s">
        <v>42</v>
      </c>
      <c r="F853" s="46"/>
      <c r="G853" s="46"/>
      <c r="H853" s="46"/>
      <c r="I853" s="46"/>
      <c r="J853" s="46"/>
      <c r="K853" s="46"/>
      <c r="L853" s="41" t="str">
        <f t="shared" ca="1" si="53"/>
        <v/>
      </c>
      <c r="M853" s="47" t="str">
        <f t="shared" ca="1" si="54"/>
        <v/>
      </c>
      <c r="R853" s="48" t="str">
        <f t="shared" si="55"/>
        <v/>
      </c>
      <c r="S853" s="48" t="str">
        <f t="shared" si="56"/>
        <v/>
      </c>
    </row>
    <row r="854" spans="5:19" x14ac:dyDescent="0.35">
      <c r="E854" s="30" t="s">
        <v>42</v>
      </c>
      <c r="F854" s="46"/>
      <c r="G854" s="46"/>
      <c r="H854" s="46"/>
      <c r="I854" s="46"/>
      <c r="J854" s="46"/>
      <c r="K854" s="46"/>
      <c r="L854" s="41" t="str">
        <f t="shared" ca="1" si="53"/>
        <v/>
      </c>
      <c r="M854" s="47" t="str">
        <f t="shared" ca="1" si="54"/>
        <v/>
      </c>
      <c r="R854" s="48" t="str">
        <f t="shared" si="55"/>
        <v/>
      </c>
      <c r="S854" s="48" t="str">
        <f t="shared" si="56"/>
        <v/>
      </c>
    </row>
    <row r="855" spans="5:19" x14ac:dyDescent="0.35">
      <c r="E855" s="30" t="s">
        <v>42</v>
      </c>
      <c r="F855" s="46"/>
      <c r="G855" s="46"/>
      <c r="H855" s="46"/>
      <c r="I855" s="46"/>
      <c r="J855" s="46"/>
      <c r="K855" s="46"/>
      <c r="L855" s="41" t="str">
        <f t="shared" ca="1" si="53"/>
        <v/>
      </c>
      <c r="M855" s="47" t="str">
        <f t="shared" ca="1" si="54"/>
        <v/>
      </c>
      <c r="R855" s="48" t="str">
        <f t="shared" si="55"/>
        <v/>
      </c>
      <c r="S855" s="48" t="str">
        <f t="shared" si="56"/>
        <v/>
      </c>
    </row>
    <row r="856" spans="5:19" x14ac:dyDescent="0.35">
      <c r="E856" s="30" t="s">
        <v>42</v>
      </c>
      <c r="F856" s="46"/>
      <c r="G856" s="46"/>
      <c r="H856" s="46"/>
      <c r="I856" s="46"/>
      <c r="J856" s="46"/>
      <c r="K856" s="46"/>
      <c r="L856" s="41" t="str">
        <f t="shared" ca="1" si="53"/>
        <v/>
      </c>
      <c r="M856" s="47" t="str">
        <f t="shared" ca="1" si="54"/>
        <v/>
      </c>
      <c r="R856" s="48" t="str">
        <f t="shared" si="55"/>
        <v/>
      </c>
      <c r="S856" s="48" t="str">
        <f t="shared" si="56"/>
        <v/>
      </c>
    </row>
    <row r="857" spans="5:19" x14ac:dyDescent="0.35">
      <c r="E857" s="30" t="s">
        <v>42</v>
      </c>
      <c r="F857" s="46"/>
      <c r="G857" s="46"/>
      <c r="H857" s="46"/>
      <c r="I857" s="46"/>
      <c r="J857" s="46"/>
      <c r="K857" s="46"/>
      <c r="L857" s="41" t="str">
        <f t="shared" ca="1" si="53"/>
        <v/>
      </c>
      <c r="M857" s="47" t="str">
        <f t="shared" ca="1" si="54"/>
        <v/>
      </c>
      <c r="R857" s="48" t="str">
        <f t="shared" si="55"/>
        <v/>
      </c>
      <c r="S857" s="48" t="str">
        <f t="shared" si="56"/>
        <v/>
      </c>
    </row>
    <row r="858" spans="5:19" x14ac:dyDescent="0.35">
      <c r="E858" s="30" t="s">
        <v>42</v>
      </c>
      <c r="F858" s="46"/>
      <c r="G858" s="46"/>
      <c r="H858" s="46"/>
      <c r="I858" s="46"/>
      <c r="J858" s="46"/>
      <c r="K858" s="46"/>
      <c r="L858" s="41" t="str">
        <f t="shared" ca="1" si="53"/>
        <v/>
      </c>
      <c r="M858" s="47" t="str">
        <f t="shared" ca="1" si="54"/>
        <v/>
      </c>
      <c r="R858" s="48" t="str">
        <f t="shared" si="55"/>
        <v/>
      </c>
      <c r="S858" s="48" t="str">
        <f t="shared" si="56"/>
        <v/>
      </c>
    </row>
    <row r="859" spans="5:19" x14ac:dyDescent="0.35">
      <c r="E859" s="30" t="s">
        <v>42</v>
      </c>
      <c r="F859" s="46"/>
      <c r="G859" s="46"/>
      <c r="H859" s="46"/>
      <c r="I859" s="46"/>
      <c r="J859" s="46"/>
      <c r="K859" s="46"/>
      <c r="L859" s="41" t="str">
        <f t="shared" ca="1" si="53"/>
        <v/>
      </c>
      <c r="M859" s="47" t="str">
        <f t="shared" ca="1" si="54"/>
        <v/>
      </c>
      <c r="R859" s="48" t="str">
        <f t="shared" si="55"/>
        <v/>
      </c>
      <c r="S859" s="48" t="str">
        <f t="shared" si="56"/>
        <v/>
      </c>
    </row>
    <row r="860" spans="5:19" x14ac:dyDescent="0.35">
      <c r="E860" s="30" t="s">
        <v>42</v>
      </c>
      <c r="F860" s="46"/>
      <c r="G860" s="46"/>
      <c r="H860" s="46"/>
      <c r="I860" s="46"/>
      <c r="J860" s="46"/>
      <c r="K860" s="46"/>
      <c r="L860" s="41" t="str">
        <f t="shared" ca="1" si="53"/>
        <v/>
      </c>
      <c r="M860" s="47" t="str">
        <f t="shared" ca="1" si="54"/>
        <v/>
      </c>
      <c r="R860" s="48" t="str">
        <f t="shared" si="55"/>
        <v/>
      </c>
      <c r="S860" s="48" t="str">
        <f t="shared" si="56"/>
        <v/>
      </c>
    </row>
    <row r="861" spans="5:19" x14ac:dyDescent="0.35">
      <c r="E861" s="30" t="s">
        <v>42</v>
      </c>
      <c r="F861" s="46"/>
      <c r="G861" s="46"/>
      <c r="H861" s="46"/>
      <c r="I861" s="46"/>
      <c r="J861" s="46"/>
      <c r="K861" s="46"/>
      <c r="L861" s="41" t="str">
        <f t="shared" ca="1" si="53"/>
        <v/>
      </c>
      <c r="M861" s="47" t="str">
        <f t="shared" ca="1" si="54"/>
        <v/>
      </c>
      <c r="R861" s="48" t="str">
        <f t="shared" si="55"/>
        <v/>
      </c>
      <c r="S861" s="48" t="str">
        <f t="shared" si="56"/>
        <v/>
      </c>
    </row>
    <row r="862" spans="5:19" x14ac:dyDescent="0.35">
      <c r="E862" s="30" t="s">
        <v>42</v>
      </c>
      <c r="F862" s="46"/>
      <c r="G862" s="46"/>
      <c r="H862" s="46"/>
      <c r="I862" s="46"/>
      <c r="J862" s="46"/>
      <c r="K862" s="46"/>
      <c r="L862" s="41" t="str">
        <f t="shared" ca="1" si="53"/>
        <v/>
      </c>
      <c r="M862" s="47" t="str">
        <f t="shared" ca="1" si="54"/>
        <v/>
      </c>
      <c r="R862" s="48" t="str">
        <f t="shared" si="55"/>
        <v/>
      </c>
      <c r="S862" s="48" t="str">
        <f t="shared" si="56"/>
        <v/>
      </c>
    </row>
    <row r="863" spans="5:19" x14ac:dyDescent="0.35">
      <c r="E863" s="30" t="s">
        <v>42</v>
      </c>
      <c r="F863" s="46"/>
      <c r="G863" s="46"/>
      <c r="H863" s="46"/>
      <c r="I863" s="46"/>
      <c r="J863" s="46"/>
      <c r="K863" s="46"/>
      <c r="L863" s="41" t="str">
        <f t="shared" ca="1" si="53"/>
        <v/>
      </c>
      <c r="M863" s="47" t="str">
        <f t="shared" ca="1" si="54"/>
        <v/>
      </c>
      <c r="R863" s="48" t="str">
        <f t="shared" si="55"/>
        <v/>
      </c>
      <c r="S863" s="48" t="str">
        <f t="shared" si="56"/>
        <v/>
      </c>
    </row>
    <row r="864" spans="5:19" x14ac:dyDescent="0.35">
      <c r="E864" s="30" t="s">
        <v>42</v>
      </c>
      <c r="F864" s="46"/>
      <c r="G864" s="46"/>
      <c r="H864" s="46"/>
      <c r="I864" s="46"/>
      <c r="J864" s="46"/>
      <c r="K864" s="46"/>
      <c r="L864" s="41" t="str">
        <f t="shared" ca="1" si="53"/>
        <v/>
      </c>
      <c r="M864" s="47" t="str">
        <f t="shared" ca="1" si="54"/>
        <v/>
      </c>
      <c r="R864" s="48" t="str">
        <f t="shared" si="55"/>
        <v/>
      </c>
      <c r="S864" s="48" t="str">
        <f t="shared" si="56"/>
        <v/>
      </c>
    </row>
    <row r="865" spans="5:19" x14ac:dyDescent="0.35">
      <c r="E865" s="30" t="s">
        <v>42</v>
      </c>
      <c r="F865" s="46"/>
      <c r="G865" s="46"/>
      <c r="H865" s="46"/>
      <c r="I865" s="46"/>
      <c r="J865" s="46"/>
      <c r="K865" s="46"/>
      <c r="L865" s="41" t="str">
        <f t="shared" ca="1" si="53"/>
        <v/>
      </c>
      <c r="M865" s="47" t="str">
        <f t="shared" ca="1" si="54"/>
        <v/>
      </c>
      <c r="R865" s="48" t="str">
        <f t="shared" si="55"/>
        <v/>
      </c>
      <c r="S865" s="48" t="str">
        <f t="shared" si="56"/>
        <v/>
      </c>
    </row>
    <row r="866" spans="5:19" x14ac:dyDescent="0.35">
      <c r="E866" s="30" t="s">
        <v>42</v>
      </c>
      <c r="F866" s="46"/>
      <c r="G866" s="46"/>
      <c r="H866" s="46"/>
      <c r="I866" s="46"/>
      <c r="J866" s="46"/>
      <c r="K866" s="46"/>
      <c r="L866" s="41" t="str">
        <f t="shared" ca="1" si="53"/>
        <v/>
      </c>
      <c r="M866" s="47" t="str">
        <f t="shared" ca="1" si="54"/>
        <v/>
      </c>
      <c r="R866" s="48" t="str">
        <f t="shared" si="55"/>
        <v/>
      </c>
      <c r="S866" s="48" t="str">
        <f t="shared" si="56"/>
        <v/>
      </c>
    </row>
    <row r="867" spans="5:19" x14ac:dyDescent="0.35">
      <c r="E867" s="30" t="s">
        <v>42</v>
      </c>
      <c r="F867" s="46"/>
      <c r="G867" s="46"/>
      <c r="H867" s="46"/>
      <c r="I867" s="46"/>
      <c r="J867" s="46"/>
      <c r="K867" s="46"/>
      <c r="L867" s="41" t="str">
        <f t="shared" ca="1" si="53"/>
        <v/>
      </c>
      <c r="M867" s="47" t="str">
        <f t="shared" ca="1" si="54"/>
        <v/>
      </c>
      <c r="R867" s="48" t="str">
        <f t="shared" si="55"/>
        <v/>
      </c>
      <c r="S867" s="48" t="str">
        <f t="shared" si="56"/>
        <v/>
      </c>
    </row>
    <row r="868" spans="5:19" x14ac:dyDescent="0.35">
      <c r="E868" s="30" t="s">
        <v>42</v>
      </c>
      <c r="F868" s="46"/>
      <c r="G868" s="46"/>
      <c r="H868" s="46"/>
      <c r="I868" s="46"/>
      <c r="J868" s="46"/>
      <c r="K868" s="46"/>
      <c r="L868" s="41" t="str">
        <f t="shared" ca="1" si="53"/>
        <v/>
      </c>
      <c r="M868" s="47" t="str">
        <f t="shared" ca="1" si="54"/>
        <v/>
      </c>
      <c r="R868" s="48" t="str">
        <f t="shared" si="55"/>
        <v/>
      </c>
      <c r="S868" s="48" t="str">
        <f t="shared" si="56"/>
        <v/>
      </c>
    </row>
    <row r="869" spans="5:19" x14ac:dyDescent="0.35">
      <c r="E869" s="30" t="s">
        <v>42</v>
      </c>
      <c r="F869" s="46"/>
      <c r="G869" s="46"/>
      <c r="H869" s="46"/>
      <c r="I869" s="46"/>
      <c r="J869" s="46"/>
      <c r="K869" s="46"/>
      <c r="L869" s="41" t="str">
        <f t="shared" ca="1" si="53"/>
        <v/>
      </c>
      <c r="M869" s="47" t="str">
        <f t="shared" ca="1" si="54"/>
        <v/>
      </c>
      <c r="R869" s="48" t="str">
        <f t="shared" si="55"/>
        <v/>
      </c>
      <c r="S869" s="48" t="str">
        <f t="shared" si="56"/>
        <v/>
      </c>
    </row>
    <row r="870" spans="5:19" x14ac:dyDescent="0.35">
      <c r="E870" s="30" t="s">
        <v>42</v>
      </c>
      <c r="F870" s="46"/>
      <c r="G870" s="46"/>
      <c r="H870" s="46"/>
      <c r="I870" s="46"/>
      <c r="J870" s="46"/>
      <c r="K870" s="46"/>
      <c r="L870" s="41" t="str">
        <f t="shared" ca="1" si="53"/>
        <v/>
      </c>
      <c r="M870" s="47" t="str">
        <f t="shared" ca="1" si="54"/>
        <v/>
      </c>
      <c r="R870" s="48" t="str">
        <f t="shared" si="55"/>
        <v/>
      </c>
      <c r="S870" s="48" t="str">
        <f t="shared" si="56"/>
        <v/>
      </c>
    </row>
    <row r="871" spans="5:19" x14ac:dyDescent="0.35">
      <c r="E871" s="30" t="s">
        <v>42</v>
      </c>
      <c r="F871" s="46"/>
      <c r="G871" s="46"/>
      <c r="H871" s="46"/>
      <c r="I871" s="46"/>
      <c r="J871" s="46"/>
      <c r="K871" s="46"/>
      <c r="L871" s="41" t="str">
        <f t="shared" ca="1" si="53"/>
        <v/>
      </c>
      <c r="M871" s="47" t="str">
        <f t="shared" ca="1" si="54"/>
        <v/>
      </c>
      <c r="R871" s="48" t="str">
        <f t="shared" si="55"/>
        <v/>
      </c>
      <c r="S871" s="48" t="str">
        <f t="shared" si="56"/>
        <v/>
      </c>
    </row>
    <row r="872" spans="5:19" x14ac:dyDescent="0.35">
      <c r="E872" s="30" t="s">
        <v>42</v>
      </c>
      <c r="F872" s="46"/>
      <c r="G872" s="46"/>
      <c r="H872" s="46"/>
      <c r="I872" s="46"/>
      <c r="J872" s="46"/>
      <c r="K872" s="46"/>
      <c r="L872" s="41" t="str">
        <f t="shared" ca="1" si="53"/>
        <v/>
      </c>
      <c r="M872" s="47" t="str">
        <f t="shared" ca="1" si="54"/>
        <v/>
      </c>
      <c r="R872" s="48" t="str">
        <f t="shared" si="55"/>
        <v/>
      </c>
      <c r="S872" s="48" t="str">
        <f t="shared" si="56"/>
        <v/>
      </c>
    </row>
    <row r="873" spans="5:19" x14ac:dyDescent="0.35">
      <c r="E873" s="30" t="s">
        <v>42</v>
      </c>
      <c r="F873" s="46"/>
      <c r="G873" s="46"/>
      <c r="H873" s="46"/>
      <c r="I873" s="46"/>
      <c r="J873" s="46"/>
      <c r="K873" s="46"/>
      <c r="L873" s="41" t="str">
        <f t="shared" ca="1" si="53"/>
        <v/>
      </c>
      <c r="M873" s="47" t="str">
        <f t="shared" ca="1" si="54"/>
        <v/>
      </c>
      <c r="R873" s="48" t="str">
        <f t="shared" si="55"/>
        <v/>
      </c>
      <c r="S873" s="48" t="str">
        <f t="shared" si="56"/>
        <v/>
      </c>
    </row>
    <row r="874" spans="5:19" x14ac:dyDescent="0.35">
      <c r="E874" s="30" t="s">
        <v>42</v>
      </c>
      <c r="F874" s="46"/>
      <c r="G874" s="46"/>
      <c r="H874" s="46"/>
      <c r="I874" s="46"/>
      <c r="J874" s="46"/>
      <c r="K874" s="46"/>
      <c r="L874" s="41" t="str">
        <f t="shared" ca="1" si="53"/>
        <v/>
      </c>
      <c r="M874" s="47" t="str">
        <f t="shared" ca="1" si="54"/>
        <v/>
      </c>
      <c r="R874" s="48" t="str">
        <f t="shared" si="55"/>
        <v/>
      </c>
      <c r="S874" s="48" t="str">
        <f t="shared" si="56"/>
        <v/>
      </c>
    </row>
    <row r="875" spans="5:19" x14ac:dyDescent="0.35">
      <c r="E875" s="30" t="s">
        <v>42</v>
      </c>
      <c r="F875" s="46"/>
      <c r="G875" s="46"/>
      <c r="H875" s="46"/>
      <c r="I875" s="46"/>
      <c r="J875" s="46"/>
      <c r="K875" s="46"/>
      <c r="L875" s="41" t="str">
        <f t="shared" ca="1" si="53"/>
        <v/>
      </c>
      <c r="M875" s="47" t="str">
        <f t="shared" ca="1" si="54"/>
        <v/>
      </c>
      <c r="R875" s="48" t="str">
        <f t="shared" si="55"/>
        <v/>
      </c>
      <c r="S875" s="48" t="str">
        <f t="shared" si="56"/>
        <v/>
      </c>
    </row>
    <row r="876" spans="5:19" x14ac:dyDescent="0.35">
      <c r="E876" s="30" t="s">
        <v>42</v>
      </c>
      <c r="F876" s="46"/>
      <c r="G876" s="46"/>
      <c r="H876" s="46"/>
      <c r="I876" s="46"/>
      <c r="J876" s="46"/>
      <c r="K876" s="46"/>
      <c r="L876" s="41" t="str">
        <f t="shared" ca="1" si="53"/>
        <v/>
      </c>
      <c r="M876" s="47" t="str">
        <f t="shared" ca="1" si="54"/>
        <v/>
      </c>
      <c r="R876" s="48" t="str">
        <f t="shared" si="55"/>
        <v/>
      </c>
      <c r="S876" s="48" t="str">
        <f t="shared" si="56"/>
        <v/>
      </c>
    </row>
    <row r="877" spans="5:19" x14ac:dyDescent="0.35">
      <c r="E877" s="30" t="s">
        <v>42</v>
      </c>
      <c r="F877" s="46"/>
      <c r="G877" s="46"/>
      <c r="H877" s="46"/>
      <c r="I877" s="46"/>
      <c r="J877" s="46"/>
      <c r="K877" s="46"/>
      <c r="L877" s="41" t="str">
        <f t="shared" ca="1" si="53"/>
        <v/>
      </c>
      <c r="M877" s="47" t="str">
        <f t="shared" ca="1" si="54"/>
        <v/>
      </c>
      <c r="R877" s="48" t="str">
        <f t="shared" si="55"/>
        <v/>
      </c>
      <c r="S877" s="48" t="str">
        <f t="shared" si="56"/>
        <v/>
      </c>
    </row>
    <row r="878" spans="5:19" x14ac:dyDescent="0.35">
      <c r="E878" s="30" t="s">
        <v>42</v>
      </c>
      <c r="F878" s="46"/>
      <c r="G878" s="46"/>
      <c r="H878" s="46"/>
      <c r="I878" s="46"/>
      <c r="J878" s="46"/>
      <c r="K878" s="46"/>
      <c r="L878" s="41" t="str">
        <f t="shared" ca="1" si="53"/>
        <v/>
      </c>
      <c r="M878" s="47" t="str">
        <f t="shared" ca="1" si="54"/>
        <v/>
      </c>
      <c r="R878" s="48" t="str">
        <f t="shared" si="55"/>
        <v/>
      </c>
      <c r="S878" s="48" t="str">
        <f t="shared" si="56"/>
        <v/>
      </c>
    </row>
    <row r="879" spans="5:19" x14ac:dyDescent="0.35">
      <c r="E879" s="30" t="s">
        <v>42</v>
      </c>
      <c r="F879" s="46"/>
      <c r="G879" s="46"/>
      <c r="H879" s="46"/>
      <c r="I879" s="46"/>
      <c r="J879" s="46"/>
      <c r="K879" s="46"/>
      <c r="L879" s="41" t="str">
        <f t="shared" ca="1" si="53"/>
        <v/>
      </c>
      <c r="M879" s="47" t="str">
        <f t="shared" ca="1" si="54"/>
        <v/>
      </c>
      <c r="R879" s="48" t="str">
        <f t="shared" si="55"/>
        <v/>
      </c>
      <c r="S879" s="48" t="str">
        <f t="shared" si="56"/>
        <v/>
      </c>
    </row>
    <row r="880" spans="5:19" x14ac:dyDescent="0.35">
      <c r="E880" s="30" t="s">
        <v>42</v>
      </c>
      <c r="F880" s="46"/>
      <c r="G880" s="46"/>
      <c r="H880" s="46"/>
      <c r="I880" s="46"/>
      <c r="J880" s="46"/>
      <c r="K880" s="46"/>
      <c r="L880" s="41" t="str">
        <f t="shared" ca="1" si="53"/>
        <v/>
      </c>
      <c r="M880" s="47" t="str">
        <f t="shared" ca="1" si="54"/>
        <v/>
      </c>
      <c r="R880" s="48" t="str">
        <f t="shared" si="55"/>
        <v/>
      </c>
      <c r="S880" s="48" t="str">
        <f t="shared" si="56"/>
        <v/>
      </c>
    </row>
    <row r="881" spans="5:19" x14ac:dyDescent="0.35">
      <c r="E881" s="30" t="s">
        <v>42</v>
      </c>
      <c r="F881" s="46"/>
      <c r="G881" s="46"/>
      <c r="H881" s="46"/>
      <c r="I881" s="46"/>
      <c r="J881" s="46"/>
      <c r="K881" s="46"/>
      <c r="L881" s="41" t="str">
        <f t="shared" ca="1" si="53"/>
        <v/>
      </c>
      <c r="M881" s="47" t="str">
        <f t="shared" ca="1" si="54"/>
        <v/>
      </c>
      <c r="R881" s="48" t="str">
        <f t="shared" si="55"/>
        <v/>
      </c>
      <c r="S881" s="48" t="str">
        <f t="shared" si="56"/>
        <v/>
      </c>
    </row>
    <row r="882" spans="5:19" x14ac:dyDescent="0.35">
      <c r="E882" s="30" t="s">
        <v>42</v>
      </c>
      <c r="F882" s="46"/>
      <c r="G882" s="46"/>
      <c r="H882" s="46"/>
      <c r="I882" s="46"/>
      <c r="J882" s="46"/>
      <c r="K882" s="46"/>
      <c r="L882" s="41" t="str">
        <f t="shared" ca="1" si="53"/>
        <v/>
      </c>
      <c r="M882" s="47" t="str">
        <f t="shared" ca="1" si="54"/>
        <v/>
      </c>
      <c r="R882" s="48" t="str">
        <f t="shared" si="55"/>
        <v/>
      </c>
      <c r="S882" s="48" t="str">
        <f t="shared" si="56"/>
        <v/>
      </c>
    </row>
    <row r="883" spans="5:19" x14ac:dyDescent="0.35">
      <c r="E883" s="30" t="s">
        <v>42</v>
      </c>
      <c r="F883" s="46"/>
      <c r="G883" s="46"/>
      <c r="H883" s="46"/>
      <c r="I883" s="46"/>
      <c r="J883" s="46"/>
      <c r="K883" s="46"/>
      <c r="L883" s="41" t="str">
        <f t="shared" ca="1" si="53"/>
        <v/>
      </c>
      <c r="M883" s="47" t="str">
        <f t="shared" ca="1" si="54"/>
        <v/>
      </c>
      <c r="R883" s="48" t="str">
        <f t="shared" si="55"/>
        <v/>
      </c>
      <c r="S883" s="48" t="str">
        <f t="shared" si="56"/>
        <v/>
      </c>
    </row>
    <row r="884" spans="5:19" x14ac:dyDescent="0.35">
      <c r="E884" s="30" t="s">
        <v>42</v>
      </c>
      <c r="F884" s="46"/>
      <c r="G884" s="46"/>
      <c r="H884" s="46"/>
      <c r="I884" s="46"/>
      <c r="J884" s="46"/>
      <c r="K884" s="46"/>
      <c r="L884" s="41" t="str">
        <f t="shared" ca="1" si="53"/>
        <v/>
      </c>
      <c r="M884" s="47" t="str">
        <f t="shared" ca="1" si="54"/>
        <v/>
      </c>
      <c r="R884" s="48" t="str">
        <f t="shared" si="55"/>
        <v/>
      </c>
      <c r="S884" s="48" t="str">
        <f t="shared" si="56"/>
        <v/>
      </c>
    </row>
    <row r="885" spans="5:19" x14ac:dyDescent="0.35">
      <c r="E885" s="30" t="s">
        <v>42</v>
      </c>
      <c r="F885" s="46"/>
      <c r="G885" s="46"/>
      <c r="H885" s="46"/>
      <c r="I885" s="46"/>
      <c r="J885" s="46"/>
      <c r="K885" s="46"/>
      <c r="L885" s="41" t="str">
        <f t="shared" ca="1" si="53"/>
        <v/>
      </c>
      <c r="M885" s="47" t="str">
        <f t="shared" ca="1" si="54"/>
        <v/>
      </c>
      <c r="R885" s="48" t="str">
        <f t="shared" si="55"/>
        <v/>
      </c>
      <c r="S885" s="48" t="str">
        <f t="shared" si="56"/>
        <v/>
      </c>
    </row>
    <row r="886" spans="5:19" x14ac:dyDescent="0.35">
      <c r="E886" s="30" t="s">
        <v>42</v>
      </c>
      <c r="F886" s="46"/>
      <c r="G886" s="46"/>
      <c r="H886" s="46"/>
      <c r="I886" s="46"/>
      <c r="J886" s="46"/>
      <c r="K886" s="46"/>
      <c r="L886" s="41" t="str">
        <f t="shared" ca="1" si="53"/>
        <v/>
      </c>
      <c r="M886" s="47" t="str">
        <f t="shared" ca="1" si="54"/>
        <v/>
      </c>
      <c r="R886" s="48" t="str">
        <f t="shared" si="55"/>
        <v/>
      </c>
      <c r="S886" s="48" t="str">
        <f t="shared" si="56"/>
        <v/>
      </c>
    </row>
    <row r="887" spans="5:19" x14ac:dyDescent="0.35">
      <c r="E887" s="30" t="s">
        <v>42</v>
      </c>
      <c r="F887" s="46"/>
      <c r="G887" s="46"/>
      <c r="H887" s="46"/>
      <c r="I887" s="46"/>
      <c r="J887" s="46"/>
      <c r="K887" s="46"/>
      <c r="L887" s="41" t="str">
        <f t="shared" ca="1" si="53"/>
        <v/>
      </c>
      <c r="M887" s="47" t="str">
        <f t="shared" ca="1" si="54"/>
        <v/>
      </c>
      <c r="R887" s="48" t="str">
        <f t="shared" si="55"/>
        <v/>
      </c>
      <c r="S887" s="48" t="str">
        <f t="shared" si="56"/>
        <v/>
      </c>
    </row>
    <row r="888" spans="5:19" x14ac:dyDescent="0.35">
      <c r="E888" s="30" t="s">
        <v>42</v>
      </c>
      <c r="F888" s="46"/>
      <c r="G888" s="46"/>
      <c r="H888" s="46"/>
      <c r="I888" s="46"/>
      <c r="J888" s="46"/>
      <c r="K888" s="46"/>
      <c r="L888" s="41" t="str">
        <f t="shared" ca="1" si="53"/>
        <v/>
      </c>
      <c r="M888" s="47" t="str">
        <f t="shared" ca="1" si="54"/>
        <v/>
      </c>
      <c r="R888" s="48" t="str">
        <f t="shared" si="55"/>
        <v/>
      </c>
      <c r="S888" s="48" t="str">
        <f t="shared" si="56"/>
        <v/>
      </c>
    </row>
    <row r="889" spans="5:19" x14ac:dyDescent="0.35">
      <c r="E889" s="30" t="s">
        <v>42</v>
      </c>
      <c r="F889" s="46"/>
      <c r="G889" s="46"/>
      <c r="H889" s="46"/>
      <c r="I889" s="46"/>
      <c r="J889" s="46"/>
      <c r="K889" s="46"/>
      <c r="L889" s="41" t="str">
        <f t="shared" ca="1" si="53"/>
        <v/>
      </c>
      <c r="M889" s="47" t="str">
        <f t="shared" ca="1" si="54"/>
        <v/>
      </c>
      <c r="R889" s="48" t="str">
        <f t="shared" si="55"/>
        <v/>
      </c>
      <c r="S889" s="48" t="str">
        <f t="shared" si="56"/>
        <v/>
      </c>
    </row>
    <row r="890" spans="5:19" x14ac:dyDescent="0.35">
      <c r="E890" s="30" t="s">
        <v>42</v>
      </c>
      <c r="F890" s="46"/>
      <c r="G890" s="46"/>
      <c r="H890" s="46"/>
      <c r="I890" s="46"/>
      <c r="J890" s="46"/>
      <c r="K890" s="46"/>
      <c r="L890" s="41" t="str">
        <f t="shared" ca="1" si="53"/>
        <v/>
      </c>
      <c r="M890" s="47" t="str">
        <f t="shared" ca="1" si="54"/>
        <v/>
      </c>
      <c r="R890" s="48" t="str">
        <f t="shared" si="55"/>
        <v/>
      </c>
      <c r="S890" s="48" t="str">
        <f t="shared" si="56"/>
        <v/>
      </c>
    </row>
    <row r="891" spans="5:19" x14ac:dyDescent="0.35">
      <c r="E891" s="30" t="s">
        <v>42</v>
      </c>
      <c r="F891" s="46"/>
      <c r="G891" s="46"/>
      <c r="H891" s="46"/>
      <c r="I891" s="46"/>
      <c r="J891" s="46"/>
      <c r="K891" s="46"/>
      <c r="L891" s="41" t="str">
        <f t="shared" ca="1" si="53"/>
        <v/>
      </c>
      <c r="M891" s="47" t="str">
        <f t="shared" ca="1" si="54"/>
        <v/>
      </c>
      <c r="R891" s="48" t="str">
        <f t="shared" si="55"/>
        <v/>
      </c>
      <c r="S891" s="48" t="str">
        <f t="shared" si="56"/>
        <v/>
      </c>
    </row>
    <row r="892" spans="5:19" x14ac:dyDescent="0.35">
      <c r="E892" s="30" t="s">
        <v>42</v>
      </c>
      <c r="F892" s="46"/>
      <c r="G892" s="46"/>
      <c r="H892" s="46"/>
      <c r="I892" s="46"/>
      <c r="J892" s="46"/>
      <c r="K892" s="46"/>
      <c r="L892" s="41" t="str">
        <f t="shared" ca="1" si="53"/>
        <v/>
      </c>
      <c r="M892" s="47" t="str">
        <f t="shared" ca="1" si="54"/>
        <v/>
      </c>
      <c r="R892" s="48" t="str">
        <f t="shared" si="55"/>
        <v/>
      </c>
      <c r="S892" s="48" t="str">
        <f t="shared" si="56"/>
        <v/>
      </c>
    </row>
    <row r="893" spans="5:19" x14ac:dyDescent="0.35">
      <c r="E893" s="30" t="s">
        <v>42</v>
      </c>
      <c r="F893" s="46"/>
      <c r="G893" s="46"/>
      <c r="H893" s="46"/>
      <c r="I893" s="46"/>
      <c r="J893" s="46"/>
      <c r="K893" s="46"/>
      <c r="L893" s="41" t="str">
        <f t="shared" ca="1" si="53"/>
        <v/>
      </c>
      <c r="M893" s="47" t="str">
        <f t="shared" ca="1" si="54"/>
        <v/>
      </c>
      <c r="R893" s="48" t="str">
        <f t="shared" si="55"/>
        <v/>
      </c>
      <c r="S893" s="48" t="str">
        <f t="shared" si="56"/>
        <v/>
      </c>
    </row>
    <row r="894" spans="5:19" x14ac:dyDescent="0.35">
      <c r="E894" s="30" t="s">
        <v>42</v>
      </c>
      <c r="F894" s="46"/>
      <c r="G894" s="46"/>
      <c r="H894" s="46"/>
      <c r="I894" s="46"/>
      <c r="J894" s="46"/>
      <c r="K894" s="46"/>
      <c r="L894" s="41" t="str">
        <f t="shared" ca="1" si="53"/>
        <v/>
      </c>
      <c r="M894" s="47" t="str">
        <f t="shared" ca="1" si="54"/>
        <v/>
      </c>
      <c r="R894" s="48" t="str">
        <f t="shared" si="55"/>
        <v/>
      </c>
      <c r="S894" s="48" t="str">
        <f t="shared" si="56"/>
        <v/>
      </c>
    </row>
    <row r="895" spans="5:19" x14ac:dyDescent="0.35">
      <c r="E895" s="30" t="s">
        <v>42</v>
      </c>
      <c r="F895" s="46"/>
      <c r="G895" s="46"/>
      <c r="H895" s="46"/>
      <c r="I895" s="46"/>
      <c r="J895" s="46"/>
      <c r="K895" s="46"/>
      <c r="L895" s="41" t="str">
        <f t="shared" ca="1" si="53"/>
        <v/>
      </c>
      <c r="M895" s="47" t="str">
        <f t="shared" ca="1" si="54"/>
        <v/>
      </c>
      <c r="R895" s="48" t="str">
        <f t="shared" si="55"/>
        <v/>
      </c>
      <c r="S895" s="48" t="str">
        <f t="shared" si="56"/>
        <v/>
      </c>
    </row>
    <row r="896" spans="5:19" x14ac:dyDescent="0.35">
      <c r="E896" s="30" t="s">
        <v>42</v>
      </c>
      <c r="F896" s="46"/>
      <c r="G896" s="46"/>
      <c r="H896" s="46"/>
      <c r="I896" s="46"/>
      <c r="J896" s="46"/>
      <c r="K896" s="46"/>
      <c r="L896" s="41" t="str">
        <f t="shared" ca="1" si="53"/>
        <v/>
      </c>
      <c r="M896" s="47" t="str">
        <f t="shared" ca="1" si="54"/>
        <v/>
      </c>
      <c r="R896" s="48" t="str">
        <f t="shared" si="55"/>
        <v/>
      </c>
      <c r="S896" s="48" t="str">
        <f t="shared" si="56"/>
        <v/>
      </c>
    </row>
    <row r="897" spans="5:19" x14ac:dyDescent="0.35">
      <c r="E897" s="30" t="s">
        <v>42</v>
      </c>
      <c r="F897" s="46"/>
      <c r="G897" s="46"/>
      <c r="H897" s="46"/>
      <c r="I897" s="46"/>
      <c r="J897" s="46"/>
      <c r="K897" s="46"/>
      <c r="L897" s="41" t="str">
        <f t="shared" ca="1" si="53"/>
        <v/>
      </c>
      <c r="M897" s="47" t="str">
        <f t="shared" ca="1" si="54"/>
        <v/>
      </c>
      <c r="R897" s="48" t="str">
        <f t="shared" si="55"/>
        <v/>
      </c>
      <c r="S897" s="48" t="str">
        <f t="shared" si="56"/>
        <v/>
      </c>
    </row>
    <row r="898" spans="5:19" x14ac:dyDescent="0.35">
      <c r="E898" s="30" t="s">
        <v>42</v>
      </c>
      <c r="F898" s="46"/>
      <c r="G898" s="46"/>
      <c r="H898" s="46"/>
      <c r="I898" s="46"/>
      <c r="J898" s="46"/>
      <c r="K898" s="46"/>
      <c r="L898" s="41" t="str">
        <f t="shared" ca="1" si="53"/>
        <v/>
      </c>
      <c r="M898" s="47" t="str">
        <f t="shared" ca="1" si="54"/>
        <v/>
      </c>
      <c r="R898" s="48" t="str">
        <f t="shared" si="55"/>
        <v/>
      </c>
      <c r="S898" s="48" t="str">
        <f t="shared" si="56"/>
        <v/>
      </c>
    </row>
    <row r="899" spans="5:19" x14ac:dyDescent="0.35">
      <c r="E899" s="30" t="s">
        <v>42</v>
      </c>
      <c r="F899" s="46"/>
      <c r="G899" s="46"/>
      <c r="H899" s="46"/>
      <c r="I899" s="46"/>
      <c r="J899" s="46"/>
      <c r="K899" s="46"/>
      <c r="L899" s="41" t="str">
        <f t="shared" ca="1" si="53"/>
        <v/>
      </c>
      <c r="M899" s="47" t="str">
        <f t="shared" ca="1" si="54"/>
        <v/>
      </c>
      <c r="R899" s="48" t="str">
        <f t="shared" si="55"/>
        <v/>
      </c>
      <c r="S899" s="48" t="str">
        <f t="shared" si="56"/>
        <v/>
      </c>
    </row>
    <row r="900" spans="5:19" x14ac:dyDescent="0.35">
      <c r="E900" s="30" t="s">
        <v>42</v>
      </c>
      <c r="F900" s="46"/>
      <c r="G900" s="46"/>
      <c r="H900" s="46"/>
      <c r="I900" s="46"/>
      <c r="J900" s="46"/>
      <c r="K900" s="46"/>
      <c r="L900" s="41" t="str">
        <f t="shared" ca="1" si="53"/>
        <v/>
      </c>
      <c r="M900" s="47" t="str">
        <f t="shared" ca="1" si="54"/>
        <v/>
      </c>
      <c r="R900" s="48" t="str">
        <f t="shared" si="55"/>
        <v/>
      </c>
      <c r="S900" s="48" t="str">
        <f t="shared" si="56"/>
        <v/>
      </c>
    </row>
    <row r="901" spans="5:19" x14ac:dyDescent="0.35">
      <c r="E901" s="30" t="s">
        <v>42</v>
      </c>
      <c r="F901" s="46"/>
      <c r="G901" s="46"/>
      <c r="H901" s="46"/>
      <c r="I901" s="46"/>
      <c r="J901" s="46"/>
      <c r="K901" s="46"/>
      <c r="L901" s="41" t="str">
        <f t="shared" ca="1" si="53"/>
        <v/>
      </c>
      <c r="M901" s="47" t="str">
        <f t="shared" ca="1" si="54"/>
        <v/>
      </c>
      <c r="R901" s="48" t="str">
        <f t="shared" si="55"/>
        <v/>
      </c>
      <c r="S901" s="48" t="str">
        <f t="shared" si="56"/>
        <v/>
      </c>
    </row>
    <row r="902" spans="5:19" x14ac:dyDescent="0.35">
      <c r="E902" s="30" t="s">
        <v>42</v>
      </c>
      <c r="F902" s="46"/>
      <c r="G902" s="46"/>
      <c r="H902" s="46"/>
      <c r="I902" s="46"/>
      <c r="J902" s="46"/>
      <c r="K902" s="46"/>
      <c r="L902" s="41" t="str">
        <f t="shared" ref="L902:L965" ca="1" si="57">IF(AND(C902&lt;&gt;"",C902&lt;&gt;R902),TODAY(),IF(C902="","",L902))</f>
        <v/>
      </c>
      <c r="M902" s="47" t="str">
        <f t="shared" ref="M902:M965" ca="1" si="58">IF(AND(C902&lt;&gt;"",C902&lt;&gt;S902),NOW(),IF(C902="","",M902))</f>
        <v/>
      </c>
      <c r="R902" s="48" t="str">
        <f t="shared" ref="R902:R965" si="59">IF(C902="","",IF(OR(L902="",AND(ISNUMBER(R902),C902=R902)),R902,C902))</f>
        <v/>
      </c>
      <c r="S902" s="48" t="str">
        <f t="shared" ref="S902:S965" si="60">IF(C902="","",IF(OR(M902="",AND(ISNUMBER(S902),C902=S902)),S902,C902))</f>
        <v/>
      </c>
    </row>
    <row r="903" spans="5:19" x14ac:dyDescent="0.35">
      <c r="E903" s="30" t="s">
        <v>42</v>
      </c>
      <c r="F903" s="46"/>
      <c r="G903" s="46"/>
      <c r="H903" s="46"/>
      <c r="I903" s="46"/>
      <c r="J903" s="46"/>
      <c r="K903" s="46"/>
      <c r="L903" s="41" t="str">
        <f t="shared" ca="1" si="57"/>
        <v/>
      </c>
      <c r="M903" s="47" t="str">
        <f t="shared" ca="1" si="58"/>
        <v/>
      </c>
      <c r="R903" s="48" t="str">
        <f t="shared" si="59"/>
        <v/>
      </c>
      <c r="S903" s="48" t="str">
        <f t="shared" si="60"/>
        <v/>
      </c>
    </row>
    <row r="904" spans="5:19" x14ac:dyDescent="0.35">
      <c r="E904" s="30" t="s">
        <v>42</v>
      </c>
      <c r="F904" s="46"/>
      <c r="G904" s="46"/>
      <c r="H904" s="46"/>
      <c r="I904" s="46"/>
      <c r="J904" s="46"/>
      <c r="K904" s="46"/>
      <c r="L904" s="41" t="str">
        <f t="shared" ca="1" si="57"/>
        <v/>
      </c>
      <c r="M904" s="47" t="str">
        <f t="shared" ca="1" si="58"/>
        <v/>
      </c>
      <c r="R904" s="48" t="str">
        <f t="shared" si="59"/>
        <v/>
      </c>
      <c r="S904" s="48" t="str">
        <f t="shared" si="60"/>
        <v/>
      </c>
    </row>
    <row r="905" spans="5:19" x14ac:dyDescent="0.35">
      <c r="E905" s="30" t="s">
        <v>42</v>
      </c>
      <c r="F905" s="46"/>
      <c r="G905" s="46"/>
      <c r="H905" s="46"/>
      <c r="I905" s="46"/>
      <c r="J905" s="46"/>
      <c r="K905" s="46"/>
      <c r="L905" s="41" t="str">
        <f t="shared" ca="1" si="57"/>
        <v/>
      </c>
      <c r="M905" s="47" t="str">
        <f t="shared" ca="1" si="58"/>
        <v/>
      </c>
      <c r="R905" s="48" t="str">
        <f t="shared" si="59"/>
        <v/>
      </c>
      <c r="S905" s="48" t="str">
        <f t="shared" si="60"/>
        <v/>
      </c>
    </row>
    <row r="906" spans="5:19" x14ac:dyDescent="0.35">
      <c r="E906" s="30" t="s">
        <v>42</v>
      </c>
      <c r="F906" s="46"/>
      <c r="G906" s="46"/>
      <c r="H906" s="46"/>
      <c r="I906" s="46"/>
      <c r="J906" s="46"/>
      <c r="K906" s="46"/>
      <c r="L906" s="41" t="str">
        <f t="shared" ca="1" si="57"/>
        <v/>
      </c>
      <c r="M906" s="47" t="str">
        <f t="shared" ca="1" si="58"/>
        <v/>
      </c>
      <c r="R906" s="48" t="str">
        <f t="shared" si="59"/>
        <v/>
      </c>
      <c r="S906" s="48" t="str">
        <f t="shared" si="60"/>
        <v/>
      </c>
    </row>
    <row r="907" spans="5:19" x14ac:dyDescent="0.35">
      <c r="E907" s="30" t="s">
        <v>42</v>
      </c>
      <c r="F907" s="46"/>
      <c r="G907" s="46"/>
      <c r="H907" s="46"/>
      <c r="I907" s="46"/>
      <c r="J907" s="46"/>
      <c r="K907" s="46"/>
      <c r="L907" s="41" t="str">
        <f t="shared" ca="1" si="57"/>
        <v/>
      </c>
      <c r="M907" s="47" t="str">
        <f t="shared" ca="1" si="58"/>
        <v/>
      </c>
      <c r="R907" s="48" t="str">
        <f t="shared" si="59"/>
        <v/>
      </c>
      <c r="S907" s="48" t="str">
        <f t="shared" si="60"/>
        <v/>
      </c>
    </row>
    <row r="908" spans="5:19" x14ac:dyDescent="0.35">
      <c r="E908" s="30" t="s">
        <v>42</v>
      </c>
      <c r="F908" s="46"/>
      <c r="G908" s="46"/>
      <c r="H908" s="46"/>
      <c r="I908" s="46"/>
      <c r="J908" s="46"/>
      <c r="K908" s="46"/>
      <c r="L908" s="41" t="str">
        <f t="shared" ca="1" si="57"/>
        <v/>
      </c>
      <c r="M908" s="47" t="str">
        <f t="shared" ca="1" si="58"/>
        <v/>
      </c>
      <c r="R908" s="48" t="str">
        <f t="shared" si="59"/>
        <v/>
      </c>
      <c r="S908" s="48" t="str">
        <f t="shared" si="60"/>
        <v/>
      </c>
    </row>
    <row r="909" spans="5:19" x14ac:dyDescent="0.35">
      <c r="E909" s="30" t="s">
        <v>42</v>
      </c>
      <c r="F909" s="46"/>
      <c r="G909" s="46"/>
      <c r="H909" s="46"/>
      <c r="I909" s="46"/>
      <c r="J909" s="46"/>
      <c r="K909" s="46"/>
      <c r="L909" s="41" t="str">
        <f t="shared" ca="1" si="57"/>
        <v/>
      </c>
      <c r="M909" s="47" t="str">
        <f t="shared" ca="1" si="58"/>
        <v/>
      </c>
      <c r="R909" s="48" t="str">
        <f t="shared" si="59"/>
        <v/>
      </c>
      <c r="S909" s="48" t="str">
        <f t="shared" si="60"/>
        <v/>
      </c>
    </row>
    <row r="910" spans="5:19" x14ac:dyDescent="0.35">
      <c r="E910" s="30" t="s">
        <v>42</v>
      </c>
      <c r="F910" s="46"/>
      <c r="G910" s="46"/>
      <c r="H910" s="46"/>
      <c r="I910" s="46"/>
      <c r="J910" s="46"/>
      <c r="K910" s="46"/>
      <c r="L910" s="41" t="str">
        <f t="shared" ca="1" si="57"/>
        <v/>
      </c>
      <c r="M910" s="47" t="str">
        <f t="shared" ca="1" si="58"/>
        <v/>
      </c>
      <c r="R910" s="48" t="str">
        <f t="shared" si="59"/>
        <v/>
      </c>
      <c r="S910" s="48" t="str">
        <f t="shared" si="60"/>
        <v/>
      </c>
    </row>
    <row r="911" spans="5:19" x14ac:dyDescent="0.35">
      <c r="E911" s="30" t="s">
        <v>42</v>
      </c>
      <c r="F911" s="46"/>
      <c r="G911" s="46"/>
      <c r="H911" s="46"/>
      <c r="I911" s="46"/>
      <c r="J911" s="46"/>
      <c r="K911" s="46"/>
      <c r="L911" s="41" t="str">
        <f t="shared" ca="1" si="57"/>
        <v/>
      </c>
      <c r="M911" s="47" t="str">
        <f t="shared" ca="1" si="58"/>
        <v/>
      </c>
      <c r="R911" s="48" t="str">
        <f t="shared" si="59"/>
        <v/>
      </c>
      <c r="S911" s="48" t="str">
        <f t="shared" si="60"/>
        <v/>
      </c>
    </row>
    <row r="912" spans="5:19" x14ac:dyDescent="0.35">
      <c r="E912" s="30" t="s">
        <v>42</v>
      </c>
      <c r="F912" s="46"/>
      <c r="G912" s="46"/>
      <c r="H912" s="46"/>
      <c r="I912" s="46"/>
      <c r="J912" s="46"/>
      <c r="K912" s="46"/>
      <c r="L912" s="41" t="str">
        <f t="shared" ca="1" si="57"/>
        <v/>
      </c>
      <c r="M912" s="47" t="str">
        <f t="shared" ca="1" si="58"/>
        <v/>
      </c>
      <c r="R912" s="48" t="str">
        <f t="shared" si="59"/>
        <v/>
      </c>
      <c r="S912" s="48" t="str">
        <f t="shared" si="60"/>
        <v/>
      </c>
    </row>
    <row r="913" spans="5:19" x14ac:dyDescent="0.35">
      <c r="E913" s="30" t="s">
        <v>42</v>
      </c>
      <c r="F913" s="46"/>
      <c r="G913" s="46"/>
      <c r="H913" s="46"/>
      <c r="I913" s="46"/>
      <c r="J913" s="46"/>
      <c r="K913" s="46"/>
      <c r="L913" s="41" t="str">
        <f t="shared" ca="1" si="57"/>
        <v/>
      </c>
      <c r="M913" s="47" t="str">
        <f t="shared" ca="1" si="58"/>
        <v/>
      </c>
      <c r="R913" s="48" t="str">
        <f t="shared" si="59"/>
        <v/>
      </c>
      <c r="S913" s="48" t="str">
        <f t="shared" si="60"/>
        <v/>
      </c>
    </row>
    <row r="914" spans="5:19" x14ac:dyDescent="0.35">
      <c r="E914" s="30" t="s">
        <v>42</v>
      </c>
      <c r="F914" s="46"/>
      <c r="G914" s="46"/>
      <c r="H914" s="46"/>
      <c r="I914" s="46"/>
      <c r="J914" s="46"/>
      <c r="K914" s="46"/>
      <c r="L914" s="41" t="str">
        <f t="shared" ca="1" si="57"/>
        <v/>
      </c>
      <c r="M914" s="47" t="str">
        <f t="shared" ca="1" si="58"/>
        <v/>
      </c>
      <c r="R914" s="48" t="str">
        <f t="shared" si="59"/>
        <v/>
      </c>
      <c r="S914" s="48" t="str">
        <f t="shared" si="60"/>
        <v/>
      </c>
    </row>
    <row r="915" spans="5:19" x14ac:dyDescent="0.35">
      <c r="E915" s="30" t="s">
        <v>42</v>
      </c>
      <c r="F915" s="46"/>
      <c r="G915" s="46"/>
      <c r="H915" s="46"/>
      <c r="I915" s="46"/>
      <c r="J915" s="46"/>
      <c r="K915" s="46"/>
      <c r="L915" s="41" t="str">
        <f t="shared" ca="1" si="57"/>
        <v/>
      </c>
      <c r="M915" s="47" t="str">
        <f t="shared" ca="1" si="58"/>
        <v/>
      </c>
      <c r="R915" s="48" t="str">
        <f t="shared" si="59"/>
        <v/>
      </c>
      <c r="S915" s="48" t="str">
        <f t="shared" si="60"/>
        <v/>
      </c>
    </row>
    <row r="916" spans="5:19" x14ac:dyDescent="0.35">
      <c r="E916" s="30" t="s">
        <v>42</v>
      </c>
      <c r="F916" s="46"/>
      <c r="G916" s="46"/>
      <c r="H916" s="46"/>
      <c r="I916" s="46"/>
      <c r="J916" s="46"/>
      <c r="K916" s="46"/>
      <c r="L916" s="41" t="str">
        <f t="shared" ca="1" si="57"/>
        <v/>
      </c>
      <c r="M916" s="47" t="str">
        <f t="shared" ca="1" si="58"/>
        <v/>
      </c>
      <c r="R916" s="48" t="str">
        <f t="shared" si="59"/>
        <v/>
      </c>
      <c r="S916" s="48" t="str">
        <f t="shared" si="60"/>
        <v/>
      </c>
    </row>
    <row r="917" spans="5:19" x14ac:dyDescent="0.35">
      <c r="E917" s="30" t="s">
        <v>42</v>
      </c>
      <c r="F917" s="46"/>
      <c r="G917" s="46"/>
      <c r="H917" s="46"/>
      <c r="I917" s="46"/>
      <c r="J917" s="46"/>
      <c r="K917" s="46"/>
      <c r="L917" s="41" t="str">
        <f t="shared" ca="1" si="57"/>
        <v/>
      </c>
      <c r="M917" s="47" t="str">
        <f t="shared" ca="1" si="58"/>
        <v/>
      </c>
      <c r="R917" s="48" t="str">
        <f t="shared" si="59"/>
        <v/>
      </c>
      <c r="S917" s="48" t="str">
        <f t="shared" si="60"/>
        <v/>
      </c>
    </row>
    <row r="918" spans="5:19" x14ac:dyDescent="0.35">
      <c r="E918" s="30" t="s">
        <v>42</v>
      </c>
      <c r="F918" s="46"/>
      <c r="G918" s="46"/>
      <c r="H918" s="46"/>
      <c r="I918" s="46"/>
      <c r="J918" s="46"/>
      <c r="K918" s="46"/>
      <c r="L918" s="41" t="str">
        <f t="shared" ca="1" si="57"/>
        <v/>
      </c>
      <c r="M918" s="47" t="str">
        <f t="shared" ca="1" si="58"/>
        <v/>
      </c>
      <c r="R918" s="48" t="str">
        <f t="shared" si="59"/>
        <v/>
      </c>
      <c r="S918" s="48" t="str">
        <f t="shared" si="60"/>
        <v/>
      </c>
    </row>
    <row r="919" spans="5:19" x14ac:dyDescent="0.35">
      <c r="E919" s="30" t="s">
        <v>42</v>
      </c>
      <c r="F919" s="46"/>
      <c r="G919" s="46"/>
      <c r="H919" s="46"/>
      <c r="I919" s="46"/>
      <c r="J919" s="46"/>
      <c r="K919" s="46"/>
      <c r="L919" s="41" t="str">
        <f t="shared" ca="1" si="57"/>
        <v/>
      </c>
      <c r="M919" s="47" t="str">
        <f t="shared" ca="1" si="58"/>
        <v/>
      </c>
      <c r="R919" s="48" t="str">
        <f t="shared" si="59"/>
        <v/>
      </c>
      <c r="S919" s="48" t="str">
        <f t="shared" si="60"/>
        <v/>
      </c>
    </row>
    <row r="920" spans="5:19" x14ac:dyDescent="0.35">
      <c r="E920" s="30" t="s">
        <v>42</v>
      </c>
      <c r="F920" s="46"/>
      <c r="G920" s="46"/>
      <c r="H920" s="46"/>
      <c r="I920" s="46"/>
      <c r="J920" s="46"/>
      <c r="K920" s="46"/>
      <c r="L920" s="41" t="str">
        <f t="shared" ca="1" si="57"/>
        <v/>
      </c>
      <c r="M920" s="47" t="str">
        <f t="shared" ca="1" si="58"/>
        <v/>
      </c>
      <c r="R920" s="48" t="str">
        <f t="shared" si="59"/>
        <v/>
      </c>
      <c r="S920" s="48" t="str">
        <f t="shared" si="60"/>
        <v/>
      </c>
    </row>
    <row r="921" spans="5:19" x14ac:dyDescent="0.35">
      <c r="E921" s="30" t="s">
        <v>42</v>
      </c>
      <c r="F921" s="46"/>
      <c r="G921" s="46"/>
      <c r="H921" s="46"/>
      <c r="I921" s="46"/>
      <c r="J921" s="46"/>
      <c r="K921" s="46"/>
      <c r="L921" s="41" t="str">
        <f t="shared" ca="1" si="57"/>
        <v/>
      </c>
      <c r="M921" s="47" t="str">
        <f t="shared" ca="1" si="58"/>
        <v/>
      </c>
      <c r="R921" s="48" t="str">
        <f t="shared" si="59"/>
        <v/>
      </c>
      <c r="S921" s="48" t="str">
        <f t="shared" si="60"/>
        <v/>
      </c>
    </row>
    <row r="922" spans="5:19" x14ac:dyDescent="0.35">
      <c r="E922" s="30" t="s">
        <v>42</v>
      </c>
      <c r="F922" s="46"/>
      <c r="G922" s="46"/>
      <c r="H922" s="46"/>
      <c r="I922" s="46"/>
      <c r="J922" s="46"/>
      <c r="K922" s="46"/>
      <c r="L922" s="41" t="str">
        <f t="shared" ca="1" si="57"/>
        <v/>
      </c>
      <c r="M922" s="47" t="str">
        <f t="shared" ca="1" si="58"/>
        <v/>
      </c>
      <c r="R922" s="48" t="str">
        <f t="shared" si="59"/>
        <v/>
      </c>
      <c r="S922" s="48" t="str">
        <f t="shared" si="60"/>
        <v/>
      </c>
    </row>
    <row r="923" spans="5:19" x14ac:dyDescent="0.35">
      <c r="E923" s="30" t="s">
        <v>42</v>
      </c>
      <c r="F923" s="46"/>
      <c r="G923" s="46"/>
      <c r="H923" s="46"/>
      <c r="I923" s="46"/>
      <c r="J923" s="46"/>
      <c r="K923" s="46"/>
      <c r="L923" s="41" t="str">
        <f t="shared" ca="1" si="57"/>
        <v/>
      </c>
      <c r="M923" s="47" t="str">
        <f t="shared" ca="1" si="58"/>
        <v/>
      </c>
      <c r="R923" s="48" t="str">
        <f t="shared" si="59"/>
        <v/>
      </c>
      <c r="S923" s="48" t="str">
        <f t="shared" si="60"/>
        <v/>
      </c>
    </row>
    <row r="924" spans="5:19" x14ac:dyDescent="0.35">
      <c r="E924" s="30" t="s">
        <v>42</v>
      </c>
      <c r="F924" s="46"/>
      <c r="G924" s="46"/>
      <c r="H924" s="46"/>
      <c r="I924" s="46"/>
      <c r="J924" s="46"/>
      <c r="K924" s="46"/>
      <c r="L924" s="41" t="str">
        <f t="shared" ca="1" si="57"/>
        <v/>
      </c>
      <c r="M924" s="47" t="str">
        <f t="shared" ca="1" si="58"/>
        <v/>
      </c>
      <c r="R924" s="48" t="str">
        <f t="shared" si="59"/>
        <v/>
      </c>
      <c r="S924" s="48" t="str">
        <f t="shared" si="60"/>
        <v/>
      </c>
    </row>
    <row r="925" spans="5:19" x14ac:dyDescent="0.35">
      <c r="E925" s="30" t="s">
        <v>42</v>
      </c>
      <c r="F925" s="46"/>
      <c r="G925" s="46"/>
      <c r="H925" s="46"/>
      <c r="I925" s="46"/>
      <c r="J925" s="46"/>
      <c r="K925" s="46"/>
      <c r="L925" s="41" t="str">
        <f t="shared" ca="1" si="57"/>
        <v/>
      </c>
      <c r="M925" s="47" t="str">
        <f t="shared" ca="1" si="58"/>
        <v/>
      </c>
      <c r="R925" s="48" t="str">
        <f t="shared" si="59"/>
        <v/>
      </c>
      <c r="S925" s="48" t="str">
        <f t="shared" si="60"/>
        <v/>
      </c>
    </row>
    <row r="926" spans="5:19" x14ac:dyDescent="0.35">
      <c r="E926" s="30" t="s">
        <v>42</v>
      </c>
      <c r="F926" s="46"/>
      <c r="G926" s="46"/>
      <c r="H926" s="46"/>
      <c r="I926" s="46"/>
      <c r="J926" s="46"/>
      <c r="K926" s="46"/>
      <c r="L926" s="41" t="str">
        <f t="shared" ca="1" si="57"/>
        <v/>
      </c>
      <c r="M926" s="47" t="str">
        <f t="shared" ca="1" si="58"/>
        <v/>
      </c>
      <c r="R926" s="48" t="str">
        <f t="shared" si="59"/>
        <v/>
      </c>
      <c r="S926" s="48" t="str">
        <f t="shared" si="60"/>
        <v/>
      </c>
    </row>
    <row r="927" spans="5:19" x14ac:dyDescent="0.35">
      <c r="E927" s="30" t="s">
        <v>42</v>
      </c>
      <c r="F927" s="46"/>
      <c r="G927" s="46"/>
      <c r="H927" s="46"/>
      <c r="I927" s="46"/>
      <c r="J927" s="46"/>
      <c r="K927" s="46"/>
      <c r="L927" s="41" t="str">
        <f t="shared" ca="1" si="57"/>
        <v/>
      </c>
      <c r="M927" s="47" t="str">
        <f t="shared" ca="1" si="58"/>
        <v/>
      </c>
      <c r="R927" s="48" t="str">
        <f t="shared" si="59"/>
        <v/>
      </c>
      <c r="S927" s="48" t="str">
        <f t="shared" si="60"/>
        <v/>
      </c>
    </row>
    <row r="928" spans="5:19" x14ac:dyDescent="0.35">
      <c r="E928" s="30" t="s">
        <v>42</v>
      </c>
      <c r="F928" s="46"/>
      <c r="G928" s="46"/>
      <c r="H928" s="46"/>
      <c r="I928" s="46"/>
      <c r="J928" s="46"/>
      <c r="K928" s="46"/>
      <c r="L928" s="41" t="str">
        <f t="shared" ca="1" si="57"/>
        <v/>
      </c>
      <c r="M928" s="47" t="str">
        <f t="shared" ca="1" si="58"/>
        <v/>
      </c>
      <c r="R928" s="48" t="str">
        <f t="shared" si="59"/>
        <v/>
      </c>
      <c r="S928" s="48" t="str">
        <f t="shared" si="60"/>
        <v/>
      </c>
    </row>
    <row r="929" spans="5:19" x14ac:dyDescent="0.35">
      <c r="E929" s="30" t="s">
        <v>42</v>
      </c>
      <c r="F929" s="46"/>
      <c r="G929" s="46"/>
      <c r="H929" s="46"/>
      <c r="I929" s="46"/>
      <c r="J929" s="46"/>
      <c r="K929" s="46"/>
      <c r="L929" s="41" t="str">
        <f t="shared" ca="1" si="57"/>
        <v/>
      </c>
      <c r="M929" s="47" t="str">
        <f t="shared" ca="1" si="58"/>
        <v/>
      </c>
      <c r="R929" s="48" t="str">
        <f t="shared" si="59"/>
        <v/>
      </c>
      <c r="S929" s="48" t="str">
        <f t="shared" si="60"/>
        <v/>
      </c>
    </row>
    <row r="930" spans="5:19" x14ac:dyDescent="0.35">
      <c r="E930" s="30" t="s">
        <v>42</v>
      </c>
      <c r="F930" s="46"/>
      <c r="G930" s="46"/>
      <c r="H930" s="46"/>
      <c r="I930" s="46"/>
      <c r="J930" s="46"/>
      <c r="K930" s="46"/>
      <c r="L930" s="41" t="str">
        <f t="shared" ca="1" si="57"/>
        <v/>
      </c>
      <c r="M930" s="47" t="str">
        <f t="shared" ca="1" si="58"/>
        <v/>
      </c>
      <c r="R930" s="48" t="str">
        <f t="shared" si="59"/>
        <v/>
      </c>
      <c r="S930" s="48" t="str">
        <f t="shared" si="60"/>
        <v/>
      </c>
    </row>
    <row r="931" spans="5:19" x14ac:dyDescent="0.35">
      <c r="E931" s="30" t="s">
        <v>42</v>
      </c>
      <c r="F931" s="46"/>
      <c r="G931" s="46"/>
      <c r="H931" s="46"/>
      <c r="I931" s="46"/>
      <c r="J931" s="46"/>
      <c r="K931" s="46"/>
      <c r="L931" s="41" t="str">
        <f t="shared" ca="1" si="57"/>
        <v/>
      </c>
      <c r="M931" s="47" t="str">
        <f t="shared" ca="1" si="58"/>
        <v/>
      </c>
      <c r="R931" s="48" t="str">
        <f t="shared" si="59"/>
        <v/>
      </c>
      <c r="S931" s="48" t="str">
        <f t="shared" si="60"/>
        <v/>
      </c>
    </row>
    <row r="932" spans="5:19" x14ac:dyDescent="0.35">
      <c r="E932" s="30" t="s">
        <v>42</v>
      </c>
      <c r="F932" s="46"/>
      <c r="G932" s="46"/>
      <c r="H932" s="46"/>
      <c r="I932" s="46"/>
      <c r="J932" s="46"/>
      <c r="K932" s="46"/>
      <c r="L932" s="41" t="str">
        <f t="shared" ca="1" si="57"/>
        <v/>
      </c>
      <c r="M932" s="47" t="str">
        <f t="shared" ca="1" si="58"/>
        <v/>
      </c>
      <c r="R932" s="48" t="str">
        <f t="shared" si="59"/>
        <v/>
      </c>
      <c r="S932" s="48" t="str">
        <f t="shared" si="60"/>
        <v/>
      </c>
    </row>
    <row r="933" spans="5:19" x14ac:dyDescent="0.35">
      <c r="E933" s="30" t="s">
        <v>42</v>
      </c>
      <c r="F933" s="46"/>
      <c r="G933" s="46"/>
      <c r="H933" s="46"/>
      <c r="I933" s="46"/>
      <c r="J933" s="46"/>
      <c r="K933" s="46"/>
      <c r="L933" s="41" t="str">
        <f t="shared" ca="1" si="57"/>
        <v/>
      </c>
      <c r="M933" s="47" t="str">
        <f t="shared" ca="1" si="58"/>
        <v/>
      </c>
      <c r="R933" s="48" t="str">
        <f t="shared" si="59"/>
        <v/>
      </c>
      <c r="S933" s="48" t="str">
        <f t="shared" si="60"/>
        <v/>
      </c>
    </row>
    <row r="934" spans="5:19" x14ac:dyDescent="0.35">
      <c r="E934" s="30" t="s">
        <v>42</v>
      </c>
      <c r="F934" s="46"/>
      <c r="G934" s="46"/>
      <c r="H934" s="46"/>
      <c r="I934" s="46"/>
      <c r="J934" s="46"/>
      <c r="K934" s="46"/>
      <c r="L934" s="41" t="str">
        <f t="shared" ca="1" si="57"/>
        <v/>
      </c>
      <c r="M934" s="47" t="str">
        <f t="shared" ca="1" si="58"/>
        <v/>
      </c>
      <c r="R934" s="48" t="str">
        <f t="shared" si="59"/>
        <v/>
      </c>
      <c r="S934" s="48" t="str">
        <f t="shared" si="60"/>
        <v/>
      </c>
    </row>
    <row r="935" spans="5:19" x14ac:dyDescent="0.35">
      <c r="E935" s="30" t="s">
        <v>42</v>
      </c>
      <c r="F935" s="46"/>
      <c r="G935" s="46"/>
      <c r="H935" s="46"/>
      <c r="I935" s="46"/>
      <c r="J935" s="46"/>
      <c r="K935" s="46"/>
      <c r="L935" s="41" t="str">
        <f t="shared" ca="1" si="57"/>
        <v/>
      </c>
      <c r="M935" s="47" t="str">
        <f t="shared" ca="1" si="58"/>
        <v/>
      </c>
      <c r="R935" s="48" t="str">
        <f t="shared" si="59"/>
        <v/>
      </c>
      <c r="S935" s="48" t="str">
        <f t="shared" si="60"/>
        <v/>
      </c>
    </row>
    <row r="936" spans="5:19" x14ac:dyDescent="0.35">
      <c r="E936" s="30" t="s">
        <v>42</v>
      </c>
      <c r="F936" s="46"/>
      <c r="G936" s="46"/>
      <c r="H936" s="46"/>
      <c r="I936" s="46"/>
      <c r="J936" s="46"/>
      <c r="K936" s="46"/>
      <c r="L936" s="41" t="str">
        <f t="shared" ca="1" si="57"/>
        <v/>
      </c>
      <c r="M936" s="47" t="str">
        <f t="shared" ca="1" si="58"/>
        <v/>
      </c>
      <c r="R936" s="48" t="str">
        <f t="shared" si="59"/>
        <v/>
      </c>
      <c r="S936" s="48" t="str">
        <f t="shared" si="60"/>
        <v/>
      </c>
    </row>
    <row r="937" spans="5:19" x14ac:dyDescent="0.35">
      <c r="E937" s="30" t="s">
        <v>42</v>
      </c>
      <c r="F937" s="46"/>
      <c r="G937" s="46"/>
      <c r="H937" s="46"/>
      <c r="I937" s="46"/>
      <c r="J937" s="46"/>
      <c r="K937" s="46"/>
      <c r="L937" s="41" t="str">
        <f t="shared" ca="1" si="57"/>
        <v/>
      </c>
      <c r="M937" s="47" t="str">
        <f t="shared" ca="1" si="58"/>
        <v/>
      </c>
      <c r="R937" s="48" t="str">
        <f t="shared" si="59"/>
        <v/>
      </c>
      <c r="S937" s="48" t="str">
        <f t="shared" si="60"/>
        <v/>
      </c>
    </row>
    <row r="938" spans="5:19" x14ac:dyDescent="0.35">
      <c r="E938" s="30" t="s">
        <v>42</v>
      </c>
      <c r="F938" s="46"/>
      <c r="G938" s="46"/>
      <c r="H938" s="46"/>
      <c r="I938" s="46"/>
      <c r="J938" s="46"/>
      <c r="K938" s="46"/>
      <c r="L938" s="41" t="str">
        <f t="shared" ca="1" si="57"/>
        <v/>
      </c>
      <c r="M938" s="47" t="str">
        <f t="shared" ca="1" si="58"/>
        <v/>
      </c>
      <c r="R938" s="48" t="str">
        <f t="shared" si="59"/>
        <v/>
      </c>
      <c r="S938" s="48" t="str">
        <f t="shared" si="60"/>
        <v/>
      </c>
    </row>
    <row r="939" spans="5:19" x14ac:dyDescent="0.35">
      <c r="E939" s="30" t="s">
        <v>42</v>
      </c>
      <c r="F939" s="46"/>
      <c r="G939" s="46"/>
      <c r="H939" s="46"/>
      <c r="I939" s="46"/>
      <c r="J939" s="46"/>
      <c r="K939" s="46"/>
      <c r="L939" s="41" t="str">
        <f t="shared" ca="1" si="57"/>
        <v/>
      </c>
      <c r="M939" s="47" t="str">
        <f t="shared" ca="1" si="58"/>
        <v/>
      </c>
      <c r="R939" s="48" t="str">
        <f t="shared" si="59"/>
        <v/>
      </c>
      <c r="S939" s="48" t="str">
        <f t="shared" si="60"/>
        <v/>
      </c>
    </row>
    <row r="940" spans="5:19" x14ac:dyDescent="0.35">
      <c r="E940" s="30" t="s">
        <v>42</v>
      </c>
      <c r="F940" s="46"/>
      <c r="G940" s="46"/>
      <c r="H940" s="46"/>
      <c r="I940" s="46"/>
      <c r="J940" s="46"/>
      <c r="K940" s="46"/>
      <c r="L940" s="41" t="str">
        <f t="shared" ca="1" si="57"/>
        <v/>
      </c>
      <c r="M940" s="47" t="str">
        <f t="shared" ca="1" si="58"/>
        <v/>
      </c>
      <c r="R940" s="48" t="str">
        <f t="shared" si="59"/>
        <v/>
      </c>
      <c r="S940" s="48" t="str">
        <f t="shared" si="60"/>
        <v/>
      </c>
    </row>
    <row r="941" spans="5:19" x14ac:dyDescent="0.35">
      <c r="E941" s="30" t="s">
        <v>42</v>
      </c>
      <c r="F941" s="46"/>
      <c r="G941" s="46"/>
      <c r="H941" s="46"/>
      <c r="I941" s="46"/>
      <c r="J941" s="46"/>
      <c r="K941" s="46"/>
      <c r="L941" s="41" t="str">
        <f t="shared" ca="1" si="57"/>
        <v/>
      </c>
      <c r="M941" s="47" t="str">
        <f t="shared" ca="1" si="58"/>
        <v/>
      </c>
      <c r="R941" s="48" t="str">
        <f t="shared" si="59"/>
        <v/>
      </c>
      <c r="S941" s="48" t="str">
        <f t="shared" si="60"/>
        <v/>
      </c>
    </row>
    <row r="942" spans="5:19" x14ac:dyDescent="0.35">
      <c r="E942" s="30" t="s">
        <v>42</v>
      </c>
      <c r="F942" s="46"/>
      <c r="G942" s="46"/>
      <c r="H942" s="46"/>
      <c r="I942" s="46"/>
      <c r="J942" s="46"/>
      <c r="K942" s="46"/>
      <c r="L942" s="41" t="str">
        <f t="shared" ca="1" si="57"/>
        <v/>
      </c>
      <c r="M942" s="47" t="str">
        <f t="shared" ca="1" si="58"/>
        <v/>
      </c>
      <c r="R942" s="48" t="str">
        <f t="shared" si="59"/>
        <v/>
      </c>
      <c r="S942" s="48" t="str">
        <f t="shared" si="60"/>
        <v/>
      </c>
    </row>
    <row r="943" spans="5:19" x14ac:dyDescent="0.35">
      <c r="E943" s="30" t="s">
        <v>42</v>
      </c>
      <c r="F943" s="46"/>
      <c r="G943" s="46"/>
      <c r="H943" s="46"/>
      <c r="I943" s="46"/>
      <c r="J943" s="46"/>
      <c r="K943" s="46"/>
      <c r="L943" s="41" t="str">
        <f t="shared" ca="1" si="57"/>
        <v/>
      </c>
      <c r="M943" s="47" t="str">
        <f t="shared" ca="1" si="58"/>
        <v/>
      </c>
      <c r="R943" s="48" t="str">
        <f t="shared" si="59"/>
        <v/>
      </c>
      <c r="S943" s="48" t="str">
        <f t="shared" si="60"/>
        <v/>
      </c>
    </row>
    <row r="944" spans="5:19" x14ac:dyDescent="0.35">
      <c r="E944" s="30" t="s">
        <v>42</v>
      </c>
      <c r="F944" s="46"/>
      <c r="G944" s="46"/>
      <c r="H944" s="46"/>
      <c r="I944" s="46"/>
      <c r="J944" s="46"/>
      <c r="K944" s="46"/>
      <c r="L944" s="41" t="str">
        <f t="shared" ca="1" si="57"/>
        <v/>
      </c>
      <c r="M944" s="47" t="str">
        <f t="shared" ca="1" si="58"/>
        <v/>
      </c>
      <c r="R944" s="48" t="str">
        <f t="shared" si="59"/>
        <v/>
      </c>
      <c r="S944" s="48" t="str">
        <f t="shared" si="60"/>
        <v/>
      </c>
    </row>
    <row r="945" spans="5:19" x14ac:dyDescent="0.35">
      <c r="E945" s="30" t="s">
        <v>42</v>
      </c>
      <c r="F945" s="46"/>
      <c r="G945" s="46"/>
      <c r="H945" s="46"/>
      <c r="I945" s="46"/>
      <c r="J945" s="46"/>
      <c r="K945" s="46"/>
      <c r="L945" s="41" t="str">
        <f t="shared" ca="1" si="57"/>
        <v/>
      </c>
      <c r="M945" s="47" t="str">
        <f t="shared" ca="1" si="58"/>
        <v/>
      </c>
      <c r="R945" s="48" t="str">
        <f t="shared" si="59"/>
        <v/>
      </c>
      <c r="S945" s="48" t="str">
        <f t="shared" si="60"/>
        <v/>
      </c>
    </row>
    <row r="946" spans="5:19" x14ac:dyDescent="0.35">
      <c r="E946" s="30" t="s">
        <v>42</v>
      </c>
      <c r="F946" s="46"/>
      <c r="G946" s="46"/>
      <c r="H946" s="46"/>
      <c r="I946" s="46"/>
      <c r="J946" s="46"/>
      <c r="K946" s="46"/>
      <c r="L946" s="41" t="str">
        <f t="shared" ca="1" si="57"/>
        <v/>
      </c>
      <c r="M946" s="47" t="str">
        <f t="shared" ca="1" si="58"/>
        <v/>
      </c>
      <c r="R946" s="48" t="str">
        <f t="shared" si="59"/>
        <v/>
      </c>
      <c r="S946" s="48" t="str">
        <f t="shared" si="60"/>
        <v/>
      </c>
    </row>
    <row r="947" spans="5:19" x14ac:dyDescent="0.35">
      <c r="E947" s="30" t="s">
        <v>42</v>
      </c>
      <c r="F947" s="46"/>
      <c r="G947" s="46"/>
      <c r="H947" s="46"/>
      <c r="I947" s="46"/>
      <c r="J947" s="46"/>
      <c r="K947" s="46"/>
      <c r="L947" s="41" t="str">
        <f t="shared" ca="1" si="57"/>
        <v/>
      </c>
      <c r="M947" s="47" t="str">
        <f t="shared" ca="1" si="58"/>
        <v/>
      </c>
      <c r="R947" s="48" t="str">
        <f t="shared" si="59"/>
        <v/>
      </c>
      <c r="S947" s="48" t="str">
        <f t="shared" si="60"/>
        <v/>
      </c>
    </row>
    <row r="948" spans="5:19" x14ac:dyDescent="0.35">
      <c r="E948" s="30" t="s">
        <v>42</v>
      </c>
      <c r="F948" s="46"/>
      <c r="G948" s="46"/>
      <c r="H948" s="46"/>
      <c r="I948" s="46"/>
      <c r="J948" s="46"/>
      <c r="K948" s="46"/>
      <c r="L948" s="41" t="str">
        <f t="shared" ca="1" si="57"/>
        <v/>
      </c>
      <c r="M948" s="47" t="str">
        <f t="shared" ca="1" si="58"/>
        <v/>
      </c>
      <c r="R948" s="48" t="str">
        <f t="shared" si="59"/>
        <v/>
      </c>
      <c r="S948" s="48" t="str">
        <f t="shared" si="60"/>
        <v/>
      </c>
    </row>
    <row r="949" spans="5:19" x14ac:dyDescent="0.35">
      <c r="E949" s="30" t="s">
        <v>42</v>
      </c>
      <c r="F949" s="46"/>
      <c r="G949" s="46"/>
      <c r="H949" s="46"/>
      <c r="I949" s="46"/>
      <c r="J949" s="46"/>
      <c r="K949" s="46"/>
      <c r="L949" s="41" t="str">
        <f t="shared" ca="1" si="57"/>
        <v/>
      </c>
      <c r="M949" s="47" t="str">
        <f t="shared" ca="1" si="58"/>
        <v/>
      </c>
      <c r="R949" s="48" t="str">
        <f t="shared" si="59"/>
        <v/>
      </c>
      <c r="S949" s="48" t="str">
        <f t="shared" si="60"/>
        <v/>
      </c>
    </row>
    <row r="950" spans="5:19" x14ac:dyDescent="0.35">
      <c r="E950" s="30" t="s">
        <v>42</v>
      </c>
      <c r="F950" s="46"/>
      <c r="G950" s="46"/>
      <c r="H950" s="46"/>
      <c r="I950" s="46"/>
      <c r="J950" s="46"/>
      <c r="K950" s="46"/>
      <c r="L950" s="41" t="str">
        <f t="shared" ca="1" si="57"/>
        <v/>
      </c>
      <c r="M950" s="47" t="str">
        <f t="shared" ca="1" si="58"/>
        <v/>
      </c>
      <c r="R950" s="48" t="str">
        <f t="shared" si="59"/>
        <v/>
      </c>
      <c r="S950" s="48" t="str">
        <f t="shared" si="60"/>
        <v/>
      </c>
    </row>
    <row r="951" spans="5:19" x14ac:dyDescent="0.35">
      <c r="E951" s="30" t="s">
        <v>42</v>
      </c>
      <c r="F951" s="46"/>
      <c r="G951" s="46"/>
      <c r="H951" s="46"/>
      <c r="I951" s="46"/>
      <c r="J951" s="46"/>
      <c r="K951" s="46"/>
      <c r="L951" s="41" t="str">
        <f t="shared" ca="1" si="57"/>
        <v/>
      </c>
      <c r="M951" s="47" t="str">
        <f t="shared" ca="1" si="58"/>
        <v/>
      </c>
      <c r="R951" s="48" t="str">
        <f t="shared" si="59"/>
        <v/>
      </c>
      <c r="S951" s="48" t="str">
        <f t="shared" si="60"/>
        <v/>
      </c>
    </row>
    <row r="952" spans="5:19" x14ac:dyDescent="0.35">
      <c r="E952" s="30" t="s">
        <v>42</v>
      </c>
      <c r="F952" s="46"/>
      <c r="G952" s="46"/>
      <c r="H952" s="46"/>
      <c r="I952" s="46"/>
      <c r="J952" s="46"/>
      <c r="K952" s="46"/>
      <c r="L952" s="41" t="str">
        <f t="shared" ca="1" si="57"/>
        <v/>
      </c>
      <c r="M952" s="47" t="str">
        <f t="shared" ca="1" si="58"/>
        <v/>
      </c>
      <c r="R952" s="48" t="str">
        <f t="shared" si="59"/>
        <v/>
      </c>
      <c r="S952" s="48" t="str">
        <f t="shared" si="60"/>
        <v/>
      </c>
    </row>
    <row r="953" spans="5:19" x14ac:dyDescent="0.35">
      <c r="E953" s="30" t="s">
        <v>42</v>
      </c>
      <c r="F953" s="46"/>
      <c r="G953" s="46"/>
      <c r="H953" s="46"/>
      <c r="I953" s="46"/>
      <c r="J953" s="46"/>
      <c r="K953" s="46"/>
      <c r="L953" s="41" t="str">
        <f t="shared" ca="1" si="57"/>
        <v/>
      </c>
      <c r="M953" s="47" t="str">
        <f t="shared" ca="1" si="58"/>
        <v/>
      </c>
      <c r="R953" s="48" t="str">
        <f t="shared" si="59"/>
        <v/>
      </c>
      <c r="S953" s="48" t="str">
        <f t="shared" si="60"/>
        <v/>
      </c>
    </row>
    <row r="954" spans="5:19" x14ac:dyDescent="0.35">
      <c r="E954" s="30" t="s">
        <v>42</v>
      </c>
      <c r="F954" s="46"/>
      <c r="G954" s="46"/>
      <c r="H954" s="46"/>
      <c r="I954" s="46"/>
      <c r="J954" s="46"/>
      <c r="K954" s="46"/>
      <c r="L954" s="41" t="str">
        <f t="shared" ca="1" si="57"/>
        <v/>
      </c>
      <c r="M954" s="47" t="str">
        <f t="shared" ca="1" si="58"/>
        <v/>
      </c>
      <c r="R954" s="48" t="str">
        <f t="shared" si="59"/>
        <v/>
      </c>
      <c r="S954" s="48" t="str">
        <f t="shared" si="60"/>
        <v/>
      </c>
    </row>
    <row r="955" spans="5:19" x14ac:dyDescent="0.35">
      <c r="E955" s="30" t="s">
        <v>42</v>
      </c>
      <c r="F955" s="46"/>
      <c r="G955" s="46"/>
      <c r="H955" s="46"/>
      <c r="I955" s="46"/>
      <c r="J955" s="46"/>
      <c r="K955" s="46"/>
      <c r="L955" s="41" t="str">
        <f t="shared" ca="1" si="57"/>
        <v/>
      </c>
      <c r="M955" s="47" t="str">
        <f t="shared" ca="1" si="58"/>
        <v/>
      </c>
      <c r="R955" s="48" t="str">
        <f t="shared" si="59"/>
        <v/>
      </c>
      <c r="S955" s="48" t="str">
        <f t="shared" si="60"/>
        <v/>
      </c>
    </row>
    <row r="956" spans="5:19" x14ac:dyDescent="0.35">
      <c r="E956" s="30" t="s">
        <v>42</v>
      </c>
      <c r="F956" s="46"/>
      <c r="G956" s="46"/>
      <c r="H956" s="46"/>
      <c r="I956" s="46"/>
      <c r="J956" s="46"/>
      <c r="K956" s="46"/>
      <c r="L956" s="41" t="str">
        <f t="shared" ca="1" si="57"/>
        <v/>
      </c>
      <c r="M956" s="47" t="str">
        <f t="shared" ca="1" si="58"/>
        <v/>
      </c>
      <c r="R956" s="48" t="str">
        <f t="shared" si="59"/>
        <v/>
      </c>
      <c r="S956" s="48" t="str">
        <f t="shared" si="60"/>
        <v/>
      </c>
    </row>
    <row r="957" spans="5:19" x14ac:dyDescent="0.35">
      <c r="E957" s="30" t="s">
        <v>42</v>
      </c>
      <c r="F957" s="46"/>
      <c r="G957" s="46"/>
      <c r="H957" s="46"/>
      <c r="I957" s="46"/>
      <c r="J957" s="46"/>
      <c r="K957" s="46"/>
      <c r="L957" s="41" t="str">
        <f t="shared" ca="1" si="57"/>
        <v/>
      </c>
      <c r="M957" s="47" t="str">
        <f t="shared" ca="1" si="58"/>
        <v/>
      </c>
      <c r="R957" s="48" t="str">
        <f t="shared" si="59"/>
        <v/>
      </c>
      <c r="S957" s="48" t="str">
        <f t="shared" si="60"/>
        <v/>
      </c>
    </row>
    <row r="958" spans="5:19" x14ac:dyDescent="0.35">
      <c r="E958" s="30" t="s">
        <v>42</v>
      </c>
      <c r="F958" s="46"/>
      <c r="G958" s="46"/>
      <c r="H958" s="46"/>
      <c r="I958" s="46"/>
      <c r="J958" s="46"/>
      <c r="K958" s="46"/>
      <c r="L958" s="41" t="str">
        <f t="shared" ca="1" si="57"/>
        <v/>
      </c>
      <c r="M958" s="47" t="str">
        <f t="shared" ca="1" si="58"/>
        <v/>
      </c>
      <c r="R958" s="48" t="str">
        <f t="shared" si="59"/>
        <v/>
      </c>
      <c r="S958" s="48" t="str">
        <f t="shared" si="60"/>
        <v/>
      </c>
    </row>
    <row r="959" spans="5:19" x14ac:dyDescent="0.35">
      <c r="E959" s="30" t="s">
        <v>42</v>
      </c>
      <c r="F959" s="46"/>
      <c r="G959" s="46"/>
      <c r="H959" s="46"/>
      <c r="I959" s="46"/>
      <c r="J959" s="46"/>
      <c r="K959" s="46"/>
      <c r="L959" s="41" t="str">
        <f t="shared" ca="1" si="57"/>
        <v/>
      </c>
      <c r="M959" s="47" t="str">
        <f t="shared" ca="1" si="58"/>
        <v/>
      </c>
      <c r="R959" s="48" t="str">
        <f t="shared" si="59"/>
        <v/>
      </c>
      <c r="S959" s="48" t="str">
        <f t="shared" si="60"/>
        <v/>
      </c>
    </row>
    <row r="960" spans="5:19" x14ac:dyDescent="0.35">
      <c r="E960" s="30" t="s">
        <v>42</v>
      </c>
      <c r="F960" s="46"/>
      <c r="G960" s="46"/>
      <c r="H960" s="46"/>
      <c r="I960" s="46"/>
      <c r="J960" s="46"/>
      <c r="K960" s="46"/>
      <c r="L960" s="41" t="str">
        <f t="shared" ca="1" si="57"/>
        <v/>
      </c>
      <c r="M960" s="47" t="str">
        <f t="shared" ca="1" si="58"/>
        <v/>
      </c>
      <c r="R960" s="48" t="str">
        <f t="shared" si="59"/>
        <v/>
      </c>
      <c r="S960" s="48" t="str">
        <f t="shared" si="60"/>
        <v/>
      </c>
    </row>
    <row r="961" spans="5:19" x14ac:dyDescent="0.35">
      <c r="E961" s="30" t="s">
        <v>42</v>
      </c>
      <c r="F961" s="46"/>
      <c r="G961" s="46"/>
      <c r="H961" s="46"/>
      <c r="I961" s="46"/>
      <c r="J961" s="46"/>
      <c r="K961" s="46"/>
      <c r="L961" s="41" t="str">
        <f t="shared" ca="1" si="57"/>
        <v/>
      </c>
      <c r="M961" s="47" t="str">
        <f t="shared" ca="1" si="58"/>
        <v/>
      </c>
      <c r="R961" s="48" t="str">
        <f t="shared" si="59"/>
        <v/>
      </c>
      <c r="S961" s="48" t="str">
        <f t="shared" si="60"/>
        <v/>
      </c>
    </row>
    <row r="962" spans="5:19" x14ac:dyDescent="0.35">
      <c r="E962" s="30" t="s">
        <v>42</v>
      </c>
      <c r="F962" s="46"/>
      <c r="G962" s="46"/>
      <c r="H962" s="46"/>
      <c r="I962" s="46"/>
      <c r="J962" s="46"/>
      <c r="K962" s="46"/>
      <c r="L962" s="41" t="str">
        <f t="shared" ca="1" si="57"/>
        <v/>
      </c>
      <c r="M962" s="47" t="str">
        <f t="shared" ca="1" si="58"/>
        <v/>
      </c>
      <c r="R962" s="48" t="str">
        <f t="shared" si="59"/>
        <v/>
      </c>
      <c r="S962" s="48" t="str">
        <f t="shared" si="60"/>
        <v/>
      </c>
    </row>
    <row r="963" spans="5:19" x14ac:dyDescent="0.35">
      <c r="E963" s="30" t="s">
        <v>42</v>
      </c>
      <c r="F963" s="46"/>
      <c r="G963" s="46"/>
      <c r="H963" s="46"/>
      <c r="I963" s="46"/>
      <c r="J963" s="46"/>
      <c r="K963" s="46"/>
      <c r="L963" s="41" t="str">
        <f t="shared" ca="1" si="57"/>
        <v/>
      </c>
      <c r="M963" s="47" t="str">
        <f t="shared" ca="1" si="58"/>
        <v/>
      </c>
      <c r="R963" s="48" t="str">
        <f t="shared" si="59"/>
        <v/>
      </c>
      <c r="S963" s="48" t="str">
        <f t="shared" si="60"/>
        <v/>
      </c>
    </row>
    <row r="964" spans="5:19" x14ac:dyDescent="0.35">
      <c r="E964" s="30" t="s">
        <v>42</v>
      </c>
      <c r="F964" s="46"/>
      <c r="G964" s="46"/>
      <c r="H964" s="46"/>
      <c r="I964" s="46"/>
      <c r="J964" s="46"/>
      <c r="K964" s="46"/>
      <c r="L964" s="41" t="str">
        <f t="shared" ca="1" si="57"/>
        <v/>
      </c>
      <c r="M964" s="47" t="str">
        <f t="shared" ca="1" si="58"/>
        <v/>
      </c>
      <c r="R964" s="48" t="str">
        <f t="shared" si="59"/>
        <v/>
      </c>
      <c r="S964" s="48" t="str">
        <f t="shared" si="60"/>
        <v/>
      </c>
    </row>
    <row r="965" spans="5:19" x14ac:dyDescent="0.35">
      <c r="E965" s="30" t="s">
        <v>42</v>
      </c>
      <c r="F965" s="46"/>
      <c r="G965" s="46"/>
      <c r="H965" s="46"/>
      <c r="I965" s="46"/>
      <c r="J965" s="46"/>
      <c r="K965" s="46"/>
      <c r="L965" s="41" t="str">
        <f t="shared" ca="1" si="57"/>
        <v/>
      </c>
      <c r="M965" s="47" t="str">
        <f t="shared" ca="1" si="58"/>
        <v/>
      </c>
      <c r="R965" s="48" t="str">
        <f t="shared" si="59"/>
        <v/>
      </c>
      <c r="S965" s="48" t="str">
        <f t="shared" si="60"/>
        <v/>
      </c>
    </row>
    <row r="966" spans="5:19" x14ac:dyDescent="0.35">
      <c r="E966" s="30" t="s">
        <v>42</v>
      </c>
      <c r="F966" s="46"/>
      <c r="G966" s="46"/>
      <c r="H966" s="46"/>
      <c r="I966" s="46"/>
      <c r="J966" s="46"/>
      <c r="K966" s="46"/>
      <c r="L966" s="41" t="str">
        <f t="shared" ref="L966:L1029" ca="1" si="61">IF(AND(C966&lt;&gt;"",C966&lt;&gt;R966),TODAY(),IF(C966="","",L966))</f>
        <v/>
      </c>
      <c r="M966" s="47" t="str">
        <f t="shared" ref="M966:M1029" ca="1" si="62">IF(AND(C966&lt;&gt;"",C966&lt;&gt;S966),NOW(),IF(C966="","",M966))</f>
        <v/>
      </c>
      <c r="R966" s="48" t="str">
        <f t="shared" ref="R966:R1029" si="63">IF(C966="","",IF(OR(L966="",AND(ISNUMBER(R966),C966=R966)),R966,C966))</f>
        <v/>
      </c>
      <c r="S966" s="48" t="str">
        <f t="shared" ref="S966:S1029" si="64">IF(C966="","",IF(OR(M966="",AND(ISNUMBER(S966),C966=S966)),S966,C966))</f>
        <v/>
      </c>
    </row>
    <row r="967" spans="5:19" x14ac:dyDescent="0.35">
      <c r="E967" s="30" t="s">
        <v>42</v>
      </c>
      <c r="F967" s="46"/>
      <c r="G967" s="46"/>
      <c r="H967" s="46"/>
      <c r="I967" s="46"/>
      <c r="J967" s="46"/>
      <c r="K967" s="46"/>
      <c r="L967" s="41" t="str">
        <f t="shared" ca="1" si="61"/>
        <v/>
      </c>
      <c r="M967" s="47" t="str">
        <f t="shared" ca="1" si="62"/>
        <v/>
      </c>
      <c r="R967" s="48" t="str">
        <f t="shared" si="63"/>
        <v/>
      </c>
      <c r="S967" s="48" t="str">
        <f t="shared" si="64"/>
        <v/>
      </c>
    </row>
    <row r="968" spans="5:19" x14ac:dyDescent="0.35">
      <c r="E968" s="30" t="s">
        <v>42</v>
      </c>
      <c r="F968" s="46"/>
      <c r="G968" s="46"/>
      <c r="H968" s="46"/>
      <c r="I968" s="46"/>
      <c r="J968" s="46"/>
      <c r="K968" s="46"/>
      <c r="L968" s="41" t="str">
        <f t="shared" ca="1" si="61"/>
        <v/>
      </c>
      <c r="M968" s="47" t="str">
        <f t="shared" ca="1" si="62"/>
        <v/>
      </c>
      <c r="R968" s="48" t="str">
        <f t="shared" si="63"/>
        <v/>
      </c>
      <c r="S968" s="48" t="str">
        <f t="shared" si="64"/>
        <v/>
      </c>
    </row>
    <row r="969" spans="5:19" x14ac:dyDescent="0.35">
      <c r="E969" s="30" t="s">
        <v>42</v>
      </c>
      <c r="F969" s="46"/>
      <c r="G969" s="46"/>
      <c r="H969" s="46"/>
      <c r="I969" s="46"/>
      <c r="J969" s="46"/>
      <c r="K969" s="46"/>
      <c r="L969" s="41" t="str">
        <f t="shared" ca="1" si="61"/>
        <v/>
      </c>
      <c r="M969" s="47" t="str">
        <f t="shared" ca="1" si="62"/>
        <v/>
      </c>
      <c r="R969" s="48" t="str">
        <f t="shared" si="63"/>
        <v/>
      </c>
      <c r="S969" s="48" t="str">
        <f t="shared" si="64"/>
        <v/>
      </c>
    </row>
    <row r="970" spans="5:19" x14ac:dyDescent="0.35">
      <c r="E970" s="30" t="s">
        <v>42</v>
      </c>
      <c r="F970" s="46"/>
      <c r="G970" s="46"/>
      <c r="H970" s="46"/>
      <c r="I970" s="46"/>
      <c r="J970" s="46"/>
      <c r="K970" s="46"/>
      <c r="L970" s="41" t="str">
        <f t="shared" ca="1" si="61"/>
        <v/>
      </c>
      <c r="M970" s="47" t="str">
        <f t="shared" ca="1" si="62"/>
        <v/>
      </c>
      <c r="R970" s="48" t="str">
        <f t="shared" si="63"/>
        <v/>
      </c>
      <c r="S970" s="48" t="str">
        <f t="shared" si="64"/>
        <v/>
      </c>
    </row>
    <row r="971" spans="5:19" x14ac:dyDescent="0.35">
      <c r="E971" s="30" t="s">
        <v>42</v>
      </c>
      <c r="F971" s="46"/>
      <c r="G971" s="46"/>
      <c r="H971" s="46"/>
      <c r="I971" s="46"/>
      <c r="J971" s="46"/>
      <c r="K971" s="46"/>
      <c r="L971" s="41" t="str">
        <f t="shared" ca="1" si="61"/>
        <v/>
      </c>
      <c r="M971" s="47" t="str">
        <f t="shared" ca="1" si="62"/>
        <v/>
      </c>
      <c r="R971" s="48" t="str">
        <f t="shared" si="63"/>
        <v/>
      </c>
      <c r="S971" s="48" t="str">
        <f t="shared" si="64"/>
        <v/>
      </c>
    </row>
    <row r="972" spans="5:19" x14ac:dyDescent="0.35">
      <c r="E972" s="30" t="s">
        <v>42</v>
      </c>
      <c r="F972" s="46"/>
      <c r="G972" s="46"/>
      <c r="H972" s="46"/>
      <c r="I972" s="46"/>
      <c r="J972" s="46"/>
      <c r="K972" s="46"/>
      <c r="L972" s="41" t="str">
        <f t="shared" ca="1" si="61"/>
        <v/>
      </c>
      <c r="M972" s="47" t="str">
        <f t="shared" ca="1" si="62"/>
        <v/>
      </c>
      <c r="R972" s="48" t="str">
        <f t="shared" si="63"/>
        <v/>
      </c>
      <c r="S972" s="48" t="str">
        <f t="shared" si="64"/>
        <v/>
      </c>
    </row>
    <row r="973" spans="5:19" x14ac:dyDescent="0.35">
      <c r="E973" s="30" t="s">
        <v>42</v>
      </c>
      <c r="F973" s="46"/>
      <c r="G973" s="46"/>
      <c r="H973" s="46"/>
      <c r="I973" s="46"/>
      <c r="J973" s="46"/>
      <c r="K973" s="46"/>
      <c r="L973" s="41" t="str">
        <f t="shared" ca="1" si="61"/>
        <v/>
      </c>
      <c r="M973" s="47" t="str">
        <f t="shared" ca="1" si="62"/>
        <v/>
      </c>
      <c r="R973" s="48" t="str">
        <f t="shared" si="63"/>
        <v/>
      </c>
      <c r="S973" s="48" t="str">
        <f t="shared" si="64"/>
        <v/>
      </c>
    </row>
    <row r="974" spans="5:19" x14ac:dyDescent="0.35">
      <c r="E974" s="30" t="s">
        <v>42</v>
      </c>
      <c r="F974" s="46"/>
      <c r="G974" s="46"/>
      <c r="H974" s="46"/>
      <c r="I974" s="46"/>
      <c r="J974" s="46"/>
      <c r="K974" s="46"/>
      <c r="L974" s="41" t="str">
        <f t="shared" ca="1" si="61"/>
        <v/>
      </c>
      <c r="M974" s="47" t="str">
        <f t="shared" ca="1" si="62"/>
        <v/>
      </c>
      <c r="R974" s="48" t="str">
        <f t="shared" si="63"/>
        <v/>
      </c>
      <c r="S974" s="48" t="str">
        <f t="shared" si="64"/>
        <v/>
      </c>
    </row>
    <row r="975" spans="5:19" x14ac:dyDescent="0.35">
      <c r="E975" s="30" t="s">
        <v>42</v>
      </c>
      <c r="F975" s="46"/>
      <c r="G975" s="46"/>
      <c r="H975" s="46"/>
      <c r="I975" s="46"/>
      <c r="J975" s="46"/>
      <c r="K975" s="46"/>
      <c r="L975" s="41" t="str">
        <f t="shared" ca="1" si="61"/>
        <v/>
      </c>
      <c r="M975" s="47" t="str">
        <f t="shared" ca="1" si="62"/>
        <v/>
      </c>
      <c r="R975" s="48" t="str">
        <f t="shared" si="63"/>
        <v/>
      </c>
      <c r="S975" s="48" t="str">
        <f t="shared" si="64"/>
        <v/>
      </c>
    </row>
    <row r="976" spans="5:19" x14ac:dyDescent="0.35">
      <c r="E976" s="30" t="s">
        <v>42</v>
      </c>
      <c r="F976" s="46"/>
      <c r="G976" s="46"/>
      <c r="H976" s="46"/>
      <c r="I976" s="46"/>
      <c r="J976" s="46"/>
      <c r="K976" s="46"/>
      <c r="L976" s="41" t="str">
        <f t="shared" ca="1" si="61"/>
        <v/>
      </c>
      <c r="M976" s="47" t="str">
        <f t="shared" ca="1" si="62"/>
        <v/>
      </c>
      <c r="R976" s="48" t="str">
        <f t="shared" si="63"/>
        <v/>
      </c>
      <c r="S976" s="48" t="str">
        <f t="shared" si="64"/>
        <v/>
      </c>
    </row>
    <row r="977" spans="5:19" x14ac:dyDescent="0.35">
      <c r="E977" s="30" t="s">
        <v>42</v>
      </c>
      <c r="F977" s="46"/>
      <c r="G977" s="46"/>
      <c r="H977" s="46"/>
      <c r="I977" s="46"/>
      <c r="J977" s="46"/>
      <c r="K977" s="46"/>
      <c r="L977" s="41" t="str">
        <f t="shared" ca="1" si="61"/>
        <v/>
      </c>
      <c r="M977" s="47" t="str">
        <f t="shared" ca="1" si="62"/>
        <v/>
      </c>
      <c r="R977" s="48" t="str">
        <f t="shared" si="63"/>
        <v/>
      </c>
      <c r="S977" s="48" t="str">
        <f t="shared" si="64"/>
        <v/>
      </c>
    </row>
    <row r="978" spans="5:19" x14ac:dyDescent="0.35">
      <c r="E978" s="30" t="s">
        <v>42</v>
      </c>
      <c r="F978" s="46"/>
      <c r="G978" s="46"/>
      <c r="H978" s="46"/>
      <c r="I978" s="46"/>
      <c r="J978" s="46"/>
      <c r="K978" s="46"/>
      <c r="L978" s="41" t="str">
        <f t="shared" ca="1" si="61"/>
        <v/>
      </c>
      <c r="M978" s="47" t="str">
        <f t="shared" ca="1" si="62"/>
        <v/>
      </c>
      <c r="R978" s="48" t="str">
        <f t="shared" si="63"/>
        <v/>
      </c>
      <c r="S978" s="48" t="str">
        <f t="shared" si="64"/>
        <v/>
      </c>
    </row>
    <row r="979" spans="5:19" x14ac:dyDescent="0.35">
      <c r="E979" s="30" t="s">
        <v>42</v>
      </c>
      <c r="F979" s="46"/>
      <c r="G979" s="46"/>
      <c r="H979" s="46"/>
      <c r="I979" s="46"/>
      <c r="J979" s="46"/>
      <c r="K979" s="46"/>
      <c r="L979" s="41" t="str">
        <f t="shared" ca="1" si="61"/>
        <v/>
      </c>
      <c r="M979" s="47" t="str">
        <f t="shared" ca="1" si="62"/>
        <v/>
      </c>
      <c r="R979" s="48" t="str">
        <f t="shared" si="63"/>
        <v/>
      </c>
      <c r="S979" s="48" t="str">
        <f t="shared" si="64"/>
        <v/>
      </c>
    </row>
    <row r="980" spans="5:19" x14ac:dyDescent="0.35">
      <c r="E980" s="30" t="s">
        <v>42</v>
      </c>
      <c r="F980" s="46"/>
      <c r="G980" s="46"/>
      <c r="H980" s="46"/>
      <c r="I980" s="46"/>
      <c r="J980" s="46"/>
      <c r="K980" s="46"/>
      <c r="L980" s="41" t="str">
        <f t="shared" ca="1" si="61"/>
        <v/>
      </c>
      <c r="M980" s="47" t="str">
        <f t="shared" ca="1" si="62"/>
        <v/>
      </c>
      <c r="R980" s="48" t="str">
        <f t="shared" si="63"/>
        <v/>
      </c>
      <c r="S980" s="48" t="str">
        <f t="shared" si="64"/>
        <v/>
      </c>
    </row>
    <row r="981" spans="5:19" x14ac:dyDescent="0.35">
      <c r="E981" s="30" t="s">
        <v>42</v>
      </c>
      <c r="F981" s="46"/>
      <c r="G981" s="46"/>
      <c r="H981" s="46"/>
      <c r="I981" s="46"/>
      <c r="J981" s="46"/>
      <c r="K981" s="46"/>
      <c r="L981" s="41" t="str">
        <f t="shared" ca="1" si="61"/>
        <v/>
      </c>
      <c r="M981" s="47" t="str">
        <f t="shared" ca="1" si="62"/>
        <v/>
      </c>
      <c r="R981" s="48" t="str">
        <f t="shared" si="63"/>
        <v/>
      </c>
      <c r="S981" s="48" t="str">
        <f t="shared" si="64"/>
        <v/>
      </c>
    </row>
    <row r="982" spans="5:19" x14ac:dyDescent="0.35">
      <c r="E982" s="30" t="s">
        <v>42</v>
      </c>
      <c r="F982" s="46"/>
      <c r="G982" s="46"/>
      <c r="H982" s="46"/>
      <c r="I982" s="46"/>
      <c r="J982" s="46"/>
      <c r="K982" s="46"/>
      <c r="L982" s="41" t="str">
        <f t="shared" ca="1" si="61"/>
        <v/>
      </c>
      <c r="M982" s="47" t="str">
        <f t="shared" ca="1" si="62"/>
        <v/>
      </c>
      <c r="R982" s="48" t="str">
        <f t="shared" si="63"/>
        <v/>
      </c>
      <c r="S982" s="48" t="str">
        <f t="shared" si="64"/>
        <v/>
      </c>
    </row>
    <row r="983" spans="5:19" x14ac:dyDescent="0.35">
      <c r="E983" s="30" t="s">
        <v>42</v>
      </c>
      <c r="F983" s="46"/>
      <c r="G983" s="46"/>
      <c r="H983" s="46"/>
      <c r="I983" s="46"/>
      <c r="J983" s="46"/>
      <c r="K983" s="46"/>
      <c r="L983" s="41" t="str">
        <f t="shared" ca="1" si="61"/>
        <v/>
      </c>
      <c r="M983" s="47" t="str">
        <f t="shared" ca="1" si="62"/>
        <v/>
      </c>
      <c r="R983" s="48" t="str">
        <f t="shared" si="63"/>
        <v/>
      </c>
      <c r="S983" s="48" t="str">
        <f t="shared" si="64"/>
        <v/>
      </c>
    </row>
    <row r="984" spans="5:19" x14ac:dyDescent="0.35">
      <c r="E984" s="30" t="s">
        <v>42</v>
      </c>
      <c r="F984" s="46"/>
      <c r="G984" s="46"/>
      <c r="H984" s="46"/>
      <c r="I984" s="46"/>
      <c r="J984" s="46"/>
      <c r="K984" s="46"/>
      <c r="L984" s="41" t="str">
        <f t="shared" ca="1" si="61"/>
        <v/>
      </c>
      <c r="M984" s="47" t="str">
        <f t="shared" ca="1" si="62"/>
        <v/>
      </c>
      <c r="R984" s="48" t="str">
        <f t="shared" si="63"/>
        <v/>
      </c>
      <c r="S984" s="48" t="str">
        <f t="shared" si="64"/>
        <v/>
      </c>
    </row>
    <row r="985" spans="5:19" x14ac:dyDescent="0.35">
      <c r="E985" s="30" t="s">
        <v>42</v>
      </c>
      <c r="F985" s="46"/>
      <c r="G985" s="46"/>
      <c r="H985" s="46"/>
      <c r="I985" s="46"/>
      <c r="J985" s="46"/>
      <c r="K985" s="46"/>
      <c r="L985" s="41" t="str">
        <f t="shared" ca="1" si="61"/>
        <v/>
      </c>
      <c r="M985" s="47" t="str">
        <f t="shared" ca="1" si="62"/>
        <v/>
      </c>
      <c r="R985" s="48" t="str">
        <f t="shared" si="63"/>
        <v/>
      </c>
      <c r="S985" s="48" t="str">
        <f t="shared" si="64"/>
        <v/>
      </c>
    </row>
    <row r="986" spans="5:19" x14ac:dyDescent="0.35">
      <c r="E986" s="30" t="s">
        <v>42</v>
      </c>
      <c r="F986" s="46"/>
      <c r="G986" s="46"/>
      <c r="H986" s="46"/>
      <c r="I986" s="46"/>
      <c r="J986" s="46"/>
      <c r="K986" s="46"/>
      <c r="L986" s="41" t="str">
        <f t="shared" ca="1" si="61"/>
        <v/>
      </c>
      <c r="M986" s="47" t="str">
        <f t="shared" ca="1" si="62"/>
        <v/>
      </c>
      <c r="R986" s="48" t="str">
        <f t="shared" si="63"/>
        <v/>
      </c>
      <c r="S986" s="48" t="str">
        <f t="shared" si="64"/>
        <v/>
      </c>
    </row>
    <row r="987" spans="5:19" x14ac:dyDescent="0.35">
      <c r="E987" s="30" t="s">
        <v>42</v>
      </c>
      <c r="F987" s="46"/>
      <c r="G987" s="46"/>
      <c r="H987" s="46"/>
      <c r="I987" s="46"/>
      <c r="J987" s="46"/>
      <c r="K987" s="46"/>
      <c r="L987" s="41" t="str">
        <f t="shared" ca="1" si="61"/>
        <v/>
      </c>
      <c r="M987" s="47" t="str">
        <f t="shared" ca="1" si="62"/>
        <v/>
      </c>
      <c r="R987" s="48" t="str">
        <f t="shared" si="63"/>
        <v/>
      </c>
      <c r="S987" s="48" t="str">
        <f t="shared" si="64"/>
        <v/>
      </c>
    </row>
    <row r="988" spans="5:19" x14ac:dyDescent="0.35">
      <c r="E988" s="30" t="s">
        <v>42</v>
      </c>
      <c r="F988" s="46"/>
      <c r="G988" s="46"/>
      <c r="H988" s="46"/>
      <c r="I988" s="46"/>
      <c r="J988" s="46"/>
      <c r="K988" s="46"/>
      <c r="L988" s="41" t="str">
        <f t="shared" ca="1" si="61"/>
        <v/>
      </c>
      <c r="M988" s="47" t="str">
        <f t="shared" ca="1" si="62"/>
        <v/>
      </c>
      <c r="R988" s="48" t="str">
        <f t="shared" si="63"/>
        <v/>
      </c>
      <c r="S988" s="48" t="str">
        <f t="shared" si="64"/>
        <v/>
      </c>
    </row>
    <row r="989" spans="5:19" x14ac:dyDescent="0.35">
      <c r="E989" s="30" t="s">
        <v>42</v>
      </c>
      <c r="F989" s="46"/>
      <c r="G989" s="46"/>
      <c r="H989" s="46"/>
      <c r="I989" s="46"/>
      <c r="J989" s="46"/>
      <c r="K989" s="46"/>
      <c r="L989" s="41" t="str">
        <f t="shared" ca="1" si="61"/>
        <v/>
      </c>
      <c r="M989" s="47" t="str">
        <f t="shared" ca="1" si="62"/>
        <v/>
      </c>
      <c r="R989" s="48" t="str">
        <f t="shared" si="63"/>
        <v/>
      </c>
      <c r="S989" s="48" t="str">
        <f t="shared" si="64"/>
        <v/>
      </c>
    </row>
    <row r="990" spans="5:19" x14ac:dyDescent="0.35">
      <c r="E990" s="30" t="s">
        <v>42</v>
      </c>
      <c r="F990" s="46"/>
      <c r="G990" s="46"/>
      <c r="H990" s="46"/>
      <c r="I990" s="46"/>
      <c r="J990" s="46"/>
      <c r="K990" s="46"/>
      <c r="L990" s="41" t="str">
        <f t="shared" ca="1" si="61"/>
        <v/>
      </c>
      <c r="M990" s="47" t="str">
        <f t="shared" ca="1" si="62"/>
        <v/>
      </c>
      <c r="R990" s="48" t="str">
        <f t="shared" si="63"/>
        <v/>
      </c>
      <c r="S990" s="48" t="str">
        <f t="shared" si="64"/>
        <v/>
      </c>
    </row>
    <row r="991" spans="5:19" x14ac:dyDescent="0.35">
      <c r="E991" s="30" t="s">
        <v>42</v>
      </c>
      <c r="F991" s="46"/>
      <c r="G991" s="46"/>
      <c r="H991" s="46"/>
      <c r="I991" s="46"/>
      <c r="J991" s="46"/>
      <c r="K991" s="46"/>
      <c r="L991" s="41" t="str">
        <f t="shared" ca="1" si="61"/>
        <v/>
      </c>
      <c r="M991" s="47" t="str">
        <f t="shared" ca="1" si="62"/>
        <v/>
      </c>
      <c r="R991" s="48" t="str">
        <f t="shared" si="63"/>
        <v/>
      </c>
      <c r="S991" s="48" t="str">
        <f t="shared" si="64"/>
        <v/>
      </c>
    </row>
    <row r="992" spans="5:19" x14ac:dyDescent="0.35">
      <c r="E992" s="30" t="s">
        <v>42</v>
      </c>
      <c r="F992" s="46"/>
      <c r="G992" s="46"/>
      <c r="H992" s="46"/>
      <c r="I992" s="46"/>
      <c r="J992" s="46"/>
      <c r="K992" s="46"/>
      <c r="L992" s="41" t="str">
        <f t="shared" ca="1" si="61"/>
        <v/>
      </c>
      <c r="M992" s="47" t="str">
        <f t="shared" ca="1" si="62"/>
        <v/>
      </c>
      <c r="R992" s="48" t="str">
        <f t="shared" si="63"/>
        <v/>
      </c>
      <c r="S992" s="48" t="str">
        <f t="shared" si="64"/>
        <v/>
      </c>
    </row>
    <row r="993" spans="5:19" x14ac:dyDescent="0.35">
      <c r="E993" s="30" t="s">
        <v>42</v>
      </c>
      <c r="F993" s="46"/>
      <c r="G993" s="46"/>
      <c r="H993" s="46"/>
      <c r="I993" s="46"/>
      <c r="J993" s="46"/>
      <c r="K993" s="46"/>
      <c r="L993" s="41" t="str">
        <f t="shared" ca="1" si="61"/>
        <v/>
      </c>
      <c r="M993" s="47" t="str">
        <f t="shared" ca="1" si="62"/>
        <v/>
      </c>
      <c r="R993" s="48" t="str">
        <f t="shared" si="63"/>
        <v/>
      </c>
      <c r="S993" s="48" t="str">
        <f t="shared" si="64"/>
        <v/>
      </c>
    </row>
    <row r="994" spans="5:19" x14ac:dyDescent="0.35">
      <c r="E994" s="30" t="s">
        <v>42</v>
      </c>
      <c r="F994" s="46"/>
      <c r="G994" s="46"/>
      <c r="H994" s="46"/>
      <c r="I994" s="46"/>
      <c r="J994" s="46"/>
      <c r="K994" s="46"/>
      <c r="L994" s="41" t="str">
        <f t="shared" ca="1" si="61"/>
        <v/>
      </c>
      <c r="M994" s="47" t="str">
        <f t="shared" ca="1" si="62"/>
        <v/>
      </c>
      <c r="R994" s="48" t="str">
        <f t="shared" si="63"/>
        <v/>
      </c>
      <c r="S994" s="48" t="str">
        <f t="shared" si="64"/>
        <v/>
      </c>
    </row>
    <row r="995" spans="5:19" x14ac:dyDescent="0.35">
      <c r="E995" s="30" t="s">
        <v>42</v>
      </c>
      <c r="F995" s="46"/>
      <c r="G995" s="46"/>
      <c r="H995" s="46"/>
      <c r="I995" s="46"/>
      <c r="J995" s="46"/>
      <c r="K995" s="46"/>
      <c r="L995" s="41" t="str">
        <f t="shared" ca="1" si="61"/>
        <v/>
      </c>
      <c r="M995" s="47" t="str">
        <f t="shared" ca="1" si="62"/>
        <v/>
      </c>
      <c r="R995" s="48" t="str">
        <f t="shared" si="63"/>
        <v/>
      </c>
      <c r="S995" s="48" t="str">
        <f t="shared" si="64"/>
        <v/>
      </c>
    </row>
    <row r="996" spans="5:19" x14ac:dyDescent="0.35">
      <c r="E996" s="30" t="s">
        <v>42</v>
      </c>
      <c r="F996" s="46"/>
      <c r="G996" s="46"/>
      <c r="H996" s="46"/>
      <c r="I996" s="46"/>
      <c r="J996" s="46"/>
      <c r="K996" s="46"/>
      <c r="L996" s="41" t="str">
        <f t="shared" ca="1" si="61"/>
        <v/>
      </c>
      <c r="M996" s="47" t="str">
        <f t="shared" ca="1" si="62"/>
        <v/>
      </c>
      <c r="R996" s="48" t="str">
        <f t="shared" si="63"/>
        <v/>
      </c>
      <c r="S996" s="48" t="str">
        <f t="shared" si="64"/>
        <v/>
      </c>
    </row>
    <row r="997" spans="5:19" x14ac:dyDescent="0.35">
      <c r="E997" s="30" t="s">
        <v>42</v>
      </c>
      <c r="F997" s="46"/>
      <c r="G997" s="46"/>
      <c r="H997" s="46"/>
      <c r="I997" s="46"/>
      <c r="J997" s="46"/>
      <c r="K997" s="46"/>
      <c r="L997" s="41" t="str">
        <f t="shared" ca="1" si="61"/>
        <v/>
      </c>
      <c r="M997" s="47" t="str">
        <f t="shared" ca="1" si="62"/>
        <v/>
      </c>
      <c r="R997" s="48" t="str">
        <f t="shared" si="63"/>
        <v/>
      </c>
      <c r="S997" s="48" t="str">
        <f t="shared" si="64"/>
        <v/>
      </c>
    </row>
    <row r="998" spans="5:19" x14ac:dyDescent="0.35">
      <c r="E998" s="30" t="s">
        <v>42</v>
      </c>
      <c r="F998" s="46"/>
      <c r="G998" s="46"/>
      <c r="H998" s="46"/>
      <c r="I998" s="46"/>
      <c r="J998" s="46"/>
      <c r="K998" s="46"/>
      <c r="L998" s="41" t="str">
        <f t="shared" ca="1" si="61"/>
        <v/>
      </c>
      <c r="M998" s="47" t="str">
        <f t="shared" ca="1" si="62"/>
        <v/>
      </c>
      <c r="R998" s="48" t="str">
        <f t="shared" si="63"/>
        <v/>
      </c>
      <c r="S998" s="48" t="str">
        <f t="shared" si="64"/>
        <v/>
      </c>
    </row>
    <row r="999" spans="5:19" x14ac:dyDescent="0.35">
      <c r="E999" s="30" t="s">
        <v>42</v>
      </c>
      <c r="F999" s="46"/>
      <c r="G999" s="46"/>
      <c r="H999" s="46"/>
      <c r="I999" s="46"/>
      <c r="J999" s="46"/>
      <c r="K999" s="46"/>
      <c r="L999" s="41" t="str">
        <f t="shared" ca="1" si="61"/>
        <v/>
      </c>
      <c r="M999" s="47" t="str">
        <f t="shared" ca="1" si="62"/>
        <v/>
      </c>
      <c r="R999" s="48" t="str">
        <f t="shared" si="63"/>
        <v/>
      </c>
      <c r="S999" s="48" t="str">
        <f t="shared" si="64"/>
        <v/>
      </c>
    </row>
    <row r="1000" spans="5:19" x14ac:dyDescent="0.35">
      <c r="E1000" s="30" t="s">
        <v>42</v>
      </c>
      <c r="F1000" s="46"/>
      <c r="G1000" s="46"/>
      <c r="H1000" s="46"/>
      <c r="I1000" s="46"/>
      <c r="J1000" s="46"/>
      <c r="K1000" s="46"/>
      <c r="L1000" s="41" t="str">
        <f t="shared" ca="1" si="61"/>
        <v/>
      </c>
      <c r="M1000" s="47" t="str">
        <f t="shared" ca="1" si="62"/>
        <v/>
      </c>
      <c r="R1000" s="48" t="str">
        <f t="shared" si="63"/>
        <v/>
      </c>
      <c r="S1000" s="48" t="str">
        <f t="shared" si="64"/>
        <v/>
      </c>
    </row>
    <row r="1001" spans="5:19" x14ac:dyDescent="0.35">
      <c r="E1001" s="30" t="s">
        <v>42</v>
      </c>
      <c r="F1001" s="46"/>
      <c r="G1001" s="46"/>
      <c r="H1001" s="46"/>
      <c r="I1001" s="46"/>
      <c r="J1001" s="46"/>
      <c r="K1001" s="46"/>
      <c r="L1001" s="41" t="str">
        <f t="shared" ca="1" si="61"/>
        <v/>
      </c>
      <c r="M1001" s="47" t="str">
        <f t="shared" ca="1" si="62"/>
        <v/>
      </c>
      <c r="R1001" s="48" t="str">
        <f t="shared" si="63"/>
        <v/>
      </c>
      <c r="S1001" s="48" t="str">
        <f t="shared" si="64"/>
        <v/>
      </c>
    </row>
    <row r="1002" spans="5:19" x14ac:dyDescent="0.35">
      <c r="E1002" s="30" t="s">
        <v>42</v>
      </c>
      <c r="F1002" s="46"/>
      <c r="G1002" s="46"/>
      <c r="H1002" s="46"/>
      <c r="I1002" s="46"/>
      <c r="J1002" s="46"/>
      <c r="K1002" s="46"/>
      <c r="L1002" s="41" t="str">
        <f t="shared" ca="1" si="61"/>
        <v/>
      </c>
      <c r="M1002" s="47" t="str">
        <f t="shared" ca="1" si="62"/>
        <v/>
      </c>
      <c r="R1002" s="48" t="str">
        <f t="shared" si="63"/>
        <v/>
      </c>
      <c r="S1002" s="48" t="str">
        <f t="shared" si="64"/>
        <v/>
      </c>
    </row>
    <row r="1003" spans="5:19" x14ac:dyDescent="0.35">
      <c r="E1003" s="30" t="s">
        <v>42</v>
      </c>
      <c r="F1003" s="46"/>
      <c r="G1003" s="46"/>
      <c r="H1003" s="46"/>
      <c r="I1003" s="46"/>
      <c r="J1003" s="46"/>
      <c r="K1003" s="46"/>
      <c r="L1003" s="41" t="str">
        <f t="shared" ca="1" si="61"/>
        <v/>
      </c>
      <c r="M1003" s="47" t="str">
        <f t="shared" ca="1" si="62"/>
        <v/>
      </c>
      <c r="R1003" s="48" t="str">
        <f t="shared" si="63"/>
        <v/>
      </c>
      <c r="S1003" s="48" t="str">
        <f t="shared" si="64"/>
        <v/>
      </c>
    </row>
    <row r="1004" spans="5:19" x14ac:dyDescent="0.35">
      <c r="E1004" s="30" t="s">
        <v>42</v>
      </c>
      <c r="F1004" s="46"/>
      <c r="G1004" s="46"/>
      <c r="H1004" s="46"/>
      <c r="I1004" s="46"/>
      <c r="J1004" s="46"/>
      <c r="K1004" s="46"/>
      <c r="L1004" s="41" t="str">
        <f t="shared" ca="1" si="61"/>
        <v/>
      </c>
      <c r="M1004" s="47" t="str">
        <f t="shared" ca="1" si="62"/>
        <v/>
      </c>
      <c r="R1004" s="48" t="str">
        <f t="shared" si="63"/>
        <v/>
      </c>
      <c r="S1004" s="48" t="str">
        <f t="shared" si="64"/>
        <v/>
      </c>
    </row>
    <row r="1005" spans="5:19" x14ac:dyDescent="0.35">
      <c r="E1005" s="30" t="s">
        <v>42</v>
      </c>
      <c r="F1005" s="46"/>
      <c r="G1005" s="46"/>
      <c r="H1005" s="46"/>
      <c r="I1005" s="46"/>
      <c r="J1005" s="46"/>
      <c r="K1005" s="46"/>
      <c r="L1005" s="41" t="str">
        <f t="shared" ca="1" si="61"/>
        <v/>
      </c>
      <c r="M1005" s="47" t="str">
        <f t="shared" ca="1" si="62"/>
        <v/>
      </c>
      <c r="R1005" s="48" t="str">
        <f t="shared" si="63"/>
        <v/>
      </c>
      <c r="S1005" s="48" t="str">
        <f t="shared" si="64"/>
        <v/>
      </c>
    </row>
    <row r="1006" spans="5:19" x14ac:dyDescent="0.35">
      <c r="E1006" s="30" t="s">
        <v>42</v>
      </c>
      <c r="F1006" s="46"/>
      <c r="G1006" s="46"/>
      <c r="H1006" s="46"/>
      <c r="I1006" s="46"/>
      <c r="J1006" s="46"/>
      <c r="K1006" s="46"/>
      <c r="L1006" s="41" t="str">
        <f t="shared" ca="1" si="61"/>
        <v/>
      </c>
      <c r="M1006" s="47" t="str">
        <f t="shared" ca="1" si="62"/>
        <v/>
      </c>
      <c r="R1006" s="48" t="str">
        <f t="shared" si="63"/>
        <v/>
      </c>
      <c r="S1006" s="48" t="str">
        <f t="shared" si="64"/>
        <v/>
      </c>
    </row>
    <row r="1007" spans="5:19" x14ac:dyDescent="0.35">
      <c r="E1007" s="30" t="s">
        <v>42</v>
      </c>
      <c r="F1007" s="46"/>
      <c r="G1007" s="46"/>
      <c r="H1007" s="46"/>
      <c r="I1007" s="46"/>
      <c r="J1007" s="46"/>
      <c r="K1007" s="46"/>
      <c r="L1007" s="41" t="str">
        <f t="shared" ca="1" si="61"/>
        <v/>
      </c>
      <c r="M1007" s="47" t="str">
        <f t="shared" ca="1" si="62"/>
        <v/>
      </c>
      <c r="R1007" s="48" t="str">
        <f t="shared" si="63"/>
        <v/>
      </c>
      <c r="S1007" s="48" t="str">
        <f t="shared" si="64"/>
        <v/>
      </c>
    </row>
    <row r="1008" spans="5:19" x14ac:dyDescent="0.35">
      <c r="E1008" s="30" t="s">
        <v>42</v>
      </c>
      <c r="F1008" s="46"/>
      <c r="G1008" s="46"/>
      <c r="H1008" s="46"/>
      <c r="I1008" s="46"/>
      <c r="J1008" s="46"/>
      <c r="K1008" s="46"/>
      <c r="L1008" s="41" t="str">
        <f t="shared" ca="1" si="61"/>
        <v/>
      </c>
      <c r="M1008" s="47" t="str">
        <f t="shared" ca="1" si="62"/>
        <v/>
      </c>
      <c r="R1008" s="48" t="str">
        <f t="shared" si="63"/>
        <v/>
      </c>
      <c r="S1008" s="48" t="str">
        <f t="shared" si="64"/>
        <v/>
      </c>
    </row>
    <row r="1009" spans="5:19" x14ac:dyDescent="0.35">
      <c r="E1009" s="30" t="s">
        <v>42</v>
      </c>
      <c r="F1009" s="46"/>
      <c r="G1009" s="46"/>
      <c r="H1009" s="46"/>
      <c r="I1009" s="46"/>
      <c r="J1009" s="46"/>
      <c r="K1009" s="46"/>
      <c r="L1009" s="41" t="str">
        <f t="shared" ca="1" si="61"/>
        <v/>
      </c>
      <c r="M1009" s="47" t="str">
        <f t="shared" ca="1" si="62"/>
        <v/>
      </c>
      <c r="R1009" s="48" t="str">
        <f t="shared" si="63"/>
        <v/>
      </c>
      <c r="S1009" s="48" t="str">
        <f t="shared" si="64"/>
        <v/>
      </c>
    </row>
    <row r="1010" spans="5:19" x14ac:dyDescent="0.35">
      <c r="E1010" s="30" t="s">
        <v>42</v>
      </c>
      <c r="F1010" s="46"/>
      <c r="G1010" s="46"/>
      <c r="H1010" s="46"/>
      <c r="I1010" s="46"/>
      <c r="J1010" s="46"/>
      <c r="K1010" s="46"/>
      <c r="L1010" s="41" t="str">
        <f t="shared" ca="1" si="61"/>
        <v/>
      </c>
      <c r="M1010" s="47" t="str">
        <f t="shared" ca="1" si="62"/>
        <v/>
      </c>
      <c r="R1010" s="48" t="str">
        <f t="shared" si="63"/>
        <v/>
      </c>
      <c r="S1010" s="48" t="str">
        <f t="shared" si="64"/>
        <v/>
      </c>
    </row>
    <row r="1011" spans="5:19" x14ac:dyDescent="0.35">
      <c r="E1011" s="30" t="s">
        <v>42</v>
      </c>
      <c r="F1011" s="46"/>
      <c r="G1011" s="46"/>
      <c r="H1011" s="46"/>
      <c r="I1011" s="46"/>
      <c r="J1011" s="46"/>
      <c r="K1011" s="46"/>
      <c r="L1011" s="41" t="str">
        <f t="shared" ca="1" si="61"/>
        <v/>
      </c>
      <c r="M1011" s="47" t="str">
        <f t="shared" ca="1" si="62"/>
        <v/>
      </c>
      <c r="R1011" s="48" t="str">
        <f t="shared" si="63"/>
        <v/>
      </c>
      <c r="S1011" s="48" t="str">
        <f t="shared" si="64"/>
        <v/>
      </c>
    </row>
    <row r="1012" spans="5:19" x14ac:dyDescent="0.35">
      <c r="E1012" s="30" t="s">
        <v>42</v>
      </c>
      <c r="F1012" s="46"/>
      <c r="G1012" s="46"/>
      <c r="H1012" s="46"/>
      <c r="I1012" s="46"/>
      <c r="J1012" s="46"/>
      <c r="K1012" s="46"/>
      <c r="L1012" s="41" t="str">
        <f t="shared" ca="1" si="61"/>
        <v/>
      </c>
      <c r="M1012" s="47" t="str">
        <f t="shared" ca="1" si="62"/>
        <v/>
      </c>
      <c r="R1012" s="48" t="str">
        <f t="shared" si="63"/>
        <v/>
      </c>
      <c r="S1012" s="48" t="str">
        <f t="shared" si="64"/>
        <v/>
      </c>
    </row>
    <row r="1013" spans="5:19" x14ac:dyDescent="0.35">
      <c r="E1013" s="30" t="s">
        <v>42</v>
      </c>
      <c r="F1013" s="46"/>
      <c r="G1013" s="46"/>
      <c r="H1013" s="46"/>
      <c r="I1013" s="46"/>
      <c r="J1013" s="46"/>
      <c r="K1013" s="46"/>
      <c r="L1013" s="41" t="str">
        <f t="shared" ca="1" si="61"/>
        <v/>
      </c>
      <c r="M1013" s="47" t="str">
        <f t="shared" ca="1" si="62"/>
        <v/>
      </c>
      <c r="R1013" s="48" t="str">
        <f t="shared" si="63"/>
        <v/>
      </c>
      <c r="S1013" s="48" t="str">
        <f t="shared" si="64"/>
        <v/>
      </c>
    </row>
    <row r="1014" spans="5:19" x14ac:dyDescent="0.35">
      <c r="E1014" s="30" t="s">
        <v>42</v>
      </c>
      <c r="F1014" s="46"/>
      <c r="G1014" s="46"/>
      <c r="H1014" s="46"/>
      <c r="I1014" s="46"/>
      <c r="J1014" s="46"/>
      <c r="K1014" s="46"/>
      <c r="L1014" s="41" t="str">
        <f t="shared" ca="1" si="61"/>
        <v/>
      </c>
      <c r="M1014" s="47" t="str">
        <f t="shared" ca="1" si="62"/>
        <v/>
      </c>
      <c r="R1014" s="48" t="str">
        <f t="shared" si="63"/>
        <v/>
      </c>
      <c r="S1014" s="48" t="str">
        <f t="shared" si="64"/>
        <v/>
      </c>
    </row>
    <row r="1015" spans="5:19" x14ac:dyDescent="0.35">
      <c r="E1015" s="30" t="s">
        <v>42</v>
      </c>
      <c r="F1015" s="46"/>
      <c r="G1015" s="46"/>
      <c r="H1015" s="46"/>
      <c r="I1015" s="46"/>
      <c r="J1015" s="46"/>
      <c r="K1015" s="46"/>
      <c r="L1015" s="41" t="str">
        <f t="shared" ca="1" si="61"/>
        <v/>
      </c>
      <c r="M1015" s="47" t="str">
        <f t="shared" ca="1" si="62"/>
        <v/>
      </c>
      <c r="R1015" s="48" t="str">
        <f t="shared" si="63"/>
        <v/>
      </c>
      <c r="S1015" s="48" t="str">
        <f t="shared" si="64"/>
        <v/>
      </c>
    </row>
    <row r="1016" spans="5:19" x14ac:dyDescent="0.35">
      <c r="E1016" s="30" t="s">
        <v>42</v>
      </c>
      <c r="F1016" s="46"/>
      <c r="G1016" s="46"/>
      <c r="H1016" s="46"/>
      <c r="I1016" s="46"/>
      <c r="J1016" s="46"/>
      <c r="K1016" s="46"/>
      <c r="L1016" s="41" t="str">
        <f t="shared" ca="1" si="61"/>
        <v/>
      </c>
      <c r="M1016" s="47" t="str">
        <f t="shared" ca="1" si="62"/>
        <v/>
      </c>
      <c r="R1016" s="48" t="str">
        <f t="shared" si="63"/>
        <v/>
      </c>
      <c r="S1016" s="48" t="str">
        <f t="shared" si="64"/>
        <v/>
      </c>
    </row>
    <row r="1017" spans="5:19" x14ac:dyDescent="0.35">
      <c r="E1017" s="30" t="s">
        <v>42</v>
      </c>
      <c r="F1017" s="46"/>
      <c r="G1017" s="46"/>
      <c r="H1017" s="46"/>
      <c r="I1017" s="46"/>
      <c r="J1017" s="46"/>
      <c r="K1017" s="46"/>
      <c r="L1017" s="41" t="str">
        <f t="shared" ca="1" si="61"/>
        <v/>
      </c>
      <c r="M1017" s="47" t="str">
        <f t="shared" ca="1" si="62"/>
        <v/>
      </c>
      <c r="R1017" s="48" t="str">
        <f t="shared" si="63"/>
        <v/>
      </c>
      <c r="S1017" s="48" t="str">
        <f t="shared" si="64"/>
        <v/>
      </c>
    </row>
    <row r="1018" spans="5:19" x14ac:dyDescent="0.35">
      <c r="E1018" s="30" t="s">
        <v>42</v>
      </c>
      <c r="F1018" s="46"/>
      <c r="G1018" s="46"/>
      <c r="H1018" s="46"/>
      <c r="I1018" s="46"/>
      <c r="J1018" s="46"/>
      <c r="K1018" s="46"/>
      <c r="L1018" s="41" t="str">
        <f t="shared" ca="1" si="61"/>
        <v/>
      </c>
      <c r="M1018" s="47" t="str">
        <f t="shared" ca="1" si="62"/>
        <v/>
      </c>
      <c r="R1018" s="48" t="str">
        <f t="shared" si="63"/>
        <v/>
      </c>
      <c r="S1018" s="48" t="str">
        <f t="shared" si="64"/>
        <v/>
      </c>
    </row>
    <row r="1019" spans="5:19" x14ac:dyDescent="0.35">
      <c r="E1019" s="30" t="s">
        <v>42</v>
      </c>
      <c r="F1019" s="46"/>
      <c r="G1019" s="46"/>
      <c r="H1019" s="46"/>
      <c r="I1019" s="46"/>
      <c r="J1019" s="46"/>
      <c r="K1019" s="46"/>
      <c r="L1019" s="41" t="str">
        <f t="shared" ca="1" si="61"/>
        <v/>
      </c>
      <c r="M1019" s="47" t="str">
        <f t="shared" ca="1" si="62"/>
        <v/>
      </c>
      <c r="R1019" s="48" t="str">
        <f t="shared" si="63"/>
        <v/>
      </c>
      <c r="S1019" s="48" t="str">
        <f t="shared" si="64"/>
        <v/>
      </c>
    </row>
    <row r="1020" spans="5:19" x14ac:dyDescent="0.35">
      <c r="E1020" s="30" t="s">
        <v>42</v>
      </c>
      <c r="F1020" s="46"/>
      <c r="G1020" s="46"/>
      <c r="H1020" s="46"/>
      <c r="I1020" s="46"/>
      <c r="J1020" s="46"/>
      <c r="K1020" s="46"/>
      <c r="L1020" s="41" t="str">
        <f t="shared" ca="1" si="61"/>
        <v/>
      </c>
      <c r="M1020" s="47" t="str">
        <f t="shared" ca="1" si="62"/>
        <v/>
      </c>
      <c r="R1020" s="48" t="str">
        <f t="shared" si="63"/>
        <v/>
      </c>
      <c r="S1020" s="48" t="str">
        <f t="shared" si="64"/>
        <v/>
      </c>
    </row>
    <row r="1021" spans="5:19" x14ac:dyDescent="0.35">
      <c r="E1021" s="30" t="s">
        <v>42</v>
      </c>
      <c r="F1021" s="46"/>
      <c r="G1021" s="46"/>
      <c r="H1021" s="46"/>
      <c r="I1021" s="46"/>
      <c r="J1021" s="46"/>
      <c r="K1021" s="46"/>
      <c r="L1021" s="41" t="str">
        <f t="shared" ca="1" si="61"/>
        <v/>
      </c>
      <c r="M1021" s="47" t="str">
        <f t="shared" ca="1" si="62"/>
        <v/>
      </c>
      <c r="R1021" s="48" t="str">
        <f t="shared" si="63"/>
        <v/>
      </c>
      <c r="S1021" s="48" t="str">
        <f t="shared" si="64"/>
        <v/>
      </c>
    </row>
    <row r="1022" spans="5:19" x14ac:dyDescent="0.35">
      <c r="E1022" s="30" t="s">
        <v>42</v>
      </c>
      <c r="F1022" s="46"/>
      <c r="G1022" s="46"/>
      <c r="H1022" s="46"/>
      <c r="I1022" s="46"/>
      <c r="J1022" s="46"/>
      <c r="K1022" s="46"/>
      <c r="L1022" s="41" t="str">
        <f t="shared" ca="1" si="61"/>
        <v/>
      </c>
      <c r="M1022" s="47" t="str">
        <f t="shared" ca="1" si="62"/>
        <v/>
      </c>
      <c r="R1022" s="48" t="str">
        <f t="shared" si="63"/>
        <v/>
      </c>
      <c r="S1022" s="48" t="str">
        <f t="shared" si="64"/>
        <v/>
      </c>
    </row>
    <row r="1023" spans="5:19" x14ac:dyDescent="0.35">
      <c r="E1023" s="30" t="s">
        <v>42</v>
      </c>
      <c r="F1023" s="46"/>
      <c r="G1023" s="46"/>
      <c r="H1023" s="46"/>
      <c r="I1023" s="46"/>
      <c r="J1023" s="46"/>
      <c r="K1023" s="46"/>
      <c r="L1023" s="41" t="str">
        <f t="shared" ca="1" si="61"/>
        <v/>
      </c>
      <c r="M1023" s="47" t="str">
        <f t="shared" ca="1" si="62"/>
        <v/>
      </c>
      <c r="R1023" s="48" t="str">
        <f t="shared" si="63"/>
        <v/>
      </c>
      <c r="S1023" s="48" t="str">
        <f t="shared" si="64"/>
        <v/>
      </c>
    </row>
    <row r="1024" spans="5:19" x14ac:dyDescent="0.35">
      <c r="E1024" s="30" t="s">
        <v>42</v>
      </c>
      <c r="F1024" s="46"/>
      <c r="G1024" s="46"/>
      <c r="H1024" s="46"/>
      <c r="I1024" s="46"/>
      <c r="J1024" s="46"/>
      <c r="K1024" s="46"/>
      <c r="L1024" s="41" t="str">
        <f t="shared" ca="1" si="61"/>
        <v/>
      </c>
      <c r="M1024" s="47" t="str">
        <f t="shared" ca="1" si="62"/>
        <v/>
      </c>
      <c r="R1024" s="48" t="str">
        <f t="shared" si="63"/>
        <v/>
      </c>
      <c r="S1024" s="48" t="str">
        <f t="shared" si="64"/>
        <v/>
      </c>
    </row>
    <row r="1025" spans="5:19" x14ac:dyDescent="0.35">
      <c r="E1025" s="30" t="s">
        <v>42</v>
      </c>
      <c r="F1025" s="46"/>
      <c r="G1025" s="46"/>
      <c r="H1025" s="46"/>
      <c r="I1025" s="46"/>
      <c r="J1025" s="46"/>
      <c r="K1025" s="46"/>
      <c r="L1025" s="41" t="str">
        <f t="shared" ca="1" si="61"/>
        <v/>
      </c>
      <c r="M1025" s="47" t="str">
        <f t="shared" ca="1" si="62"/>
        <v/>
      </c>
      <c r="R1025" s="48" t="str">
        <f t="shared" si="63"/>
        <v/>
      </c>
      <c r="S1025" s="48" t="str">
        <f t="shared" si="64"/>
        <v/>
      </c>
    </row>
    <row r="1026" spans="5:19" x14ac:dyDescent="0.35">
      <c r="E1026" s="30" t="s">
        <v>42</v>
      </c>
      <c r="F1026" s="46"/>
      <c r="G1026" s="46"/>
      <c r="H1026" s="46"/>
      <c r="I1026" s="46"/>
      <c r="J1026" s="46"/>
      <c r="K1026" s="46"/>
      <c r="L1026" s="41" t="str">
        <f t="shared" ca="1" si="61"/>
        <v/>
      </c>
      <c r="M1026" s="47" t="str">
        <f t="shared" ca="1" si="62"/>
        <v/>
      </c>
      <c r="R1026" s="48" t="str">
        <f t="shared" si="63"/>
        <v/>
      </c>
      <c r="S1026" s="48" t="str">
        <f t="shared" si="64"/>
        <v/>
      </c>
    </row>
    <row r="1027" spans="5:19" x14ac:dyDescent="0.35">
      <c r="E1027" s="30" t="s">
        <v>42</v>
      </c>
      <c r="F1027" s="46"/>
      <c r="G1027" s="46"/>
      <c r="H1027" s="46"/>
      <c r="I1027" s="46"/>
      <c r="J1027" s="46"/>
      <c r="K1027" s="46"/>
      <c r="L1027" s="41" t="str">
        <f t="shared" ca="1" si="61"/>
        <v/>
      </c>
      <c r="M1027" s="47" t="str">
        <f t="shared" ca="1" si="62"/>
        <v/>
      </c>
      <c r="R1027" s="48" t="str">
        <f t="shared" si="63"/>
        <v/>
      </c>
      <c r="S1027" s="48" t="str">
        <f t="shared" si="64"/>
        <v/>
      </c>
    </row>
    <row r="1028" spans="5:19" x14ac:dyDescent="0.35">
      <c r="E1028" s="30" t="s">
        <v>42</v>
      </c>
      <c r="F1028" s="46"/>
      <c r="G1028" s="46"/>
      <c r="H1028" s="46"/>
      <c r="I1028" s="46"/>
      <c r="J1028" s="46"/>
      <c r="K1028" s="46"/>
      <c r="L1028" s="41" t="str">
        <f t="shared" ca="1" si="61"/>
        <v/>
      </c>
      <c r="M1028" s="47" t="str">
        <f t="shared" ca="1" si="62"/>
        <v/>
      </c>
      <c r="R1028" s="48" t="str">
        <f t="shared" si="63"/>
        <v/>
      </c>
      <c r="S1028" s="48" t="str">
        <f t="shared" si="64"/>
        <v/>
      </c>
    </row>
    <row r="1029" spans="5:19" x14ac:dyDescent="0.35">
      <c r="E1029" s="30" t="s">
        <v>42</v>
      </c>
      <c r="F1029" s="46"/>
      <c r="G1029" s="46"/>
      <c r="H1029" s="46"/>
      <c r="I1029" s="46"/>
      <c r="J1029" s="46"/>
      <c r="K1029" s="46"/>
      <c r="L1029" s="41" t="str">
        <f t="shared" ca="1" si="61"/>
        <v/>
      </c>
      <c r="M1029" s="47" t="str">
        <f t="shared" ca="1" si="62"/>
        <v/>
      </c>
      <c r="R1029" s="48" t="str">
        <f t="shared" si="63"/>
        <v/>
      </c>
      <c r="S1029" s="48" t="str">
        <f t="shared" si="64"/>
        <v/>
      </c>
    </row>
    <row r="1030" spans="5:19" x14ac:dyDescent="0.35">
      <c r="E1030" s="30" t="s">
        <v>42</v>
      </c>
      <c r="F1030" s="46"/>
      <c r="G1030" s="46"/>
      <c r="H1030" s="46"/>
      <c r="I1030" s="46"/>
      <c r="J1030" s="46"/>
      <c r="K1030" s="46"/>
      <c r="L1030" s="41" t="str">
        <f t="shared" ref="L1030:L1093" ca="1" si="65">IF(AND(C1030&lt;&gt;"",C1030&lt;&gt;R1030),TODAY(),IF(C1030="","",L1030))</f>
        <v/>
      </c>
      <c r="M1030" s="47" t="str">
        <f t="shared" ref="M1030:M1093" ca="1" si="66">IF(AND(C1030&lt;&gt;"",C1030&lt;&gt;S1030),NOW(),IF(C1030="","",M1030))</f>
        <v/>
      </c>
      <c r="R1030" s="48" t="str">
        <f t="shared" ref="R1030:R1093" si="67">IF(C1030="","",IF(OR(L1030="",AND(ISNUMBER(R1030),C1030=R1030)),R1030,C1030))</f>
        <v/>
      </c>
      <c r="S1030" s="48" t="str">
        <f t="shared" ref="S1030:S1093" si="68">IF(C1030="","",IF(OR(M1030="",AND(ISNUMBER(S1030),C1030=S1030)),S1030,C1030))</f>
        <v/>
      </c>
    </row>
    <row r="1031" spans="5:19" x14ac:dyDescent="0.35">
      <c r="E1031" s="30" t="s">
        <v>42</v>
      </c>
      <c r="F1031" s="46"/>
      <c r="G1031" s="46"/>
      <c r="H1031" s="46"/>
      <c r="I1031" s="46"/>
      <c r="J1031" s="46"/>
      <c r="K1031" s="46"/>
      <c r="L1031" s="41" t="str">
        <f t="shared" ca="1" si="65"/>
        <v/>
      </c>
      <c r="M1031" s="47" t="str">
        <f t="shared" ca="1" si="66"/>
        <v/>
      </c>
      <c r="R1031" s="48" t="str">
        <f t="shared" si="67"/>
        <v/>
      </c>
      <c r="S1031" s="48" t="str">
        <f t="shared" si="68"/>
        <v/>
      </c>
    </row>
    <row r="1032" spans="5:19" x14ac:dyDescent="0.35">
      <c r="E1032" s="30" t="s">
        <v>42</v>
      </c>
      <c r="F1032" s="46"/>
      <c r="G1032" s="46"/>
      <c r="H1032" s="46"/>
      <c r="I1032" s="46"/>
      <c r="J1032" s="46"/>
      <c r="K1032" s="46"/>
      <c r="L1032" s="41" t="str">
        <f t="shared" ca="1" si="65"/>
        <v/>
      </c>
      <c r="M1032" s="47" t="str">
        <f t="shared" ca="1" si="66"/>
        <v/>
      </c>
      <c r="R1032" s="48" t="str">
        <f t="shared" si="67"/>
        <v/>
      </c>
      <c r="S1032" s="48" t="str">
        <f t="shared" si="68"/>
        <v/>
      </c>
    </row>
    <row r="1033" spans="5:19" x14ac:dyDescent="0.35">
      <c r="E1033" s="30" t="s">
        <v>42</v>
      </c>
      <c r="F1033" s="46"/>
      <c r="G1033" s="46"/>
      <c r="H1033" s="46"/>
      <c r="I1033" s="46"/>
      <c r="J1033" s="46"/>
      <c r="K1033" s="46"/>
      <c r="L1033" s="41" t="str">
        <f t="shared" ca="1" si="65"/>
        <v/>
      </c>
      <c r="M1033" s="47" t="str">
        <f t="shared" ca="1" si="66"/>
        <v/>
      </c>
      <c r="R1033" s="48" t="str">
        <f t="shared" si="67"/>
        <v/>
      </c>
      <c r="S1033" s="48" t="str">
        <f t="shared" si="68"/>
        <v/>
      </c>
    </row>
    <row r="1034" spans="5:19" x14ac:dyDescent="0.35">
      <c r="E1034" s="30" t="s">
        <v>42</v>
      </c>
      <c r="F1034" s="46"/>
      <c r="G1034" s="46"/>
      <c r="H1034" s="46"/>
      <c r="I1034" s="46"/>
      <c r="J1034" s="46"/>
      <c r="K1034" s="46"/>
      <c r="L1034" s="41" t="str">
        <f t="shared" ca="1" si="65"/>
        <v/>
      </c>
      <c r="M1034" s="47" t="str">
        <f t="shared" ca="1" si="66"/>
        <v/>
      </c>
      <c r="R1034" s="48" t="str">
        <f t="shared" si="67"/>
        <v/>
      </c>
      <c r="S1034" s="48" t="str">
        <f t="shared" si="68"/>
        <v/>
      </c>
    </row>
    <row r="1035" spans="5:19" x14ac:dyDescent="0.35">
      <c r="E1035" s="30" t="s">
        <v>42</v>
      </c>
      <c r="F1035" s="46"/>
      <c r="G1035" s="46"/>
      <c r="H1035" s="46"/>
      <c r="I1035" s="46"/>
      <c r="J1035" s="46"/>
      <c r="K1035" s="46"/>
      <c r="L1035" s="41" t="str">
        <f t="shared" ca="1" si="65"/>
        <v/>
      </c>
      <c r="M1035" s="47" t="str">
        <f t="shared" ca="1" si="66"/>
        <v/>
      </c>
      <c r="R1035" s="48" t="str">
        <f t="shared" si="67"/>
        <v/>
      </c>
      <c r="S1035" s="48" t="str">
        <f t="shared" si="68"/>
        <v/>
      </c>
    </row>
    <row r="1036" spans="5:19" x14ac:dyDescent="0.35">
      <c r="E1036" s="30" t="s">
        <v>42</v>
      </c>
      <c r="F1036" s="46"/>
      <c r="G1036" s="46"/>
      <c r="H1036" s="46"/>
      <c r="I1036" s="46"/>
      <c r="J1036" s="46"/>
      <c r="K1036" s="46"/>
      <c r="L1036" s="41" t="str">
        <f t="shared" ca="1" si="65"/>
        <v/>
      </c>
      <c r="M1036" s="47" t="str">
        <f t="shared" ca="1" si="66"/>
        <v/>
      </c>
      <c r="R1036" s="48" t="str">
        <f t="shared" si="67"/>
        <v/>
      </c>
      <c r="S1036" s="48" t="str">
        <f t="shared" si="68"/>
        <v/>
      </c>
    </row>
    <row r="1037" spans="5:19" x14ac:dyDescent="0.35">
      <c r="E1037" s="30" t="s">
        <v>42</v>
      </c>
      <c r="F1037" s="46"/>
      <c r="G1037" s="46"/>
      <c r="H1037" s="46"/>
      <c r="I1037" s="46"/>
      <c r="J1037" s="46"/>
      <c r="K1037" s="46"/>
      <c r="L1037" s="41" t="str">
        <f t="shared" ca="1" si="65"/>
        <v/>
      </c>
      <c r="M1037" s="47" t="str">
        <f t="shared" ca="1" si="66"/>
        <v/>
      </c>
      <c r="R1037" s="48" t="str">
        <f t="shared" si="67"/>
        <v/>
      </c>
      <c r="S1037" s="48" t="str">
        <f t="shared" si="68"/>
        <v/>
      </c>
    </row>
    <row r="1038" spans="5:19" x14ac:dyDescent="0.35">
      <c r="E1038" s="30" t="s">
        <v>42</v>
      </c>
      <c r="F1038" s="46"/>
      <c r="G1038" s="46"/>
      <c r="H1038" s="46"/>
      <c r="I1038" s="46"/>
      <c r="J1038" s="46"/>
      <c r="K1038" s="46"/>
      <c r="L1038" s="41" t="str">
        <f t="shared" ca="1" si="65"/>
        <v/>
      </c>
      <c r="M1038" s="47" t="str">
        <f t="shared" ca="1" si="66"/>
        <v/>
      </c>
      <c r="R1038" s="48" t="str">
        <f t="shared" si="67"/>
        <v/>
      </c>
      <c r="S1038" s="48" t="str">
        <f t="shared" si="68"/>
        <v/>
      </c>
    </row>
    <row r="1039" spans="5:19" x14ac:dyDescent="0.35">
      <c r="E1039" s="30" t="s">
        <v>42</v>
      </c>
      <c r="F1039" s="46"/>
      <c r="G1039" s="46"/>
      <c r="H1039" s="46"/>
      <c r="I1039" s="46"/>
      <c r="J1039" s="46"/>
      <c r="K1039" s="46"/>
      <c r="L1039" s="41" t="str">
        <f t="shared" ca="1" si="65"/>
        <v/>
      </c>
      <c r="M1039" s="47" t="str">
        <f t="shared" ca="1" si="66"/>
        <v/>
      </c>
      <c r="R1039" s="48" t="str">
        <f t="shared" si="67"/>
        <v/>
      </c>
      <c r="S1039" s="48" t="str">
        <f t="shared" si="68"/>
        <v/>
      </c>
    </row>
    <row r="1040" spans="5:19" x14ac:dyDescent="0.35">
      <c r="E1040" s="30" t="s">
        <v>42</v>
      </c>
      <c r="F1040" s="46"/>
      <c r="G1040" s="46"/>
      <c r="H1040" s="46"/>
      <c r="I1040" s="46"/>
      <c r="J1040" s="46"/>
      <c r="K1040" s="46"/>
      <c r="L1040" s="41" t="str">
        <f t="shared" ca="1" si="65"/>
        <v/>
      </c>
      <c r="M1040" s="47" t="str">
        <f t="shared" ca="1" si="66"/>
        <v/>
      </c>
      <c r="R1040" s="48" t="str">
        <f t="shared" si="67"/>
        <v/>
      </c>
      <c r="S1040" s="48" t="str">
        <f t="shared" si="68"/>
        <v/>
      </c>
    </row>
    <row r="1041" spans="5:19" x14ac:dyDescent="0.35">
      <c r="E1041" s="30" t="s">
        <v>42</v>
      </c>
      <c r="F1041" s="46"/>
      <c r="G1041" s="46"/>
      <c r="H1041" s="46"/>
      <c r="I1041" s="46"/>
      <c r="J1041" s="46"/>
      <c r="K1041" s="46"/>
      <c r="L1041" s="41" t="str">
        <f t="shared" ca="1" si="65"/>
        <v/>
      </c>
      <c r="M1041" s="47" t="str">
        <f t="shared" ca="1" si="66"/>
        <v/>
      </c>
      <c r="R1041" s="48" t="str">
        <f t="shared" si="67"/>
        <v/>
      </c>
      <c r="S1041" s="48" t="str">
        <f t="shared" si="68"/>
        <v/>
      </c>
    </row>
    <row r="1042" spans="5:19" x14ac:dyDescent="0.35">
      <c r="E1042" s="30" t="s">
        <v>42</v>
      </c>
      <c r="F1042" s="46"/>
      <c r="G1042" s="46"/>
      <c r="H1042" s="46"/>
      <c r="I1042" s="46"/>
      <c r="J1042" s="46"/>
      <c r="K1042" s="46"/>
      <c r="L1042" s="41" t="str">
        <f t="shared" ca="1" si="65"/>
        <v/>
      </c>
      <c r="M1042" s="47" t="str">
        <f t="shared" ca="1" si="66"/>
        <v/>
      </c>
      <c r="R1042" s="48" t="str">
        <f t="shared" si="67"/>
        <v/>
      </c>
      <c r="S1042" s="48" t="str">
        <f t="shared" si="68"/>
        <v/>
      </c>
    </row>
    <row r="1043" spans="5:19" x14ac:dyDescent="0.35">
      <c r="E1043" s="30" t="s">
        <v>42</v>
      </c>
      <c r="F1043" s="46"/>
      <c r="G1043" s="46"/>
      <c r="H1043" s="46"/>
      <c r="I1043" s="46"/>
      <c r="J1043" s="46"/>
      <c r="K1043" s="46"/>
      <c r="L1043" s="41" t="str">
        <f t="shared" ca="1" si="65"/>
        <v/>
      </c>
      <c r="M1043" s="47" t="str">
        <f t="shared" ca="1" si="66"/>
        <v/>
      </c>
      <c r="R1043" s="48" t="str">
        <f t="shared" si="67"/>
        <v/>
      </c>
      <c r="S1043" s="48" t="str">
        <f t="shared" si="68"/>
        <v/>
      </c>
    </row>
    <row r="1044" spans="5:19" x14ac:dyDescent="0.35">
      <c r="E1044" s="30" t="s">
        <v>42</v>
      </c>
      <c r="F1044" s="46"/>
      <c r="G1044" s="46"/>
      <c r="H1044" s="46"/>
      <c r="I1044" s="46"/>
      <c r="J1044" s="46"/>
      <c r="K1044" s="46"/>
      <c r="L1044" s="41" t="str">
        <f t="shared" ca="1" si="65"/>
        <v/>
      </c>
      <c r="M1044" s="47" t="str">
        <f t="shared" ca="1" si="66"/>
        <v/>
      </c>
      <c r="R1044" s="48" t="str">
        <f t="shared" si="67"/>
        <v/>
      </c>
      <c r="S1044" s="48" t="str">
        <f t="shared" si="68"/>
        <v/>
      </c>
    </row>
    <row r="1045" spans="5:19" x14ac:dyDescent="0.35">
      <c r="E1045" s="30" t="s">
        <v>42</v>
      </c>
      <c r="F1045" s="46"/>
      <c r="G1045" s="46"/>
      <c r="H1045" s="46"/>
      <c r="I1045" s="46"/>
      <c r="J1045" s="46"/>
      <c r="K1045" s="46"/>
      <c r="L1045" s="41" t="str">
        <f t="shared" ca="1" si="65"/>
        <v/>
      </c>
      <c r="M1045" s="47" t="str">
        <f t="shared" ca="1" si="66"/>
        <v/>
      </c>
      <c r="R1045" s="48" t="str">
        <f t="shared" si="67"/>
        <v/>
      </c>
      <c r="S1045" s="48" t="str">
        <f t="shared" si="68"/>
        <v/>
      </c>
    </row>
    <row r="1046" spans="5:19" x14ac:dyDescent="0.35">
      <c r="E1046" s="30" t="s">
        <v>42</v>
      </c>
      <c r="F1046" s="46"/>
      <c r="G1046" s="46"/>
      <c r="H1046" s="46"/>
      <c r="I1046" s="46"/>
      <c r="J1046" s="46"/>
      <c r="K1046" s="46"/>
      <c r="L1046" s="41" t="str">
        <f t="shared" ca="1" si="65"/>
        <v/>
      </c>
      <c r="M1046" s="47" t="str">
        <f t="shared" ca="1" si="66"/>
        <v/>
      </c>
      <c r="R1046" s="48" t="str">
        <f t="shared" si="67"/>
        <v/>
      </c>
      <c r="S1046" s="48" t="str">
        <f t="shared" si="68"/>
        <v/>
      </c>
    </row>
    <row r="1047" spans="5:19" x14ac:dyDescent="0.35">
      <c r="E1047" s="30" t="s">
        <v>42</v>
      </c>
      <c r="F1047" s="46"/>
      <c r="G1047" s="46"/>
      <c r="H1047" s="46"/>
      <c r="I1047" s="46"/>
      <c r="J1047" s="46"/>
      <c r="K1047" s="46"/>
      <c r="L1047" s="41" t="str">
        <f t="shared" ca="1" si="65"/>
        <v/>
      </c>
      <c r="M1047" s="47" t="str">
        <f t="shared" ca="1" si="66"/>
        <v/>
      </c>
      <c r="R1047" s="48" t="str">
        <f t="shared" si="67"/>
        <v/>
      </c>
      <c r="S1047" s="48" t="str">
        <f t="shared" si="68"/>
        <v/>
      </c>
    </row>
    <row r="1048" spans="5:19" x14ac:dyDescent="0.35">
      <c r="E1048" s="30" t="s">
        <v>42</v>
      </c>
      <c r="F1048" s="46"/>
      <c r="G1048" s="46"/>
      <c r="H1048" s="46"/>
      <c r="I1048" s="46"/>
      <c r="J1048" s="46"/>
      <c r="K1048" s="46"/>
      <c r="L1048" s="41" t="str">
        <f t="shared" ca="1" si="65"/>
        <v/>
      </c>
      <c r="M1048" s="47" t="str">
        <f t="shared" ca="1" si="66"/>
        <v/>
      </c>
      <c r="R1048" s="48" t="str">
        <f t="shared" si="67"/>
        <v/>
      </c>
      <c r="S1048" s="48" t="str">
        <f t="shared" si="68"/>
        <v/>
      </c>
    </row>
    <row r="1049" spans="5:19" x14ac:dyDescent="0.35">
      <c r="E1049" s="30" t="s">
        <v>42</v>
      </c>
      <c r="F1049" s="46"/>
      <c r="G1049" s="46"/>
      <c r="H1049" s="46"/>
      <c r="I1049" s="46"/>
      <c r="J1049" s="46"/>
      <c r="K1049" s="46"/>
      <c r="L1049" s="41" t="str">
        <f t="shared" ca="1" si="65"/>
        <v/>
      </c>
      <c r="M1049" s="47" t="str">
        <f t="shared" ca="1" si="66"/>
        <v/>
      </c>
      <c r="R1049" s="48" t="str">
        <f t="shared" si="67"/>
        <v/>
      </c>
      <c r="S1049" s="48" t="str">
        <f t="shared" si="68"/>
        <v/>
      </c>
    </row>
    <row r="1050" spans="5:19" x14ac:dyDescent="0.35">
      <c r="E1050" s="30" t="s">
        <v>42</v>
      </c>
      <c r="F1050" s="46"/>
      <c r="G1050" s="46"/>
      <c r="H1050" s="46"/>
      <c r="I1050" s="46"/>
      <c r="J1050" s="46"/>
      <c r="K1050" s="46"/>
      <c r="L1050" s="41" t="str">
        <f t="shared" ca="1" si="65"/>
        <v/>
      </c>
      <c r="M1050" s="47" t="str">
        <f t="shared" ca="1" si="66"/>
        <v/>
      </c>
      <c r="R1050" s="48" t="str">
        <f t="shared" si="67"/>
        <v/>
      </c>
      <c r="S1050" s="48" t="str">
        <f t="shared" si="68"/>
        <v/>
      </c>
    </row>
    <row r="1051" spans="5:19" x14ac:dyDescent="0.35">
      <c r="E1051" s="30" t="s">
        <v>42</v>
      </c>
      <c r="F1051" s="46"/>
      <c r="G1051" s="46"/>
      <c r="H1051" s="46"/>
      <c r="I1051" s="46"/>
      <c r="J1051" s="46"/>
      <c r="K1051" s="46"/>
      <c r="L1051" s="41" t="str">
        <f t="shared" ca="1" si="65"/>
        <v/>
      </c>
      <c r="M1051" s="47" t="str">
        <f t="shared" ca="1" si="66"/>
        <v/>
      </c>
      <c r="R1051" s="48" t="str">
        <f t="shared" si="67"/>
        <v/>
      </c>
      <c r="S1051" s="48" t="str">
        <f t="shared" si="68"/>
        <v/>
      </c>
    </row>
    <row r="1052" spans="5:19" x14ac:dyDescent="0.35">
      <c r="E1052" s="30" t="s">
        <v>42</v>
      </c>
      <c r="F1052" s="46"/>
      <c r="G1052" s="46"/>
      <c r="H1052" s="46"/>
      <c r="I1052" s="46"/>
      <c r="J1052" s="46"/>
      <c r="K1052" s="46"/>
      <c r="L1052" s="41" t="str">
        <f t="shared" ca="1" si="65"/>
        <v/>
      </c>
      <c r="M1052" s="47" t="str">
        <f t="shared" ca="1" si="66"/>
        <v/>
      </c>
      <c r="R1052" s="48" t="str">
        <f t="shared" si="67"/>
        <v/>
      </c>
      <c r="S1052" s="48" t="str">
        <f t="shared" si="68"/>
        <v/>
      </c>
    </row>
    <row r="1053" spans="5:19" x14ac:dyDescent="0.35">
      <c r="E1053" s="30" t="s">
        <v>42</v>
      </c>
      <c r="F1053" s="46"/>
      <c r="G1053" s="46"/>
      <c r="H1053" s="46"/>
      <c r="I1053" s="46"/>
      <c r="J1053" s="46"/>
      <c r="K1053" s="46"/>
      <c r="L1053" s="41" t="str">
        <f t="shared" ca="1" si="65"/>
        <v/>
      </c>
      <c r="M1053" s="47" t="str">
        <f t="shared" ca="1" si="66"/>
        <v/>
      </c>
      <c r="R1053" s="48" t="str">
        <f t="shared" si="67"/>
        <v/>
      </c>
      <c r="S1053" s="48" t="str">
        <f t="shared" si="68"/>
        <v/>
      </c>
    </row>
    <row r="1054" spans="5:19" x14ac:dyDescent="0.35">
      <c r="E1054" s="30" t="s">
        <v>42</v>
      </c>
      <c r="F1054" s="46"/>
      <c r="G1054" s="46"/>
      <c r="H1054" s="46"/>
      <c r="I1054" s="46"/>
      <c r="J1054" s="46"/>
      <c r="K1054" s="46"/>
      <c r="L1054" s="41" t="str">
        <f t="shared" ca="1" si="65"/>
        <v/>
      </c>
      <c r="M1054" s="47" t="str">
        <f t="shared" ca="1" si="66"/>
        <v/>
      </c>
      <c r="R1054" s="48" t="str">
        <f t="shared" si="67"/>
        <v/>
      </c>
      <c r="S1054" s="48" t="str">
        <f t="shared" si="68"/>
        <v/>
      </c>
    </row>
    <row r="1055" spans="5:19" x14ac:dyDescent="0.35">
      <c r="E1055" s="30" t="s">
        <v>42</v>
      </c>
      <c r="F1055" s="46"/>
      <c r="G1055" s="46"/>
      <c r="H1055" s="46"/>
      <c r="I1055" s="46"/>
      <c r="J1055" s="46"/>
      <c r="K1055" s="46"/>
      <c r="L1055" s="41" t="str">
        <f t="shared" ca="1" si="65"/>
        <v/>
      </c>
      <c r="M1055" s="47" t="str">
        <f t="shared" ca="1" si="66"/>
        <v/>
      </c>
      <c r="R1055" s="48" t="str">
        <f t="shared" si="67"/>
        <v/>
      </c>
      <c r="S1055" s="48" t="str">
        <f t="shared" si="68"/>
        <v/>
      </c>
    </row>
    <row r="1056" spans="5:19" x14ac:dyDescent="0.35">
      <c r="E1056" s="30" t="s">
        <v>42</v>
      </c>
      <c r="F1056" s="46"/>
      <c r="G1056" s="46"/>
      <c r="H1056" s="46"/>
      <c r="I1056" s="46"/>
      <c r="J1056" s="46"/>
      <c r="K1056" s="46"/>
      <c r="L1056" s="41" t="str">
        <f t="shared" ca="1" si="65"/>
        <v/>
      </c>
      <c r="M1056" s="47" t="str">
        <f t="shared" ca="1" si="66"/>
        <v/>
      </c>
      <c r="R1056" s="48" t="str">
        <f t="shared" si="67"/>
        <v/>
      </c>
      <c r="S1056" s="48" t="str">
        <f t="shared" si="68"/>
        <v/>
      </c>
    </row>
    <row r="1057" spans="5:19" x14ac:dyDescent="0.35">
      <c r="E1057" s="30" t="s">
        <v>42</v>
      </c>
      <c r="F1057" s="46"/>
      <c r="G1057" s="46"/>
      <c r="H1057" s="46"/>
      <c r="I1057" s="46"/>
      <c r="J1057" s="46"/>
      <c r="K1057" s="46"/>
      <c r="L1057" s="41" t="str">
        <f t="shared" ca="1" si="65"/>
        <v/>
      </c>
      <c r="M1057" s="47" t="str">
        <f t="shared" ca="1" si="66"/>
        <v/>
      </c>
      <c r="R1057" s="48" t="str">
        <f t="shared" si="67"/>
        <v/>
      </c>
      <c r="S1057" s="48" t="str">
        <f t="shared" si="68"/>
        <v/>
      </c>
    </row>
    <row r="1058" spans="5:19" x14ac:dyDescent="0.35">
      <c r="E1058" s="30" t="s">
        <v>42</v>
      </c>
      <c r="F1058" s="46"/>
      <c r="G1058" s="46"/>
      <c r="H1058" s="46"/>
      <c r="I1058" s="46"/>
      <c r="J1058" s="46"/>
      <c r="K1058" s="46"/>
      <c r="L1058" s="41" t="str">
        <f t="shared" ca="1" si="65"/>
        <v/>
      </c>
      <c r="M1058" s="47" t="str">
        <f t="shared" ca="1" si="66"/>
        <v/>
      </c>
      <c r="R1058" s="48" t="str">
        <f t="shared" si="67"/>
        <v/>
      </c>
      <c r="S1058" s="48" t="str">
        <f t="shared" si="68"/>
        <v/>
      </c>
    </row>
    <row r="1059" spans="5:19" x14ac:dyDescent="0.35">
      <c r="E1059" s="30" t="s">
        <v>42</v>
      </c>
      <c r="F1059" s="46"/>
      <c r="G1059" s="46"/>
      <c r="H1059" s="46"/>
      <c r="I1059" s="46"/>
      <c r="J1059" s="46"/>
      <c r="K1059" s="46"/>
      <c r="L1059" s="41" t="str">
        <f t="shared" ca="1" si="65"/>
        <v/>
      </c>
      <c r="M1059" s="47" t="str">
        <f t="shared" ca="1" si="66"/>
        <v/>
      </c>
      <c r="R1059" s="48" t="str">
        <f t="shared" si="67"/>
        <v/>
      </c>
      <c r="S1059" s="48" t="str">
        <f t="shared" si="68"/>
        <v/>
      </c>
    </row>
    <row r="1060" spans="5:19" x14ac:dyDescent="0.35">
      <c r="E1060" s="30" t="s">
        <v>42</v>
      </c>
      <c r="F1060" s="46"/>
      <c r="G1060" s="46"/>
      <c r="H1060" s="46"/>
      <c r="I1060" s="46"/>
      <c r="J1060" s="46"/>
      <c r="K1060" s="46"/>
      <c r="L1060" s="41" t="str">
        <f t="shared" ca="1" si="65"/>
        <v/>
      </c>
      <c r="M1060" s="47" t="str">
        <f t="shared" ca="1" si="66"/>
        <v/>
      </c>
      <c r="R1060" s="48" t="str">
        <f t="shared" si="67"/>
        <v/>
      </c>
      <c r="S1060" s="48" t="str">
        <f t="shared" si="68"/>
        <v/>
      </c>
    </row>
    <row r="1061" spans="5:19" x14ac:dyDescent="0.35">
      <c r="E1061" s="30" t="s">
        <v>42</v>
      </c>
      <c r="F1061" s="46"/>
      <c r="G1061" s="46"/>
      <c r="H1061" s="46"/>
      <c r="I1061" s="46"/>
      <c r="J1061" s="46"/>
      <c r="K1061" s="46"/>
      <c r="L1061" s="41" t="str">
        <f t="shared" ca="1" si="65"/>
        <v/>
      </c>
      <c r="M1061" s="47" t="str">
        <f t="shared" ca="1" si="66"/>
        <v/>
      </c>
      <c r="R1061" s="48" t="str">
        <f t="shared" si="67"/>
        <v/>
      </c>
      <c r="S1061" s="48" t="str">
        <f t="shared" si="68"/>
        <v/>
      </c>
    </row>
    <row r="1062" spans="5:19" x14ac:dyDescent="0.35">
      <c r="E1062" s="30" t="s">
        <v>42</v>
      </c>
      <c r="F1062" s="46"/>
      <c r="G1062" s="46"/>
      <c r="H1062" s="46"/>
      <c r="I1062" s="46"/>
      <c r="J1062" s="46"/>
      <c r="K1062" s="46"/>
      <c r="L1062" s="41" t="str">
        <f t="shared" ca="1" si="65"/>
        <v/>
      </c>
      <c r="M1062" s="47" t="str">
        <f t="shared" ca="1" si="66"/>
        <v/>
      </c>
      <c r="R1062" s="48" t="str">
        <f t="shared" si="67"/>
        <v/>
      </c>
      <c r="S1062" s="48" t="str">
        <f t="shared" si="68"/>
        <v/>
      </c>
    </row>
    <row r="1063" spans="5:19" x14ac:dyDescent="0.35">
      <c r="E1063" s="30" t="s">
        <v>42</v>
      </c>
      <c r="F1063" s="46"/>
      <c r="G1063" s="46"/>
      <c r="H1063" s="46"/>
      <c r="I1063" s="46"/>
      <c r="J1063" s="46"/>
      <c r="K1063" s="46"/>
      <c r="L1063" s="41" t="str">
        <f t="shared" ca="1" si="65"/>
        <v/>
      </c>
      <c r="M1063" s="47" t="str">
        <f t="shared" ca="1" si="66"/>
        <v/>
      </c>
      <c r="R1063" s="48" t="str">
        <f t="shared" si="67"/>
        <v/>
      </c>
      <c r="S1063" s="48" t="str">
        <f t="shared" si="68"/>
        <v/>
      </c>
    </row>
    <row r="1064" spans="5:19" x14ac:dyDescent="0.35">
      <c r="E1064" s="30" t="s">
        <v>42</v>
      </c>
      <c r="F1064" s="46"/>
      <c r="G1064" s="46"/>
      <c r="H1064" s="46"/>
      <c r="I1064" s="46"/>
      <c r="J1064" s="46"/>
      <c r="K1064" s="46"/>
      <c r="L1064" s="41" t="str">
        <f t="shared" ca="1" si="65"/>
        <v/>
      </c>
      <c r="M1064" s="47" t="str">
        <f t="shared" ca="1" si="66"/>
        <v/>
      </c>
      <c r="R1064" s="48" t="str">
        <f t="shared" si="67"/>
        <v/>
      </c>
      <c r="S1064" s="48" t="str">
        <f t="shared" si="68"/>
        <v/>
      </c>
    </row>
    <row r="1065" spans="5:19" x14ac:dyDescent="0.35">
      <c r="E1065" s="30" t="s">
        <v>42</v>
      </c>
      <c r="F1065" s="46"/>
      <c r="G1065" s="46"/>
      <c r="H1065" s="46"/>
      <c r="I1065" s="46"/>
      <c r="J1065" s="46"/>
      <c r="K1065" s="46"/>
      <c r="L1065" s="41" t="str">
        <f t="shared" ca="1" si="65"/>
        <v/>
      </c>
      <c r="M1065" s="47" t="str">
        <f t="shared" ca="1" si="66"/>
        <v/>
      </c>
      <c r="R1065" s="48" t="str">
        <f t="shared" si="67"/>
        <v/>
      </c>
      <c r="S1065" s="48" t="str">
        <f t="shared" si="68"/>
        <v/>
      </c>
    </row>
    <row r="1066" spans="5:19" x14ac:dyDescent="0.35">
      <c r="E1066" s="30" t="s">
        <v>42</v>
      </c>
      <c r="F1066" s="46"/>
      <c r="G1066" s="46"/>
      <c r="H1066" s="46"/>
      <c r="I1066" s="46"/>
      <c r="J1066" s="46"/>
      <c r="K1066" s="46"/>
      <c r="L1066" s="41" t="str">
        <f t="shared" ca="1" si="65"/>
        <v/>
      </c>
      <c r="M1066" s="47" t="str">
        <f t="shared" ca="1" si="66"/>
        <v/>
      </c>
      <c r="R1066" s="48" t="str">
        <f t="shared" si="67"/>
        <v/>
      </c>
      <c r="S1066" s="48" t="str">
        <f t="shared" si="68"/>
        <v/>
      </c>
    </row>
    <row r="1067" spans="5:19" x14ac:dyDescent="0.35">
      <c r="E1067" s="30" t="s">
        <v>42</v>
      </c>
      <c r="F1067" s="46"/>
      <c r="G1067" s="46"/>
      <c r="H1067" s="46"/>
      <c r="I1067" s="46"/>
      <c r="J1067" s="46"/>
      <c r="K1067" s="46"/>
      <c r="L1067" s="41" t="str">
        <f t="shared" ca="1" si="65"/>
        <v/>
      </c>
      <c r="M1067" s="47" t="str">
        <f t="shared" ca="1" si="66"/>
        <v/>
      </c>
      <c r="R1067" s="48" t="str">
        <f t="shared" si="67"/>
        <v/>
      </c>
      <c r="S1067" s="48" t="str">
        <f t="shared" si="68"/>
        <v/>
      </c>
    </row>
    <row r="1068" spans="5:19" x14ac:dyDescent="0.35">
      <c r="E1068" s="30" t="s">
        <v>42</v>
      </c>
      <c r="F1068" s="46"/>
      <c r="G1068" s="46"/>
      <c r="H1068" s="46"/>
      <c r="I1068" s="46"/>
      <c r="J1068" s="46"/>
      <c r="K1068" s="46"/>
      <c r="L1068" s="41" t="str">
        <f t="shared" ca="1" si="65"/>
        <v/>
      </c>
      <c r="M1068" s="47" t="str">
        <f t="shared" ca="1" si="66"/>
        <v/>
      </c>
      <c r="R1068" s="48" t="str">
        <f t="shared" si="67"/>
        <v/>
      </c>
      <c r="S1068" s="48" t="str">
        <f t="shared" si="68"/>
        <v/>
      </c>
    </row>
    <row r="1069" spans="5:19" x14ac:dyDescent="0.35">
      <c r="E1069" s="30" t="s">
        <v>42</v>
      </c>
      <c r="F1069" s="46"/>
      <c r="G1069" s="46"/>
      <c r="H1069" s="46"/>
      <c r="I1069" s="46"/>
      <c r="J1069" s="46"/>
      <c r="K1069" s="46"/>
      <c r="L1069" s="41" t="str">
        <f t="shared" ca="1" si="65"/>
        <v/>
      </c>
      <c r="M1069" s="47" t="str">
        <f t="shared" ca="1" si="66"/>
        <v/>
      </c>
      <c r="R1069" s="48" t="str">
        <f t="shared" si="67"/>
        <v/>
      </c>
      <c r="S1069" s="48" t="str">
        <f t="shared" si="68"/>
        <v/>
      </c>
    </row>
    <row r="1070" spans="5:19" x14ac:dyDescent="0.35">
      <c r="E1070" s="30" t="s">
        <v>42</v>
      </c>
      <c r="F1070" s="46"/>
      <c r="G1070" s="46"/>
      <c r="H1070" s="46"/>
      <c r="I1070" s="46"/>
      <c r="J1070" s="46"/>
      <c r="K1070" s="46"/>
      <c r="L1070" s="41" t="str">
        <f t="shared" ca="1" si="65"/>
        <v/>
      </c>
      <c r="M1070" s="47" t="str">
        <f t="shared" ca="1" si="66"/>
        <v/>
      </c>
      <c r="R1070" s="48" t="str">
        <f t="shared" si="67"/>
        <v/>
      </c>
      <c r="S1070" s="48" t="str">
        <f t="shared" si="68"/>
        <v/>
      </c>
    </row>
    <row r="1071" spans="5:19" x14ac:dyDescent="0.35">
      <c r="E1071" s="30" t="s">
        <v>42</v>
      </c>
      <c r="F1071" s="46"/>
      <c r="G1071" s="46"/>
      <c r="H1071" s="46"/>
      <c r="I1071" s="46"/>
      <c r="J1071" s="46"/>
      <c r="K1071" s="46"/>
      <c r="L1071" s="41" t="str">
        <f t="shared" ca="1" si="65"/>
        <v/>
      </c>
      <c r="M1071" s="47" t="str">
        <f t="shared" ca="1" si="66"/>
        <v/>
      </c>
      <c r="R1071" s="48" t="str">
        <f t="shared" si="67"/>
        <v/>
      </c>
      <c r="S1071" s="48" t="str">
        <f t="shared" si="68"/>
        <v/>
      </c>
    </row>
    <row r="1072" spans="5:19" x14ac:dyDescent="0.35">
      <c r="E1072" s="30" t="s">
        <v>42</v>
      </c>
      <c r="F1072" s="46"/>
      <c r="G1072" s="46"/>
      <c r="H1072" s="46"/>
      <c r="I1072" s="46"/>
      <c r="J1072" s="46"/>
      <c r="K1072" s="46"/>
      <c r="L1072" s="41" t="str">
        <f t="shared" ca="1" si="65"/>
        <v/>
      </c>
      <c r="M1072" s="47" t="str">
        <f t="shared" ca="1" si="66"/>
        <v/>
      </c>
      <c r="R1072" s="48" t="str">
        <f t="shared" si="67"/>
        <v/>
      </c>
      <c r="S1072" s="48" t="str">
        <f t="shared" si="68"/>
        <v/>
      </c>
    </row>
    <row r="1073" spans="5:19" x14ac:dyDescent="0.35">
      <c r="E1073" s="30" t="s">
        <v>42</v>
      </c>
      <c r="F1073" s="46"/>
      <c r="G1073" s="46"/>
      <c r="H1073" s="46"/>
      <c r="I1073" s="46"/>
      <c r="J1073" s="46"/>
      <c r="K1073" s="46"/>
      <c r="L1073" s="41" t="str">
        <f t="shared" ca="1" si="65"/>
        <v/>
      </c>
      <c r="M1073" s="47" t="str">
        <f t="shared" ca="1" si="66"/>
        <v/>
      </c>
      <c r="R1073" s="48" t="str">
        <f t="shared" si="67"/>
        <v/>
      </c>
      <c r="S1073" s="48" t="str">
        <f t="shared" si="68"/>
        <v/>
      </c>
    </row>
    <row r="1074" spans="5:19" x14ac:dyDescent="0.35">
      <c r="E1074" s="30" t="s">
        <v>42</v>
      </c>
      <c r="F1074" s="46"/>
      <c r="G1074" s="46"/>
      <c r="H1074" s="46"/>
      <c r="I1074" s="46"/>
      <c r="J1074" s="46"/>
      <c r="K1074" s="46"/>
      <c r="L1074" s="41" t="str">
        <f t="shared" ca="1" si="65"/>
        <v/>
      </c>
      <c r="M1074" s="47" t="str">
        <f t="shared" ca="1" si="66"/>
        <v/>
      </c>
      <c r="R1074" s="48" t="str">
        <f t="shared" si="67"/>
        <v/>
      </c>
      <c r="S1074" s="48" t="str">
        <f t="shared" si="68"/>
        <v/>
      </c>
    </row>
    <row r="1075" spans="5:19" x14ac:dyDescent="0.35">
      <c r="E1075" s="30" t="s">
        <v>42</v>
      </c>
      <c r="F1075" s="46"/>
      <c r="G1075" s="46"/>
      <c r="H1075" s="46"/>
      <c r="I1075" s="46"/>
      <c r="J1075" s="46"/>
      <c r="K1075" s="46"/>
      <c r="L1075" s="41" t="str">
        <f t="shared" ca="1" si="65"/>
        <v/>
      </c>
      <c r="M1075" s="47" t="str">
        <f t="shared" ca="1" si="66"/>
        <v/>
      </c>
      <c r="R1075" s="48" t="str">
        <f t="shared" si="67"/>
        <v/>
      </c>
      <c r="S1075" s="48" t="str">
        <f t="shared" si="68"/>
        <v/>
      </c>
    </row>
    <row r="1076" spans="5:19" x14ac:dyDescent="0.35">
      <c r="E1076" s="30" t="s">
        <v>42</v>
      </c>
      <c r="F1076" s="46"/>
      <c r="G1076" s="46"/>
      <c r="H1076" s="46"/>
      <c r="I1076" s="46"/>
      <c r="J1076" s="46"/>
      <c r="K1076" s="46"/>
      <c r="L1076" s="41" t="str">
        <f t="shared" ca="1" si="65"/>
        <v/>
      </c>
      <c r="M1076" s="47" t="str">
        <f t="shared" ca="1" si="66"/>
        <v/>
      </c>
      <c r="R1076" s="48" t="str">
        <f t="shared" si="67"/>
        <v/>
      </c>
      <c r="S1076" s="48" t="str">
        <f t="shared" si="68"/>
        <v/>
      </c>
    </row>
    <row r="1077" spans="5:19" x14ac:dyDescent="0.35">
      <c r="E1077" s="30" t="s">
        <v>42</v>
      </c>
      <c r="F1077" s="46"/>
      <c r="G1077" s="46"/>
      <c r="H1077" s="46"/>
      <c r="I1077" s="46"/>
      <c r="J1077" s="46"/>
      <c r="K1077" s="46"/>
      <c r="L1077" s="41" t="str">
        <f t="shared" ca="1" si="65"/>
        <v/>
      </c>
      <c r="M1077" s="47" t="str">
        <f t="shared" ca="1" si="66"/>
        <v/>
      </c>
      <c r="R1077" s="48" t="str">
        <f t="shared" si="67"/>
        <v/>
      </c>
      <c r="S1077" s="48" t="str">
        <f t="shared" si="68"/>
        <v/>
      </c>
    </row>
    <row r="1078" spans="5:19" x14ac:dyDescent="0.35">
      <c r="E1078" s="30" t="s">
        <v>42</v>
      </c>
      <c r="F1078" s="46"/>
      <c r="G1078" s="46"/>
      <c r="H1078" s="46"/>
      <c r="I1078" s="46"/>
      <c r="J1078" s="46"/>
      <c r="K1078" s="46"/>
      <c r="L1078" s="41" t="str">
        <f t="shared" ca="1" si="65"/>
        <v/>
      </c>
      <c r="M1078" s="47" t="str">
        <f t="shared" ca="1" si="66"/>
        <v/>
      </c>
      <c r="R1078" s="48" t="str">
        <f t="shared" si="67"/>
        <v/>
      </c>
      <c r="S1078" s="48" t="str">
        <f t="shared" si="68"/>
        <v/>
      </c>
    </row>
    <row r="1079" spans="5:19" x14ac:dyDescent="0.35">
      <c r="E1079" s="30" t="s">
        <v>42</v>
      </c>
      <c r="F1079" s="46"/>
      <c r="G1079" s="46"/>
      <c r="H1079" s="46"/>
      <c r="I1079" s="46"/>
      <c r="J1079" s="46"/>
      <c r="K1079" s="46"/>
      <c r="L1079" s="41" t="str">
        <f t="shared" ca="1" si="65"/>
        <v/>
      </c>
      <c r="M1079" s="47" t="str">
        <f t="shared" ca="1" si="66"/>
        <v/>
      </c>
      <c r="R1079" s="48" t="str">
        <f t="shared" si="67"/>
        <v/>
      </c>
      <c r="S1079" s="48" t="str">
        <f t="shared" si="68"/>
        <v/>
      </c>
    </row>
    <row r="1080" spans="5:19" x14ac:dyDescent="0.35">
      <c r="E1080" s="30" t="s">
        <v>42</v>
      </c>
      <c r="F1080" s="46"/>
      <c r="G1080" s="46"/>
      <c r="H1080" s="46"/>
      <c r="I1080" s="46"/>
      <c r="J1080" s="46"/>
      <c r="K1080" s="46"/>
      <c r="L1080" s="41" t="str">
        <f t="shared" ca="1" si="65"/>
        <v/>
      </c>
      <c r="M1080" s="47" t="str">
        <f t="shared" ca="1" si="66"/>
        <v/>
      </c>
      <c r="R1080" s="48" t="str">
        <f t="shared" si="67"/>
        <v/>
      </c>
      <c r="S1080" s="48" t="str">
        <f t="shared" si="68"/>
        <v/>
      </c>
    </row>
    <row r="1081" spans="5:19" x14ac:dyDescent="0.35">
      <c r="E1081" s="30" t="s">
        <v>42</v>
      </c>
      <c r="F1081" s="46"/>
      <c r="G1081" s="46"/>
      <c r="H1081" s="46"/>
      <c r="I1081" s="46"/>
      <c r="J1081" s="46"/>
      <c r="K1081" s="46"/>
      <c r="L1081" s="41" t="str">
        <f t="shared" ca="1" si="65"/>
        <v/>
      </c>
      <c r="M1081" s="47" t="str">
        <f t="shared" ca="1" si="66"/>
        <v/>
      </c>
      <c r="R1081" s="48" t="str">
        <f t="shared" si="67"/>
        <v/>
      </c>
      <c r="S1081" s="48" t="str">
        <f t="shared" si="68"/>
        <v/>
      </c>
    </row>
    <row r="1082" spans="5:19" x14ac:dyDescent="0.35">
      <c r="E1082" s="30" t="s">
        <v>42</v>
      </c>
      <c r="F1082" s="46"/>
      <c r="G1082" s="46"/>
      <c r="H1082" s="46"/>
      <c r="I1082" s="46"/>
      <c r="J1082" s="46"/>
      <c r="K1082" s="46"/>
      <c r="L1082" s="41" t="str">
        <f t="shared" ca="1" si="65"/>
        <v/>
      </c>
      <c r="M1082" s="47" t="str">
        <f t="shared" ca="1" si="66"/>
        <v/>
      </c>
      <c r="R1082" s="48" t="str">
        <f t="shared" si="67"/>
        <v/>
      </c>
      <c r="S1082" s="48" t="str">
        <f t="shared" si="68"/>
        <v/>
      </c>
    </row>
    <row r="1083" spans="5:19" x14ac:dyDescent="0.35">
      <c r="E1083" s="30" t="s">
        <v>42</v>
      </c>
      <c r="F1083" s="46"/>
      <c r="G1083" s="46"/>
      <c r="H1083" s="46"/>
      <c r="I1083" s="46"/>
      <c r="J1083" s="46"/>
      <c r="K1083" s="46"/>
      <c r="L1083" s="41" t="str">
        <f t="shared" ca="1" si="65"/>
        <v/>
      </c>
      <c r="M1083" s="47" t="str">
        <f t="shared" ca="1" si="66"/>
        <v/>
      </c>
      <c r="R1083" s="48" t="str">
        <f t="shared" si="67"/>
        <v/>
      </c>
      <c r="S1083" s="48" t="str">
        <f t="shared" si="68"/>
        <v/>
      </c>
    </row>
    <row r="1084" spans="5:19" x14ac:dyDescent="0.35">
      <c r="E1084" s="30" t="s">
        <v>42</v>
      </c>
      <c r="F1084" s="46"/>
      <c r="G1084" s="46"/>
      <c r="H1084" s="46"/>
      <c r="I1084" s="46"/>
      <c r="J1084" s="46"/>
      <c r="K1084" s="46"/>
      <c r="L1084" s="41" t="str">
        <f t="shared" ca="1" si="65"/>
        <v/>
      </c>
      <c r="M1084" s="47" t="str">
        <f t="shared" ca="1" si="66"/>
        <v/>
      </c>
      <c r="R1084" s="48" t="str">
        <f t="shared" si="67"/>
        <v/>
      </c>
      <c r="S1084" s="48" t="str">
        <f t="shared" si="68"/>
        <v/>
      </c>
    </row>
    <row r="1085" spans="5:19" x14ac:dyDescent="0.35">
      <c r="E1085" s="30" t="s">
        <v>42</v>
      </c>
      <c r="F1085" s="46"/>
      <c r="G1085" s="46"/>
      <c r="H1085" s="46"/>
      <c r="I1085" s="46"/>
      <c r="J1085" s="46"/>
      <c r="K1085" s="46"/>
      <c r="L1085" s="41" t="str">
        <f t="shared" ca="1" si="65"/>
        <v/>
      </c>
      <c r="M1085" s="47" t="str">
        <f t="shared" ca="1" si="66"/>
        <v/>
      </c>
      <c r="R1085" s="48" t="str">
        <f t="shared" si="67"/>
        <v/>
      </c>
      <c r="S1085" s="48" t="str">
        <f t="shared" si="68"/>
        <v/>
      </c>
    </row>
    <row r="1086" spans="5:19" x14ac:dyDescent="0.35">
      <c r="E1086" s="30" t="s">
        <v>42</v>
      </c>
      <c r="F1086" s="46"/>
      <c r="G1086" s="46"/>
      <c r="H1086" s="46"/>
      <c r="I1086" s="46"/>
      <c r="J1086" s="46"/>
      <c r="K1086" s="46"/>
      <c r="L1086" s="41" t="str">
        <f t="shared" ca="1" si="65"/>
        <v/>
      </c>
      <c r="M1086" s="47" t="str">
        <f t="shared" ca="1" si="66"/>
        <v/>
      </c>
      <c r="R1086" s="48" t="str">
        <f t="shared" si="67"/>
        <v/>
      </c>
      <c r="S1086" s="48" t="str">
        <f t="shared" si="68"/>
        <v/>
      </c>
    </row>
    <row r="1087" spans="5:19" x14ac:dyDescent="0.35">
      <c r="E1087" s="30" t="s">
        <v>42</v>
      </c>
      <c r="F1087" s="46"/>
      <c r="G1087" s="46"/>
      <c r="H1087" s="46"/>
      <c r="I1087" s="46"/>
      <c r="J1087" s="46"/>
      <c r="K1087" s="46"/>
      <c r="L1087" s="41" t="str">
        <f t="shared" ca="1" si="65"/>
        <v/>
      </c>
      <c r="M1087" s="47" t="str">
        <f t="shared" ca="1" si="66"/>
        <v/>
      </c>
      <c r="R1087" s="48" t="str">
        <f t="shared" si="67"/>
        <v/>
      </c>
      <c r="S1087" s="48" t="str">
        <f t="shared" si="68"/>
        <v/>
      </c>
    </row>
    <row r="1088" spans="5:19" x14ac:dyDescent="0.35">
      <c r="E1088" s="30" t="s">
        <v>42</v>
      </c>
      <c r="F1088" s="46"/>
      <c r="G1088" s="46"/>
      <c r="H1088" s="46"/>
      <c r="I1088" s="46"/>
      <c r="J1088" s="46"/>
      <c r="K1088" s="46"/>
      <c r="L1088" s="41" t="str">
        <f t="shared" ca="1" si="65"/>
        <v/>
      </c>
      <c r="M1088" s="47" t="str">
        <f t="shared" ca="1" si="66"/>
        <v/>
      </c>
      <c r="R1088" s="48" t="str">
        <f t="shared" si="67"/>
        <v/>
      </c>
      <c r="S1088" s="48" t="str">
        <f t="shared" si="68"/>
        <v/>
      </c>
    </row>
    <row r="1089" spans="5:19" x14ac:dyDescent="0.35">
      <c r="E1089" s="30" t="s">
        <v>42</v>
      </c>
      <c r="F1089" s="46"/>
      <c r="G1089" s="46"/>
      <c r="H1089" s="46"/>
      <c r="I1089" s="46"/>
      <c r="J1089" s="46"/>
      <c r="K1089" s="46"/>
      <c r="L1089" s="41" t="str">
        <f t="shared" ca="1" si="65"/>
        <v/>
      </c>
      <c r="M1089" s="47" t="str">
        <f t="shared" ca="1" si="66"/>
        <v/>
      </c>
      <c r="R1089" s="48" t="str">
        <f t="shared" si="67"/>
        <v/>
      </c>
      <c r="S1089" s="48" t="str">
        <f t="shared" si="68"/>
        <v/>
      </c>
    </row>
    <row r="1090" spans="5:19" x14ac:dyDescent="0.35">
      <c r="E1090" s="30" t="s">
        <v>42</v>
      </c>
      <c r="F1090" s="46"/>
      <c r="G1090" s="46"/>
      <c r="H1090" s="46"/>
      <c r="I1090" s="46"/>
      <c r="J1090" s="46"/>
      <c r="K1090" s="46"/>
      <c r="L1090" s="41" t="str">
        <f t="shared" ca="1" si="65"/>
        <v/>
      </c>
      <c r="M1090" s="47" t="str">
        <f t="shared" ca="1" si="66"/>
        <v/>
      </c>
      <c r="R1090" s="48" t="str">
        <f t="shared" si="67"/>
        <v/>
      </c>
      <c r="S1090" s="48" t="str">
        <f t="shared" si="68"/>
        <v/>
      </c>
    </row>
    <row r="1091" spans="5:19" x14ac:dyDescent="0.35">
      <c r="E1091" s="30" t="s">
        <v>42</v>
      </c>
      <c r="F1091" s="46"/>
      <c r="G1091" s="46"/>
      <c r="H1091" s="46"/>
      <c r="I1091" s="46"/>
      <c r="J1091" s="46"/>
      <c r="K1091" s="46"/>
      <c r="L1091" s="41" t="str">
        <f t="shared" ca="1" si="65"/>
        <v/>
      </c>
      <c r="M1091" s="47" t="str">
        <f t="shared" ca="1" si="66"/>
        <v/>
      </c>
      <c r="R1091" s="48" t="str">
        <f t="shared" si="67"/>
        <v/>
      </c>
      <c r="S1091" s="48" t="str">
        <f t="shared" si="68"/>
        <v/>
      </c>
    </row>
    <row r="1092" spans="5:19" x14ac:dyDescent="0.35">
      <c r="E1092" s="30" t="s">
        <v>42</v>
      </c>
      <c r="F1092" s="46"/>
      <c r="G1092" s="46"/>
      <c r="H1092" s="46"/>
      <c r="I1092" s="46"/>
      <c r="J1092" s="46"/>
      <c r="K1092" s="46"/>
      <c r="L1092" s="41" t="str">
        <f t="shared" ca="1" si="65"/>
        <v/>
      </c>
      <c r="M1092" s="47" t="str">
        <f t="shared" ca="1" si="66"/>
        <v/>
      </c>
      <c r="R1092" s="48" t="str">
        <f t="shared" si="67"/>
        <v/>
      </c>
      <c r="S1092" s="48" t="str">
        <f t="shared" si="68"/>
        <v/>
      </c>
    </row>
    <row r="1093" spans="5:19" x14ac:dyDescent="0.35">
      <c r="E1093" s="30" t="s">
        <v>42</v>
      </c>
      <c r="F1093" s="46"/>
      <c r="G1093" s="46"/>
      <c r="H1093" s="46"/>
      <c r="I1093" s="46"/>
      <c r="J1093" s="46"/>
      <c r="K1093" s="46"/>
      <c r="L1093" s="41" t="str">
        <f t="shared" ca="1" si="65"/>
        <v/>
      </c>
      <c r="M1093" s="47" t="str">
        <f t="shared" ca="1" si="66"/>
        <v/>
      </c>
      <c r="R1093" s="48" t="str">
        <f t="shared" si="67"/>
        <v/>
      </c>
      <c r="S1093" s="48" t="str">
        <f t="shared" si="68"/>
        <v/>
      </c>
    </row>
    <row r="1094" spans="5:19" x14ac:dyDescent="0.35">
      <c r="E1094" s="30" t="s">
        <v>42</v>
      </c>
      <c r="F1094" s="46"/>
      <c r="G1094" s="46"/>
      <c r="H1094" s="46"/>
      <c r="I1094" s="46"/>
      <c r="J1094" s="46"/>
      <c r="K1094" s="46"/>
      <c r="L1094" s="41" t="str">
        <f t="shared" ref="L1094:L1157" ca="1" si="69">IF(AND(C1094&lt;&gt;"",C1094&lt;&gt;R1094),TODAY(),IF(C1094="","",L1094))</f>
        <v/>
      </c>
      <c r="M1094" s="47" t="str">
        <f t="shared" ref="M1094:M1157" ca="1" si="70">IF(AND(C1094&lt;&gt;"",C1094&lt;&gt;S1094),NOW(),IF(C1094="","",M1094))</f>
        <v/>
      </c>
      <c r="R1094" s="48" t="str">
        <f t="shared" ref="R1094:R1157" si="71">IF(C1094="","",IF(OR(L1094="",AND(ISNUMBER(R1094),C1094=R1094)),R1094,C1094))</f>
        <v/>
      </c>
      <c r="S1094" s="48" t="str">
        <f t="shared" ref="S1094:S1157" si="72">IF(C1094="","",IF(OR(M1094="",AND(ISNUMBER(S1094),C1094=S1094)),S1094,C1094))</f>
        <v/>
      </c>
    </row>
    <row r="1095" spans="5:19" x14ac:dyDescent="0.35">
      <c r="E1095" s="30" t="s">
        <v>42</v>
      </c>
      <c r="F1095" s="46"/>
      <c r="G1095" s="46"/>
      <c r="H1095" s="46"/>
      <c r="I1095" s="46"/>
      <c r="J1095" s="46"/>
      <c r="K1095" s="46"/>
      <c r="L1095" s="41" t="str">
        <f t="shared" ca="1" si="69"/>
        <v/>
      </c>
      <c r="M1095" s="47" t="str">
        <f t="shared" ca="1" si="70"/>
        <v/>
      </c>
      <c r="R1095" s="48" t="str">
        <f t="shared" si="71"/>
        <v/>
      </c>
      <c r="S1095" s="48" t="str">
        <f t="shared" si="72"/>
        <v/>
      </c>
    </row>
    <row r="1096" spans="5:19" x14ac:dyDescent="0.35">
      <c r="E1096" s="30" t="s">
        <v>42</v>
      </c>
      <c r="F1096" s="46"/>
      <c r="G1096" s="46"/>
      <c r="H1096" s="46"/>
      <c r="I1096" s="46"/>
      <c r="J1096" s="46"/>
      <c r="K1096" s="46"/>
      <c r="L1096" s="41" t="str">
        <f t="shared" ca="1" si="69"/>
        <v/>
      </c>
      <c r="M1096" s="47" t="str">
        <f t="shared" ca="1" si="70"/>
        <v/>
      </c>
      <c r="R1096" s="48" t="str">
        <f t="shared" si="71"/>
        <v/>
      </c>
      <c r="S1096" s="48" t="str">
        <f t="shared" si="72"/>
        <v/>
      </c>
    </row>
    <row r="1097" spans="5:19" x14ac:dyDescent="0.35">
      <c r="E1097" s="30" t="s">
        <v>42</v>
      </c>
      <c r="F1097" s="46"/>
      <c r="G1097" s="46"/>
      <c r="H1097" s="46"/>
      <c r="I1097" s="46"/>
      <c r="J1097" s="46"/>
      <c r="K1097" s="46"/>
      <c r="L1097" s="41" t="str">
        <f t="shared" ca="1" si="69"/>
        <v/>
      </c>
      <c r="M1097" s="47" t="str">
        <f t="shared" ca="1" si="70"/>
        <v/>
      </c>
      <c r="R1097" s="48" t="str">
        <f t="shared" si="71"/>
        <v/>
      </c>
      <c r="S1097" s="48" t="str">
        <f t="shared" si="72"/>
        <v/>
      </c>
    </row>
    <row r="1098" spans="5:19" x14ac:dyDescent="0.35">
      <c r="E1098" s="30" t="s">
        <v>42</v>
      </c>
      <c r="F1098" s="46"/>
      <c r="G1098" s="46"/>
      <c r="H1098" s="46"/>
      <c r="I1098" s="46"/>
      <c r="J1098" s="46"/>
      <c r="K1098" s="46"/>
      <c r="L1098" s="41" t="str">
        <f t="shared" ca="1" si="69"/>
        <v/>
      </c>
      <c r="M1098" s="47" t="str">
        <f t="shared" ca="1" si="70"/>
        <v/>
      </c>
      <c r="R1098" s="48" t="str">
        <f t="shared" si="71"/>
        <v/>
      </c>
      <c r="S1098" s="48" t="str">
        <f t="shared" si="72"/>
        <v/>
      </c>
    </row>
    <row r="1099" spans="5:19" x14ac:dyDescent="0.35">
      <c r="E1099" s="30" t="s">
        <v>42</v>
      </c>
      <c r="F1099" s="46"/>
      <c r="G1099" s="46"/>
      <c r="H1099" s="46"/>
      <c r="I1099" s="46"/>
      <c r="J1099" s="46"/>
      <c r="K1099" s="46"/>
      <c r="L1099" s="41" t="str">
        <f t="shared" ca="1" si="69"/>
        <v/>
      </c>
      <c r="M1099" s="47" t="str">
        <f t="shared" ca="1" si="70"/>
        <v/>
      </c>
      <c r="R1099" s="48" t="str">
        <f t="shared" si="71"/>
        <v/>
      </c>
      <c r="S1099" s="48" t="str">
        <f t="shared" si="72"/>
        <v/>
      </c>
    </row>
    <row r="1100" spans="5:19" x14ac:dyDescent="0.35">
      <c r="E1100" s="30" t="s">
        <v>42</v>
      </c>
      <c r="F1100" s="46"/>
      <c r="G1100" s="46"/>
      <c r="H1100" s="46"/>
      <c r="I1100" s="46"/>
      <c r="J1100" s="46"/>
      <c r="K1100" s="46"/>
      <c r="L1100" s="41" t="str">
        <f t="shared" ca="1" si="69"/>
        <v/>
      </c>
      <c r="M1100" s="47" t="str">
        <f t="shared" ca="1" si="70"/>
        <v/>
      </c>
      <c r="R1100" s="48" t="str">
        <f t="shared" si="71"/>
        <v/>
      </c>
      <c r="S1100" s="48" t="str">
        <f t="shared" si="72"/>
        <v/>
      </c>
    </row>
    <row r="1101" spans="5:19" x14ac:dyDescent="0.35">
      <c r="E1101" s="30" t="s">
        <v>42</v>
      </c>
      <c r="F1101" s="46"/>
      <c r="G1101" s="46"/>
      <c r="H1101" s="46"/>
      <c r="I1101" s="46"/>
      <c r="J1101" s="46"/>
      <c r="K1101" s="46"/>
      <c r="L1101" s="41" t="str">
        <f t="shared" ca="1" si="69"/>
        <v/>
      </c>
      <c r="M1101" s="47" t="str">
        <f t="shared" ca="1" si="70"/>
        <v/>
      </c>
      <c r="R1101" s="48" t="str">
        <f t="shared" si="71"/>
        <v/>
      </c>
      <c r="S1101" s="48" t="str">
        <f t="shared" si="72"/>
        <v/>
      </c>
    </row>
    <row r="1102" spans="5:19" x14ac:dyDescent="0.35">
      <c r="E1102" s="30" t="s">
        <v>42</v>
      </c>
      <c r="F1102" s="46"/>
      <c r="G1102" s="46"/>
      <c r="H1102" s="46"/>
      <c r="I1102" s="46"/>
      <c r="J1102" s="46"/>
      <c r="K1102" s="46"/>
      <c r="L1102" s="41" t="str">
        <f t="shared" ca="1" si="69"/>
        <v/>
      </c>
      <c r="M1102" s="47" t="str">
        <f t="shared" ca="1" si="70"/>
        <v/>
      </c>
      <c r="R1102" s="48" t="str">
        <f t="shared" si="71"/>
        <v/>
      </c>
      <c r="S1102" s="48" t="str">
        <f t="shared" si="72"/>
        <v/>
      </c>
    </row>
    <row r="1103" spans="5:19" x14ac:dyDescent="0.35">
      <c r="E1103" s="30" t="s">
        <v>42</v>
      </c>
      <c r="F1103" s="46"/>
      <c r="G1103" s="46"/>
      <c r="H1103" s="46"/>
      <c r="I1103" s="46"/>
      <c r="J1103" s="46"/>
      <c r="K1103" s="46"/>
      <c r="L1103" s="41" t="str">
        <f t="shared" ca="1" si="69"/>
        <v/>
      </c>
      <c r="M1103" s="47" t="str">
        <f t="shared" ca="1" si="70"/>
        <v/>
      </c>
      <c r="R1103" s="48" t="str">
        <f t="shared" si="71"/>
        <v/>
      </c>
      <c r="S1103" s="48" t="str">
        <f t="shared" si="72"/>
        <v/>
      </c>
    </row>
    <row r="1104" spans="5:19" x14ac:dyDescent="0.35">
      <c r="E1104" s="30" t="s">
        <v>42</v>
      </c>
      <c r="F1104" s="46"/>
      <c r="G1104" s="46"/>
      <c r="H1104" s="46"/>
      <c r="I1104" s="46"/>
      <c r="J1104" s="46"/>
      <c r="K1104" s="46"/>
      <c r="L1104" s="41" t="str">
        <f t="shared" ca="1" si="69"/>
        <v/>
      </c>
      <c r="M1104" s="47" t="str">
        <f t="shared" ca="1" si="70"/>
        <v/>
      </c>
      <c r="R1104" s="48" t="str">
        <f t="shared" si="71"/>
        <v/>
      </c>
      <c r="S1104" s="48" t="str">
        <f t="shared" si="72"/>
        <v/>
      </c>
    </row>
    <row r="1105" spans="5:19" x14ac:dyDescent="0.35">
      <c r="E1105" s="30" t="s">
        <v>42</v>
      </c>
      <c r="F1105" s="46"/>
      <c r="G1105" s="46"/>
      <c r="H1105" s="46"/>
      <c r="I1105" s="46"/>
      <c r="J1105" s="46"/>
      <c r="K1105" s="46"/>
      <c r="L1105" s="41" t="str">
        <f t="shared" ca="1" si="69"/>
        <v/>
      </c>
      <c r="M1105" s="47" t="str">
        <f t="shared" ca="1" si="70"/>
        <v/>
      </c>
      <c r="R1105" s="48" t="str">
        <f t="shared" si="71"/>
        <v/>
      </c>
      <c r="S1105" s="48" t="str">
        <f t="shared" si="72"/>
        <v/>
      </c>
    </row>
    <row r="1106" spans="5:19" x14ac:dyDescent="0.35">
      <c r="E1106" s="30" t="s">
        <v>42</v>
      </c>
      <c r="F1106" s="46"/>
      <c r="G1106" s="46"/>
      <c r="H1106" s="46"/>
      <c r="I1106" s="46"/>
      <c r="J1106" s="46"/>
      <c r="K1106" s="46"/>
      <c r="L1106" s="41" t="str">
        <f t="shared" ca="1" si="69"/>
        <v/>
      </c>
      <c r="M1106" s="47" t="str">
        <f t="shared" ca="1" si="70"/>
        <v/>
      </c>
      <c r="R1106" s="48" t="str">
        <f t="shared" si="71"/>
        <v/>
      </c>
      <c r="S1106" s="48" t="str">
        <f t="shared" si="72"/>
        <v/>
      </c>
    </row>
    <row r="1107" spans="5:19" x14ac:dyDescent="0.35">
      <c r="E1107" s="30" t="s">
        <v>42</v>
      </c>
      <c r="F1107" s="46"/>
      <c r="G1107" s="46"/>
      <c r="H1107" s="46"/>
      <c r="I1107" s="46"/>
      <c r="J1107" s="46"/>
      <c r="K1107" s="46"/>
      <c r="L1107" s="41" t="str">
        <f t="shared" ca="1" si="69"/>
        <v/>
      </c>
      <c r="M1107" s="47" t="str">
        <f t="shared" ca="1" si="70"/>
        <v/>
      </c>
      <c r="R1107" s="48" t="str">
        <f t="shared" si="71"/>
        <v/>
      </c>
      <c r="S1107" s="48" t="str">
        <f t="shared" si="72"/>
        <v/>
      </c>
    </row>
    <row r="1108" spans="5:19" x14ac:dyDescent="0.35">
      <c r="E1108" s="30" t="s">
        <v>42</v>
      </c>
      <c r="F1108" s="46"/>
      <c r="G1108" s="46"/>
      <c r="H1108" s="46"/>
      <c r="I1108" s="46"/>
      <c r="J1108" s="46"/>
      <c r="K1108" s="46"/>
      <c r="L1108" s="41" t="str">
        <f t="shared" ca="1" si="69"/>
        <v/>
      </c>
      <c r="M1108" s="47" t="str">
        <f t="shared" ca="1" si="70"/>
        <v/>
      </c>
      <c r="R1108" s="48" t="str">
        <f t="shared" si="71"/>
        <v/>
      </c>
      <c r="S1108" s="48" t="str">
        <f t="shared" si="72"/>
        <v/>
      </c>
    </row>
    <row r="1109" spans="5:19" x14ac:dyDescent="0.35">
      <c r="E1109" s="30" t="s">
        <v>42</v>
      </c>
      <c r="F1109" s="46"/>
      <c r="G1109" s="46"/>
      <c r="H1109" s="46"/>
      <c r="I1109" s="46"/>
      <c r="J1109" s="46"/>
      <c r="K1109" s="46"/>
      <c r="L1109" s="41" t="str">
        <f t="shared" ca="1" si="69"/>
        <v/>
      </c>
      <c r="M1109" s="47" t="str">
        <f t="shared" ca="1" si="70"/>
        <v/>
      </c>
      <c r="R1109" s="48" t="str">
        <f t="shared" si="71"/>
        <v/>
      </c>
      <c r="S1109" s="48" t="str">
        <f t="shared" si="72"/>
        <v/>
      </c>
    </row>
    <row r="1110" spans="5:19" x14ac:dyDescent="0.35">
      <c r="E1110" s="30" t="s">
        <v>42</v>
      </c>
      <c r="F1110" s="46"/>
      <c r="G1110" s="46"/>
      <c r="H1110" s="46"/>
      <c r="I1110" s="46"/>
      <c r="J1110" s="46"/>
      <c r="K1110" s="46"/>
      <c r="L1110" s="41" t="str">
        <f t="shared" ca="1" si="69"/>
        <v/>
      </c>
      <c r="M1110" s="47" t="str">
        <f t="shared" ca="1" si="70"/>
        <v/>
      </c>
      <c r="R1110" s="48" t="str">
        <f t="shared" si="71"/>
        <v/>
      </c>
      <c r="S1110" s="48" t="str">
        <f t="shared" si="72"/>
        <v/>
      </c>
    </row>
    <row r="1111" spans="5:19" x14ac:dyDescent="0.35">
      <c r="E1111" s="30" t="s">
        <v>42</v>
      </c>
      <c r="F1111" s="46"/>
      <c r="G1111" s="46"/>
      <c r="H1111" s="46"/>
      <c r="I1111" s="46"/>
      <c r="J1111" s="46"/>
      <c r="K1111" s="46"/>
      <c r="L1111" s="41" t="str">
        <f t="shared" ca="1" si="69"/>
        <v/>
      </c>
      <c r="M1111" s="47" t="str">
        <f t="shared" ca="1" si="70"/>
        <v/>
      </c>
      <c r="R1111" s="48" t="str">
        <f t="shared" si="71"/>
        <v/>
      </c>
      <c r="S1111" s="48" t="str">
        <f t="shared" si="72"/>
        <v/>
      </c>
    </row>
    <row r="1112" spans="5:19" x14ac:dyDescent="0.35">
      <c r="E1112" s="30" t="s">
        <v>42</v>
      </c>
      <c r="F1112" s="46"/>
      <c r="G1112" s="46"/>
      <c r="H1112" s="46"/>
      <c r="I1112" s="46"/>
      <c r="J1112" s="46"/>
      <c r="K1112" s="46"/>
      <c r="L1112" s="41" t="str">
        <f t="shared" ca="1" si="69"/>
        <v/>
      </c>
      <c r="M1112" s="47" t="str">
        <f t="shared" ca="1" si="70"/>
        <v/>
      </c>
      <c r="R1112" s="48" t="str">
        <f t="shared" si="71"/>
        <v/>
      </c>
      <c r="S1112" s="48" t="str">
        <f t="shared" si="72"/>
        <v/>
      </c>
    </row>
    <row r="1113" spans="5:19" x14ac:dyDescent="0.35">
      <c r="E1113" s="30" t="s">
        <v>42</v>
      </c>
      <c r="F1113" s="46"/>
      <c r="G1113" s="46"/>
      <c r="H1113" s="46"/>
      <c r="I1113" s="46"/>
      <c r="J1113" s="46"/>
      <c r="K1113" s="46"/>
      <c r="L1113" s="41" t="str">
        <f t="shared" ca="1" si="69"/>
        <v/>
      </c>
      <c r="M1113" s="47" t="str">
        <f t="shared" ca="1" si="70"/>
        <v/>
      </c>
      <c r="R1113" s="48" t="str">
        <f t="shared" si="71"/>
        <v/>
      </c>
      <c r="S1113" s="48" t="str">
        <f t="shared" si="72"/>
        <v/>
      </c>
    </row>
    <row r="1114" spans="5:19" x14ac:dyDescent="0.35">
      <c r="E1114" s="30" t="s">
        <v>42</v>
      </c>
      <c r="F1114" s="46"/>
      <c r="G1114" s="46"/>
      <c r="H1114" s="46"/>
      <c r="I1114" s="46"/>
      <c r="J1114" s="46"/>
      <c r="K1114" s="46"/>
      <c r="L1114" s="41" t="str">
        <f t="shared" ca="1" si="69"/>
        <v/>
      </c>
      <c r="M1114" s="47" t="str">
        <f t="shared" ca="1" si="70"/>
        <v/>
      </c>
      <c r="R1114" s="48" t="str">
        <f t="shared" si="71"/>
        <v/>
      </c>
      <c r="S1114" s="48" t="str">
        <f t="shared" si="72"/>
        <v/>
      </c>
    </row>
    <row r="1115" spans="5:19" x14ac:dyDescent="0.35">
      <c r="E1115" s="30" t="s">
        <v>42</v>
      </c>
      <c r="F1115" s="46"/>
      <c r="G1115" s="46"/>
      <c r="H1115" s="46"/>
      <c r="I1115" s="46"/>
      <c r="J1115" s="46"/>
      <c r="K1115" s="46"/>
      <c r="L1115" s="41" t="str">
        <f t="shared" ca="1" si="69"/>
        <v/>
      </c>
      <c r="M1115" s="47" t="str">
        <f t="shared" ca="1" si="70"/>
        <v/>
      </c>
      <c r="R1115" s="48" t="str">
        <f t="shared" si="71"/>
        <v/>
      </c>
      <c r="S1115" s="48" t="str">
        <f t="shared" si="72"/>
        <v/>
      </c>
    </row>
    <row r="1116" spans="5:19" x14ac:dyDescent="0.35">
      <c r="E1116" s="30" t="s">
        <v>42</v>
      </c>
      <c r="F1116" s="46"/>
      <c r="G1116" s="46"/>
      <c r="H1116" s="46"/>
      <c r="I1116" s="46"/>
      <c r="J1116" s="46"/>
      <c r="K1116" s="46"/>
      <c r="L1116" s="41" t="str">
        <f t="shared" ca="1" si="69"/>
        <v/>
      </c>
      <c r="M1116" s="47" t="str">
        <f t="shared" ca="1" si="70"/>
        <v/>
      </c>
      <c r="R1116" s="48" t="str">
        <f t="shared" si="71"/>
        <v/>
      </c>
      <c r="S1116" s="48" t="str">
        <f t="shared" si="72"/>
        <v/>
      </c>
    </row>
    <row r="1117" spans="5:19" x14ac:dyDescent="0.35">
      <c r="E1117" s="30" t="s">
        <v>42</v>
      </c>
      <c r="F1117" s="46"/>
      <c r="G1117" s="46"/>
      <c r="H1117" s="46"/>
      <c r="I1117" s="46"/>
      <c r="J1117" s="46"/>
      <c r="K1117" s="46"/>
      <c r="L1117" s="41" t="str">
        <f t="shared" ca="1" si="69"/>
        <v/>
      </c>
      <c r="M1117" s="47" t="str">
        <f t="shared" ca="1" si="70"/>
        <v/>
      </c>
      <c r="R1117" s="48" t="str">
        <f t="shared" si="71"/>
        <v/>
      </c>
      <c r="S1117" s="48" t="str">
        <f t="shared" si="72"/>
        <v/>
      </c>
    </row>
    <row r="1118" spans="5:19" x14ac:dyDescent="0.35">
      <c r="E1118" s="30" t="s">
        <v>42</v>
      </c>
      <c r="F1118" s="46"/>
      <c r="G1118" s="46"/>
      <c r="H1118" s="46"/>
      <c r="I1118" s="46"/>
      <c r="J1118" s="46"/>
      <c r="K1118" s="46"/>
      <c r="L1118" s="41" t="str">
        <f t="shared" ca="1" si="69"/>
        <v/>
      </c>
      <c r="M1118" s="47" t="str">
        <f t="shared" ca="1" si="70"/>
        <v/>
      </c>
      <c r="R1118" s="48" t="str">
        <f t="shared" si="71"/>
        <v/>
      </c>
      <c r="S1118" s="48" t="str">
        <f t="shared" si="72"/>
        <v/>
      </c>
    </row>
    <row r="1119" spans="5:19" x14ac:dyDescent="0.35">
      <c r="E1119" s="30" t="s">
        <v>42</v>
      </c>
      <c r="F1119" s="46"/>
      <c r="G1119" s="46"/>
      <c r="H1119" s="46"/>
      <c r="I1119" s="46"/>
      <c r="J1119" s="46"/>
      <c r="K1119" s="46"/>
      <c r="L1119" s="41" t="str">
        <f t="shared" ca="1" si="69"/>
        <v/>
      </c>
      <c r="M1119" s="47" t="str">
        <f t="shared" ca="1" si="70"/>
        <v/>
      </c>
      <c r="R1119" s="48" t="str">
        <f t="shared" si="71"/>
        <v/>
      </c>
      <c r="S1119" s="48" t="str">
        <f t="shared" si="72"/>
        <v/>
      </c>
    </row>
    <row r="1120" spans="5:19" x14ac:dyDescent="0.35">
      <c r="E1120" s="30" t="s">
        <v>42</v>
      </c>
      <c r="F1120" s="46"/>
      <c r="G1120" s="46"/>
      <c r="H1120" s="46"/>
      <c r="I1120" s="46"/>
      <c r="J1120" s="46"/>
      <c r="K1120" s="46"/>
      <c r="L1120" s="41" t="str">
        <f t="shared" ca="1" si="69"/>
        <v/>
      </c>
      <c r="M1120" s="47" t="str">
        <f t="shared" ca="1" si="70"/>
        <v/>
      </c>
      <c r="R1120" s="48" t="str">
        <f t="shared" si="71"/>
        <v/>
      </c>
      <c r="S1120" s="48" t="str">
        <f t="shared" si="72"/>
        <v/>
      </c>
    </row>
    <row r="1121" spans="5:19" x14ac:dyDescent="0.35">
      <c r="E1121" s="30" t="s">
        <v>42</v>
      </c>
      <c r="F1121" s="46"/>
      <c r="G1121" s="46"/>
      <c r="H1121" s="46"/>
      <c r="I1121" s="46"/>
      <c r="J1121" s="46"/>
      <c r="K1121" s="46"/>
      <c r="L1121" s="41" t="str">
        <f t="shared" ca="1" si="69"/>
        <v/>
      </c>
      <c r="M1121" s="47" t="str">
        <f t="shared" ca="1" si="70"/>
        <v/>
      </c>
      <c r="R1121" s="48" t="str">
        <f t="shared" si="71"/>
        <v/>
      </c>
      <c r="S1121" s="48" t="str">
        <f t="shared" si="72"/>
        <v/>
      </c>
    </row>
    <row r="1122" spans="5:19" x14ac:dyDescent="0.35">
      <c r="E1122" s="30" t="s">
        <v>42</v>
      </c>
      <c r="F1122" s="46"/>
      <c r="G1122" s="46"/>
      <c r="H1122" s="46"/>
      <c r="I1122" s="46"/>
      <c r="J1122" s="46"/>
      <c r="K1122" s="46"/>
      <c r="L1122" s="41" t="str">
        <f t="shared" ca="1" si="69"/>
        <v/>
      </c>
      <c r="M1122" s="47" t="str">
        <f t="shared" ca="1" si="70"/>
        <v/>
      </c>
      <c r="R1122" s="48" t="str">
        <f t="shared" si="71"/>
        <v/>
      </c>
      <c r="S1122" s="48" t="str">
        <f t="shared" si="72"/>
        <v/>
      </c>
    </row>
    <row r="1123" spans="5:19" x14ac:dyDescent="0.35">
      <c r="E1123" s="30" t="s">
        <v>42</v>
      </c>
      <c r="F1123" s="46"/>
      <c r="G1123" s="46"/>
      <c r="H1123" s="46"/>
      <c r="I1123" s="46"/>
      <c r="J1123" s="46"/>
      <c r="K1123" s="46"/>
      <c r="L1123" s="41" t="str">
        <f t="shared" ca="1" si="69"/>
        <v/>
      </c>
      <c r="M1123" s="47" t="str">
        <f t="shared" ca="1" si="70"/>
        <v/>
      </c>
      <c r="R1123" s="48" t="str">
        <f t="shared" si="71"/>
        <v/>
      </c>
      <c r="S1123" s="48" t="str">
        <f t="shared" si="72"/>
        <v/>
      </c>
    </row>
    <row r="1124" spans="5:19" x14ac:dyDescent="0.35">
      <c r="E1124" s="30" t="s">
        <v>42</v>
      </c>
      <c r="F1124" s="46"/>
      <c r="G1124" s="46"/>
      <c r="H1124" s="46"/>
      <c r="I1124" s="46"/>
      <c r="J1124" s="46"/>
      <c r="K1124" s="46"/>
      <c r="L1124" s="41" t="str">
        <f t="shared" ca="1" si="69"/>
        <v/>
      </c>
      <c r="M1124" s="47" t="str">
        <f t="shared" ca="1" si="70"/>
        <v/>
      </c>
      <c r="R1124" s="48" t="str">
        <f t="shared" si="71"/>
        <v/>
      </c>
      <c r="S1124" s="48" t="str">
        <f t="shared" si="72"/>
        <v/>
      </c>
    </row>
    <row r="1125" spans="5:19" x14ac:dyDescent="0.35">
      <c r="E1125" s="30" t="s">
        <v>42</v>
      </c>
      <c r="F1125" s="46"/>
      <c r="G1125" s="46"/>
      <c r="H1125" s="46"/>
      <c r="I1125" s="46"/>
      <c r="J1125" s="46"/>
      <c r="K1125" s="46"/>
      <c r="L1125" s="41" t="str">
        <f t="shared" ca="1" si="69"/>
        <v/>
      </c>
      <c r="M1125" s="47" t="str">
        <f t="shared" ca="1" si="70"/>
        <v/>
      </c>
      <c r="R1125" s="48" t="str">
        <f t="shared" si="71"/>
        <v/>
      </c>
      <c r="S1125" s="48" t="str">
        <f t="shared" si="72"/>
        <v/>
      </c>
    </row>
    <row r="1126" spans="5:19" x14ac:dyDescent="0.35">
      <c r="E1126" s="30" t="s">
        <v>42</v>
      </c>
      <c r="F1126" s="46"/>
      <c r="G1126" s="46"/>
      <c r="H1126" s="46"/>
      <c r="I1126" s="46"/>
      <c r="J1126" s="46"/>
      <c r="K1126" s="46"/>
      <c r="L1126" s="41" t="str">
        <f t="shared" ca="1" si="69"/>
        <v/>
      </c>
      <c r="M1126" s="47" t="str">
        <f t="shared" ca="1" si="70"/>
        <v/>
      </c>
      <c r="R1126" s="48" t="str">
        <f t="shared" si="71"/>
        <v/>
      </c>
      <c r="S1126" s="48" t="str">
        <f t="shared" si="72"/>
        <v/>
      </c>
    </row>
    <row r="1127" spans="5:19" x14ac:dyDescent="0.35">
      <c r="E1127" s="30" t="s">
        <v>42</v>
      </c>
      <c r="F1127" s="46"/>
      <c r="G1127" s="46"/>
      <c r="H1127" s="46"/>
      <c r="I1127" s="46"/>
      <c r="J1127" s="46"/>
      <c r="K1127" s="46"/>
      <c r="L1127" s="41" t="str">
        <f t="shared" ca="1" si="69"/>
        <v/>
      </c>
      <c r="M1127" s="47" t="str">
        <f t="shared" ca="1" si="70"/>
        <v/>
      </c>
      <c r="R1127" s="48" t="str">
        <f t="shared" si="71"/>
        <v/>
      </c>
      <c r="S1127" s="48" t="str">
        <f t="shared" si="72"/>
        <v/>
      </c>
    </row>
    <row r="1128" spans="5:19" x14ac:dyDescent="0.35">
      <c r="E1128" s="30" t="s">
        <v>42</v>
      </c>
      <c r="F1128" s="46"/>
      <c r="G1128" s="46"/>
      <c r="H1128" s="46"/>
      <c r="I1128" s="46"/>
      <c r="J1128" s="46"/>
      <c r="K1128" s="46"/>
      <c r="L1128" s="41" t="str">
        <f t="shared" ca="1" si="69"/>
        <v/>
      </c>
      <c r="M1128" s="47" t="str">
        <f t="shared" ca="1" si="70"/>
        <v/>
      </c>
      <c r="R1128" s="48" t="str">
        <f t="shared" si="71"/>
        <v/>
      </c>
      <c r="S1128" s="48" t="str">
        <f t="shared" si="72"/>
        <v/>
      </c>
    </row>
    <row r="1129" spans="5:19" x14ac:dyDescent="0.35">
      <c r="E1129" s="30" t="s">
        <v>42</v>
      </c>
      <c r="F1129" s="46"/>
      <c r="G1129" s="46"/>
      <c r="H1129" s="46"/>
      <c r="I1129" s="46"/>
      <c r="J1129" s="46"/>
      <c r="K1129" s="46"/>
      <c r="L1129" s="41" t="str">
        <f t="shared" ca="1" si="69"/>
        <v/>
      </c>
      <c r="M1129" s="47" t="str">
        <f t="shared" ca="1" si="70"/>
        <v/>
      </c>
      <c r="R1129" s="48" t="str">
        <f t="shared" si="71"/>
        <v/>
      </c>
      <c r="S1129" s="48" t="str">
        <f t="shared" si="72"/>
        <v/>
      </c>
    </row>
    <row r="1130" spans="5:19" x14ac:dyDescent="0.35">
      <c r="E1130" s="30" t="s">
        <v>42</v>
      </c>
      <c r="F1130" s="46"/>
      <c r="G1130" s="46"/>
      <c r="H1130" s="46"/>
      <c r="I1130" s="46"/>
      <c r="J1130" s="46"/>
      <c r="K1130" s="46"/>
      <c r="L1130" s="41" t="str">
        <f t="shared" ca="1" si="69"/>
        <v/>
      </c>
      <c r="M1130" s="47" t="str">
        <f t="shared" ca="1" si="70"/>
        <v/>
      </c>
      <c r="R1130" s="48" t="str">
        <f t="shared" si="71"/>
        <v/>
      </c>
      <c r="S1130" s="48" t="str">
        <f t="shared" si="72"/>
        <v/>
      </c>
    </row>
    <row r="1131" spans="5:19" x14ac:dyDescent="0.35">
      <c r="E1131" s="30" t="s">
        <v>42</v>
      </c>
      <c r="F1131" s="46"/>
      <c r="G1131" s="46"/>
      <c r="H1131" s="46"/>
      <c r="I1131" s="46"/>
      <c r="J1131" s="46"/>
      <c r="K1131" s="46"/>
      <c r="L1131" s="41" t="str">
        <f t="shared" ca="1" si="69"/>
        <v/>
      </c>
      <c r="M1131" s="47" t="str">
        <f t="shared" ca="1" si="70"/>
        <v/>
      </c>
      <c r="R1131" s="48" t="str">
        <f t="shared" si="71"/>
        <v/>
      </c>
      <c r="S1131" s="48" t="str">
        <f t="shared" si="72"/>
        <v/>
      </c>
    </row>
    <row r="1132" spans="5:19" x14ac:dyDescent="0.35">
      <c r="E1132" s="30" t="s">
        <v>42</v>
      </c>
      <c r="F1132" s="46"/>
      <c r="G1132" s="46"/>
      <c r="H1132" s="46"/>
      <c r="I1132" s="46"/>
      <c r="J1132" s="46"/>
      <c r="K1132" s="46"/>
      <c r="L1132" s="41" t="str">
        <f t="shared" ca="1" si="69"/>
        <v/>
      </c>
      <c r="M1132" s="47" t="str">
        <f t="shared" ca="1" si="70"/>
        <v/>
      </c>
      <c r="R1132" s="48" t="str">
        <f t="shared" si="71"/>
        <v/>
      </c>
      <c r="S1132" s="48" t="str">
        <f t="shared" si="72"/>
        <v/>
      </c>
    </row>
    <row r="1133" spans="5:19" x14ac:dyDescent="0.35">
      <c r="E1133" s="30" t="s">
        <v>42</v>
      </c>
      <c r="F1133" s="46"/>
      <c r="G1133" s="46"/>
      <c r="H1133" s="46"/>
      <c r="I1133" s="46"/>
      <c r="J1133" s="46"/>
      <c r="K1133" s="46"/>
      <c r="L1133" s="41" t="str">
        <f t="shared" ca="1" si="69"/>
        <v/>
      </c>
      <c r="M1133" s="47" t="str">
        <f t="shared" ca="1" si="70"/>
        <v/>
      </c>
      <c r="R1133" s="48" t="str">
        <f t="shared" si="71"/>
        <v/>
      </c>
      <c r="S1133" s="48" t="str">
        <f t="shared" si="72"/>
        <v/>
      </c>
    </row>
    <row r="1134" spans="5:19" x14ac:dyDescent="0.35">
      <c r="E1134" s="30" t="s">
        <v>42</v>
      </c>
      <c r="F1134" s="46"/>
      <c r="G1134" s="46"/>
      <c r="H1134" s="46"/>
      <c r="I1134" s="46"/>
      <c r="J1134" s="46"/>
      <c r="K1134" s="46"/>
      <c r="L1134" s="41" t="str">
        <f t="shared" ca="1" si="69"/>
        <v/>
      </c>
      <c r="M1134" s="47" t="str">
        <f t="shared" ca="1" si="70"/>
        <v/>
      </c>
      <c r="R1134" s="48" t="str">
        <f t="shared" si="71"/>
        <v/>
      </c>
      <c r="S1134" s="48" t="str">
        <f t="shared" si="72"/>
        <v/>
      </c>
    </row>
    <row r="1135" spans="5:19" x14ac:dyDescent="0.35">
      <c r="E1135" s="30" t="s">
        <v>42</v>
      </c>
      <c r="F1135" s="46"/>
      <c r="G1135" s="46"/>
      <c r="H1135" s="46"/>
      <c r="I1135" s="46"/>
      <c r="J1135" s="46"/>
      <c r="K1135" s="46"/>
      <c r="L1135" s="41" t="str">
        <f t="shared" ca="1" si="69"/>
        <v/>
      </c>
      <c r="M1135" s="47" t="str">
        <f t="shared" ca="1" si="70"/>
        <v/>
      </c>
      <c r="R1135" s="48" t="str">
        <f t="shared" si="71"/>
        <v/>
      </c>
      <c r="S1135" s="48" t="str">
        <f t="shared" si="72"/>
        <v/>
      </c>
    </row>
    <row r="1136" spans="5:19" x14ac:dyDescent="0.35">
      <c r="E1136" s="30" t="s">
        <v>42</v>
      </c>
      <c r="F1136" s="46"/>
      <c r="G1136" s="46"/>
      <c r="H1136" s="46"/>
      <c r="I1136" s="46"/>
      <c r="J1136" s="46"/>
      <c r="K1136" s="46"/>
      <c r="L1136" s="41" t="str">
        <f t="shared" ca="1" si="69"/>
        <v/>
      </c>
      <c r="M1136" s="47" t="str">
        <f t="shared" ca="1" si="70"/>
        <v/>
      </c>
      <c r="R1136" s="48" t="str">
        <f t="shared" si="71"/>
        <v/>
      </c>
      <c r="S1136" s="48" t="str">
        <f t="shared" si="72"/>
        <v/>
      </c>
    </row>
    <row r="1137" spans="5:19" x14ac:dyDescent="0.35">
      <c r="E1137" s="30" t="s">
        <v>42</v>
      </c>
      <c r="F1137" s="46"/>
      <c r="G1137" s="46"/>
      <c r="H1137" s="46"/>
      <c r="I1137" s="46"/>
      <c r="J1137" s="46"/>
      <c r="K1137" s="46"/>
      <c r="L1137" s="41" t="str">
        <f t="shared" ca="1" si="69"/>
        <v/>
      </c>
      <c r="M1137" s="47" t="str">
        <f t="shared" ca="1" si="70"/>
        <v/>
      </c>
      <c r="R1137" s="48" t="str">
        <f t="shared" si="71"/>
        <v/>
      </c>
      <c r="S1137" s="48" t="str">
        <f t="shared" si="72"/>
        <v/>
      </c>
    </row>
    <row r="1138" spans="5:19" x14ac:dyDescent="0.35">
      <c r="E1138" s="30" t="s">
        <v>42</v>
      </c>
      <c r="F1138" s="46"/>
      <c r="G1138" s="46"/>
      <c r="H1138" s="46"/>
      <c r="I1138" s="46"/>
      <c r="J1138" s="46"/>
      <c r="K1138" s="46"/>
      <c r="L1138" s="41" t="str">
        <f t="shared" ca="1" si="69"/>
        <v/>
      </c>
      <c r="M1138" s="47" t="str">
        <f t="shared" ca="1" si="70"/>
        <v/>
      </c>
      <c r="R1138" s="48" t="str">
        <f t="shared" si="71"/>
        <v/>
      </c>
      <c r="S1138" s="48" t="str">
        <f t="shared" si="72"/>
        <v/>
      </c>
    </row>
    <row r="1139" spans="5:19" x14ac:dyDescent="0.35">
      <c r="E1139" s="30" t="s">
        <v>42</v>
      </c>
      <c r="F1139" s="46"/>
      <c r="G1139" s="46"/>
      <c r="H1139" s="46"/>
      <c r="I1139" s="46"/>
      <c r="J1139" s="46"/>
      <c r="K1139" s="46"/>
      <c r="L1139" s="41" t="str">
        <f t="shared" ca="1" si="69"/>
        <v/>
      </c>
      <c r="M1139" s="47" t="str">
        <f t="shared" ca="1" si="70"/>
        <v/>
      </c>
      <c r="R1139" s="48" t="str">
        <f t="shared" si="71"/>
        <v/>
      </c>
      <c r="S1139" s="48" t="str">
        <f t="shared" si="72"/>
        <v/>
      </c>
    </row>
    <row r="1140" spans="5:19" x14ac:dyDescent="0.35">
      <c r="E1140" s="30" t="s">
        <v>42</v>
      </c>
      <c r="F1140" s="46"/>
      <c r="G1140" s="46"/>
      <c r="H1140" s="46"/>
      <c r="I1140" s="46"/>
      <c r="J1140" s="46"/>
      <c r="K1140" s="46"/>
      <c r="L1140" s="41" t="str">
        <f t="shared" ca="1" si="69"/>
        <v/>
      </c>
      <c r="M1140" s="47" t="str">
        <f t="shared" ca="1" si="70"/>
        <v/>
      </c>
      <c r="R1140" s="48" t="str">
        <f t="shared" si="71"/>
        <v/>
      </c>
      <c r="S1140" s="48" t="str">
        <f t="shared" si="72"/>
        <v/>
      </c>
    </row>
    <row r="1141" spans="5:19" x14ac:dyDescent="0.35">
      <c r="E1141" s="30" t="s">
        <v>42</v>
      </c>
      <c r="F1141" s="46"/>
      <c r="G1141" s="46"/>
      <c r="H1141" s="46"/>
      <c r="I1141" s="46"/>
      <c r="J1141" s="46"/>
      <c r="K1141" s="46"/>
      <c r="L1141" s="41" t="str">
        <f t="shared" ca="1" si="69"/>
        <v/>
      </c>
      <c r="M1141" s="47" t="str">
        <f t="shared" ca="1" si="70"/>
        <v/>
      </c>
      <c r="R1141" s="48" t="str">
        <f t="shared" si="71"/>
        <v/>
      </c>
      <c r="S1141" s="48" t="str">
        <f t="shared" si="72"/>
        <v/>
      </c>
    </row>
    <row r="1142" spans="5:19" x14ac:dyDescent="0.35">
      <c r="E1142" s="30" t="s">
        <v>42</v>
      </c>
      <c r="F1142" s="46"/>
      <c r="G1142" s="46"/>
      <c r="H1142" s="46"/>
      <c r="I1142" s="46"/>
      <c r="J1142" s="46"/>
      <c r="K1142" s="46"/>
      <c r="L1142" s="41" t="str">
        <f t="shared" ca="1" si="69"/>
        <v/>
      </c>
      <c r="M1142" s="47" t="str">
        <f t="shared" ca="1" si="70"/>
        <v/>
      </c>
      <c r="R1142" s="48" t="str">
        <f t="shared" si="71"/>
        <v/>
      </c>
      <c r="S1142" s="48" t="str">
        <f t="shared" si="72"/>
        <v/>
      </c>
    </row>
    <row r="1143" spans="5:19" x14ac:dyDescent="0.35">
      <c r="E1143" s="30" t="s">
        <v>42</v>
      </c>
      <c r="F1143" s="46"/>
      <c r="G1143" s="46"/>
      <c r="H1143" s="46"/>
      <c r="I1143" s="46"/>
      <c r="J1143" s="46"/>
      <c r="K1143" s="46"/>
      <c r="L1143" s="41" t="str">
        <f t="shared" ca="1" si="69"/>
        <v/>
      </c>
      <c r="M1143" s="47" t="str">
        <f t="shared" ca="1" si="70"/>
        <v/>
      </c>
      <c r="R1143" s="48" t="str">
        <f t="shared" si="71"/>
        <v/>
      </c>
      <c r="S1143" s="48" t="str">
        <f t="shared" si="72"/>
        <v/>
      </c>
    </row>
    <row r="1144" spans="5:19" x14ac:dyDescent="0.35">
      <c r="E1144" s="30" t="s">
        <v>42</v>
      </c>
      <c r="F1144" s="46"/>
      <c r="G1144" s="46"/>
      <c r="H1144" s="46"/>
      <c r="I1144" s="46"/>
      <c r="J1144" s="46"/>
      <c r="K1144" s="46"/>
      <c r="L1144" s="41" t="str">
        <f t="shared" ca="1" si="69"/>
        <v/>
      </c>
      <c r="M1144" s="47" t="str">
        <f t="shared" ca="1" si="70"/>
        <v/>
      </c>
      <c r="R1144" s="48" t="str">
        <f t="shared" si="71"/>
        <v/>
      </c>
      <c r="S1144" s="48" t="str">
        <f t="shared" si="72"/>
        <v/>
      </c>
    </row>
    <row r="1145" spans="5:19" x14ac:dyDescent="0.35">
      <c r="E1145" s="30" t="s">
        <v>42</v>
      </c>
      <c r="F1145" s="46"/>
      <c r="G1145" s="46"/>
      <c r="H1145" s="46"/>
      <c r="I1145" s="46"/>
      <c r="J1145" s="46"/>
      <c r="K1145" s="46"/>
      <c r="L1145" s="41" t="str">
        <f t="shared" ca="1" si="69"/>
        <v/>
      </c>
      <c r="M1145" s="47" t="str">
        <f t="shared" ca="1" si="70"/>
        <v/>
      </c>
      <c r="R1145" s="48" t="str">
        <f t="shared" si="71"/>
        <v/>
      </c>
      <c r="S1145" s="48" t="str">
        <f t="shared" si="72"/>
        <v/>
      </c>
    </row>
    <row r="1146" spans="5:19" x14ac:dyDescent="0.35">
      <c r="E1146" s="30" t="s">
        <v>42</v>
      </c>
      <c r="F1146" s="46"/>
      <c r="G1146" s="46"/>
      <c r="H1146" s="46"/>
      <c r="I1146" s="46"/>
      <c r="J1146" s="46"/>
      <c r="K1146" s="46"/>
      <c r="L1146" s="41" t="str">
        <f t="shared" ca="1" si="69"/>
        <v/>
      </c>
      <c r="M1146" s="47" t="str">
        <f t="shared" ca="1" si="70"/>
        <v/>
      </c>
      <c r="R1146" s="48" t="str">
        <f t="shared" si="71"/>
        <v/>
      </c>
      <c r="S1146" s="48" t="str">
        <f t="shared" si="72"/>
        <v/>
      </c>
    </row>
    <row r="1147" spans="5:19" x14ac:dyDescent="0.35">
      <c r="E1147" s="30" t="s">
        <v>42</v>
      </c>
      <c r="F1147" s="46"/>
      <c r="G1147" s="46"/>
      <c r="H1147" s="46"/>
      <c r="I1147" s="46"/>
      <c r="J1147" s="46"/>
      <c r="K1147" s="46"/>
      <c r="L1147" s="41" t="str">
        <f t="shared" ca="1" si="69"/>
        <v/>
      </c>
      <c r="M1147" s="47" t="str">
        <f t="shared" ca="1" si="70"/>
        <v/>
      </c>
      <c r="R1147" s="48" t="str">
        <f t="shared" si="71"/>
        <v/>
      </c>
      <c r="S1147" s="48" t="str">
        <f t="shared" si="72"/>
        <v/>
      </c>
    </row>
    <row r="1148" spans="5:19" x14ac:dyDescent="0.35">
      <c r="E1148" s="30" t="s">
        <v>42</v>
      </c>
      <c r="F1148" s="46"/>
      <c r="G1148" s="46"/>
      <c r="H1148" s="46"/>
      <c r="I1148" s="46"/>
      <c r="J1148" s="46"/>
      <c r="K1148" s="46"/>
      <c r="L1148" s="41" t="str">
        <f t="shared" ca="1" si="69"/>
        <v/>
      </c>
      <c r="M1148" s="47" t="str">
        <f t="shared" ca="1" si="70"/>
        <v/>
      </c>
      <c r="R1148" s="48" t="str">
        <f t="shared" si="71"/>
        <v/>
      </c>
      <c r="S1148" s="48" t="str">
        <f t="shared" si="72"/>
        <v/>
      </c>
    </row>
    <row r="1149" spans="5:19" x14ac:dyDescent="0.35">
      <c r="E1149" s="30" t="s">
        <v>42</v>
      </c>
      <c r="F1149" s="46"/>
      <c r="G1149" s="46"/>
      <c r="H1149" s="46"/>
      <c r="I1149" s="46"/>
      <c r="J1149" s="46"/>
      <c r="K1149" s="46"/>
      <c r="L1149" s="41" t="str">
        <f t="shared" ca="1" si="69"/>
        <v/>
      </c>
      <c r="M1149" s="47" t="str">
        <f t="shared" ca="1" si="70"/>
        <v/>
      </c>
      <c r="R1149" s="48" t="str">
        <f t="shared" si="71"/>
        <v/>
      </c>
      <c r="S1149" s="48" t="str">
        <f t="shared" si="72"/>
        <v/>
      </c>
    </row>
    <row r="1150" spans="5:19" x14ac:dyDescent="0.35">
      <c r="E1150" s="30" t="s">
        <v>42</v>
      </c>
      <c r="F1150" s="46"/>
      <c r="G1150" s="46"/>
      <c r="H1150" s="46"/>
      <c r="I1150" s="46"/>
      <c r="J1150" s="46"/>
      <c r="K1150" s="46"/>
      <c r="L1150" s="41" t="str">
        <f t="shared" ca="1" si="69"/>
        <v/>
      </c>
      <c r="M1150" s="47" t="str">
        <f t="shared" ca="1" si="70"/>
        <v/>
      </c>
      <c r="R1150" s="48" t="str">
        <f t="shared" si="71"/>
        <v/>
      </c>
      <c r="S1150" s="48" t="str">
        <f t="shared" si="72"/>
        <v/>
      </c>
    </row>
    <row r="1151" spans="5:19" x14ac:dyDescent="0.35">
      <c r="E1151" s="30" t="s">
        <v>42</v>
      </c>
      <c r="F1151" s="46"/>
      <c r="G1151" s="46"/>
      <c r="H1151" s="46"/>
      <c r="I1151" s="46"/>
      <c r="J1151" s="46"/>
      <c r="K1151" s="46"/>
      <c r="L1151" s="41" t="str">
        <f t="shared" ca="1" si="69"/>
        <v/>
      </c>
      <c r="M1151" s="47" t="str">
        <f t="shared" ca="1" si="70"/>
        <v/>
      </c>
      <c r="R1151" s="48" t="str">
        <f t="shared" si="71"/>
        <v/>
      </c>
      <c r="S1151" s="48" t="str">
        <f t="shared" si="72"/>
        <v/>
      </c>
    </row>
    <row r="1152" spans="5:19" x14ac:dyDescent="0.35">
      <c r="E1152" s="30" t="s">
        <v>42</v>
      </c>
      <c r="F1152" s="46"/>
      <c r="G1152" s="46"/>
      <c r="H1152" s="46"/>
      <c r="I1152" s="46"/>
      <c r="J1152" s="46"/>
      <c r="K1152" s="46"/>
      <c r="L1152" s="41" t="str">
        <f t="shared" ca="1" si="69"/>
        <v/>
      </c>
      <c r="M1152" s="47" t="str">
        <f t="shared" ca="1" si="70"/>
        <v/>
      </c>
      <c r="R1152" s="48" t="str">
        <f t="shared" si="71"/>
        <v/>
      </c>
      <c r="S1152" s="48" t="str">
        <f t="shared" si="72"/>
        <v/>
      </c>
    </row>
    <row r="1153" spans="5:19" x14ac:dyDescent="0.35">
      <c r="E1153" s="30" t="s">
        <v>42</v>
      </c>
      <c r="F1153" s="46"/>
      <c r="G1153" s="46"/>
      <c r="H1153" s="46"/>
      <c r="I1153" s="46"/>
      <c r="J1153" s="46"/>
      <c r="K1153" s="46"/>
      <c r="L1153" s="41" t="str">
        <f t="shared" ca="1" si="69"/>
        <v/>
      </c>
      <c r="M1153" s="47" t="str">
        <f t="shared" ca="1" si="70"/>
        <v/>
      </c>
      <c r="R1153" s="48" t="str">
        <f t="shared" si="71"/>
        <v/>
      </c>
      <c r="S1153" s="48" t="str">
        <f t="shared" si="72"/>
        <v/>
      </c>
    </row>
    <row r="1154" spans="5:19" x14ac:dyDescent="0.35">
      <c r="E1154" s="30" t="s">
        <v>42</v>
      </c>
      <c r="F1154" s="46"/>
      <c r="G1154" s="46"/>
      <c r="H1154" s="46"/>
      <c r="I1154" s="46"/>
      <c r="J1154" s="46"/>
      <c r="K1154" s="46"/>
      <c r="L1154" s="41" t="str">
        <f t="shared" ca="1" si="69"/>
        <v/>
      </c>
      <c r="M1154" s="47" t="str">
        <f t="shared" ca="1" si="70"/>
        <v/>
      </c>
      <c r="R1154" s="48" t="str">
        <f t="shared" si="71"/>
        <v/>
      </c>
      <c r="S1154" s="48" t="str">
        <f t="shared" si="72"/>
        <v/>
      </c>
    </row>
    <row r="1155" spans="5:19" x14ac:dyDescent="0.35">
      <c r="E1155" s="30" t="s">
        <v>42</v>
      </c>
      <c r="F1155" s="46"/>
      <c r="G1155" s="46"/>
      <c r="H1155" s="46"/>
      <c r="I1155" s="46"/>
      <c r="J1155" s="46"/>
      <c r="K1155" s="46"/>
      <c r="L1155" s="41" t="str">
        <f t="shared" ca="1" si="69"/>
        <v/>
      </c>
      <c r="M1155" s="47" t="str">
        <f t="shared" ca="1" si="70"/>
        <v/>
      </c>
      <c r="R1155" s="48" t="str">
        <f t="shared" si="71"/>
        <v/>
      </c>
      <c r="S1155" s="48" t="str">
        <f t="shared" si="72"/>
        <v/>
      </c>
    </row>
    <row r="1156" spans="5:19" x14ac:dyDescent="0.35">
      <c r="E1156" s="30" t="s">
        <v>42</v>
      </c>
      <c r="F1156" s="46"/>
      <c r="G1156" s="46"/>
      <c r="H1156" s="46"/>
      <c r="I1156" s="46"/>
      <c r="J1156" s="46"/>
      <c r="K1156" s="46"/>
      <c r="L1156" s="41" t="str">
        <f t="shared" ca="1" si="69"/>
        <v/>
      </c>
      <c r="M1156" s="47" t="str">
        <f t="shared" ca="1" si="70"/>
        <v/>
      </c>
      <c r="R1156" s="48" t="str">
        <f t="shared" si="71"/>
        <v/>
      </c>
      <c r="S1156" s="48" t="str">
        <f t="shared" si="72"/>
        <v/>
      </c>
    </row>
    <row r="1157" spans="5:19" x14ac:dyDescent="0.35">
      <c r="E1157" s="30" t="s">
        <v>42</v>
      </c>
      <c r="F1157" s="46"/>
      <c r="G1157" s="46"/>
      <c r="H1157" s="46"/>
      <c r="I1157" s="46"/>
      <c r="J1157" s="46"/>
      <c r="K1157" s="46"/>
      <c r="L1157" s="41" t="str">
        <f t="shared" ca="1" si="69"/>
        <v/>
      </c>
      <c r="M1157" s="47" t="str">
        <f t="shared" ca="1" si="70"/>
        <v/>
      </c>
      <c r="R1157" s="48" t="str">
        <f t="shared" si="71"/>
        <v/>
      </c>
      <c r="S1157" s="48" t="str">
        <f t="shared" si="72"/>
        <v/>
      </c>
    </row>
    <row r="1158" spans="5:19" x14ac:dyDescent="0.35">
      <c r="E1158" s="30" t="s">
        <v>42</v>
      </c>
      <c r="F1158" s="46"/>
      <c r="G1158" s="46"/>
      <c r="H1158" s="46"/>
      <c r="I1158" s="46"/>
      <c r="J1158" s="46"/>
      <c r="K1158" s="46"/>
      <c r="L1158" s="41" t="str">
        <f t="shared" ref="L1158:L1221" ca="1" si="73">IF(AND(C1158&lt;&gt;"",C1158&lt;&gt;R1158),TODAY(),IF(C1158="","",L1158))</f>
        <v/>
      </c>
      <c r="M1158" s="47" t="str">
        <f t="shared" ref="M1158:M1221" ca="1" si="74">IF(AND(C1158&lt;&gt;"",C1158&lt;&gt;S1158),NOW(),IF(C1158="","",M1158))</f>
        <v/>
      </c>
      <c r="R1158" s="48" t="str">
        <f t="shared" ref="R1158:R1221" si="75">IF(C1158="","",IF(OR(L1158="",AND(ISNUMBER(R1158),C1158=R1158)),R1158,C1158))</f>
        <v/>
      </c>
      <c r="S1158" s="48" t="str">
        <f t="shared" ref="S1158:S1221" si="76">IF(C1158="","",IF(OR(M1158="",AND(ISNUMBER(S1158),C1158=S1158)),S1158,C1158))</f>
        <v/>
      </c>
    </row>
    <row r="1159" spans="5:19" x14ac:dyDescent="0.35">
      <c r="E1159" s="30" t="s">
        <v>42</v>
      </c>
      <c r="F1159" s="46"/>
      <c r="G1159" s="46"/>
      <c r="H1159" s="46"/>
      <c r="I1159" s="46"/>
      <c r="J1159" s="46"/>
      <c r="K1159" s="46"/>
      <c r="L1159" s="41" t="str">
        <f t="shared" ca="1" si="73"/>
        <v/>
      </c>
      <c r="M1159" s="47" t="str">
        <f t="shared" ca="1" si="74"/>
        <v/>
      </c>
      <c r="R1159" s="48" t="str">
        <f t="shared" si="75"/>
        <v/>
      </c>
      <c r="S1159" s="48" t="str">
        <f t="shared" si="76"/>
        <v/>
      </c>
    </row>
    <row r="1160" spans="5:19" x14ac:dyDescent="0.35">
      <c r="E1160" s="30" t="s">
        <v>42</v>
      </c>
      <c r="F1160" s="46"/>
      <c r="G1160" s="46"/>
      <c r="H1160" s="46"/>
      <c r="I1160" s="46"/>
      <c r="J1160" s="46"/>
      <c r="K1160" s="46"/>
      <c r="L1160" s="41" t="str">
        <f t="shared" ca="1" si="73"/>
        <v/>
      </c>
      <c r="M1160" s="47" t="str">
        <f t="shared" ca="1" si="74"/>
        <v/>
      </c>
      <c r="R1160" s="48" t="str">
        <f t="shared" si="75"/>
        <v/>
      </c>
      <c r="S1160" s="48" t="str">
        <f t="shared" si="76"/>
        <v/>
      </c>
    </row>
    <row r="1161" spans="5:19" x14ac:dyDescent="0.35">
      <c r="E1161" s="30" t="s">
        <v>42</v>
      </c>
      <c r="F1161" s="46"/>
      <c r="G1161" s="46"/>
      <c r="H1161" s="46"/>
      <c r="I1161" s="46"/>
      <c r="J1161" s="46"/>
      <c r="K1161" s="46"/>
      <c r="L1161" s="41" t="str">
        <f t="shared" ca="1" si="73"/>
        <v/>
      </c>
      <c r="M1161" s="47" t="str">
        <f t="shared" ca="1" si="74"/>
        <v/>
      </c>
      <c r="R1161" s="48" t="str">
        <f t="shared" si="75"/>
        <v/>
      </c>
      <c r="S1161" s="48" t="str">
        <f t="shared" si="76"/>
        <v/>
      </c>
    </row>
    <row r="1162" spans="5:19" x14ac:dyDescent="0.35">
      <c r="E1162" s="30" t="s">
        <v>42</v>
      </c>
      <c r="F1162" s="46"/>
      <c r="G1162" s="46"/>
      <c r="H1162" s="46"/>
      <c r="I1162" s="46"/>
      <c r="J1162" s="46"/>
      <c r="K1162" s="46"/>
      <c r="L1162" s="41" t="str">
        <f t="shared" ca="1" si="73"/>
        <v/>
      </c>
      <c r="M1162" s="47" t="str">
        <f t="shared" ca="1" si="74"/>
        <v/>
      </c>
      <c r="R1162" s="48" t="str">
        <f t="shared" si="75"/>
        <v/>
      </c>
      <c r="S1162" s="48" t="str">
        <f t="shared" si="76"/>
        <v/>
      </c>
    </row>
    <row r="1163" spans="5:19" x14ac:dyDescent="0.35">
      <c r="E1163" s="30" t="s">
        <v>42</v>
      </c>
      <c r="F1163" s="46"/>
      <c r="G1163" s="46"/>
      <c r="H1163" s="46"/>
      <c r="I1163" s="46"/>
      <c r="J1163" s="46"/>
      <c r="K1163" s="46"/>
      <c r="L1163" s="41" t="str">
        <f t="shared" ca="1" si="73"/>
        <v/>
      </c>
      <c r="M1163" s="47" t="str">
        <f t="shared" ca="1" si="74"/>
        <v/>
      </c>
      <c r="R1163" s="48" t="str">
        <f t="shared" si="75"/>
        <v/>
      </c>
      <c r="S1163" s="48" t="str">
        <f t="shared" si="76"/>
        <v/>
      </c>
    </row>
    <row r="1164" spans="5:19" x14ac:dyDescent="0.35">
      <c r="E1164" s="30" t="s">
        <v>42</v>
      </c>
      <c r="F1164" s="46"/>
      <c r="G1164" s="46"/>
      <c r="H1164" s="46"/>
      <c r="I1164" s="46"/>
      <c r="J1164" s="46"/>
      <c r="K1164" s="46"/>
      <c r="L1164" s="41" t="str">
        <f t="shared" ca="1" si="73"/>
        <v/>
      </c>
      <c r="M1164" s="47" t="str">
        <f t="shared" ca="1" si="74"/>
        <v/>
      </c>
      <c r="R1164" s="48" t="str">
        <f t="shared" si="75"/>
        <v/>
      </c>
      <c r="S1164" s="48" t="str">
        <f t="shared" si="76"/>
        <v/>
      </c>
    </row>
    <row r="1165" spans="5:19" x14ac:dyDescent="0.35">
      <c r="E1165" s="30" t="s">
        <v>42</v>
      </c>
      <c r="F1165" s="46"/>
      <c r="G1165" s="46"/>
      <c r="H1165" s="46"/>
      <c r="I1165" s="46"/>
      <c r="J1165" s="46"/>
      <c r="K1165" s="46"/>
      <c r="L1165" s="41" t="str">
        <f t="shared" ca="1" si="73"/>
        <v/>
      </c>
      <c r="M1165" s="47" t="str">
        <f t="shared" ca="1" si="74"/>
        <v/>
      </c>
      <c r="R1165" s="48" t="str">
        <f t="shared" si="75"/>
        <v/>
      </c>
      <c r="S1165" s="48" t="str">
        <f t="shared" si="76"/>
        <v/>
      </c>
    </row>
    <row r="1166" spans="5:19" x14ac:dyDescent="0.35">
      <c r="E1166" s="30" t="s">
        <v>42</v>
      </c>
      <c r="F1166" s="46"/>
      <c r="G1166" s="46"/>
      <c r="H1166" s="46"/>
      <c r="I1166" s="46"/>
      <c r="J1166" s="46"/>
      <c r="K1166" s="46"/>
      <c r="L1166" s="41" t="str">
        <f t="shared" ca="1" si="73"/>
        <v/>
      </c>
      <c r="M1166" s="47" t="str">
        <f t="shared" ca="1" si="74"/>
        <v/>
      </c>
      <c r="R1166" s="48" t="str">
        <f t="shared" si="75"/>
        <v/>
      </c>
      <c r="S1166" s="48" t="str">
        <f t="shared" si="76"/>
        <v/>
      </c>
    </row>
    <row r="1167" spans="5:19" x14ac:dyDescent="0.35">
      <c r="E1167" s="30" t="s">
        <v>42</v>
      </c>
      <c r="F1167" s="46"/>
      <c r="G1167" s="46"/>
      <c r="H1167" s="46"/>
      <c r="I1167" s="46"/>
      <c r="J1167" s="46"/>
      <c r="K1167" s="46"/>
      <c r="L1167" s="41" t="str">
        <f t="shared" ca="1" si="73"/>
        <v/>
      </c>
      <c r="M1167" s="47" t="str">
        <f t="shared" ca="1" si="74"/>
        <v/>
      </c>
      <c r="R1167" s="48" t="str">
        <f t="shared" si="75"/>
        <v/>
      </c>
      <c r="S1167" s="48" t="str">
        <f t="shared" si="76"/>
        <v/>
      </c>
    </row>
    <row r="1168" spans="5:19" x14ac:dyDescent="0.35">
      <c r="E1168" s="30" t="s">
        <v>42</v>
      </c>
      <c r="F1168" s="46"/>
      <c r="G1168" s="46"/>
      <c r="H1168" s="46"/>
      <c r="I1168" s="46"/>
      <c r="J1168" s="46"/>
      <c r="K1168" s="46"/>
      <c r="L1168" s="41" t="str">
        <f t="shared" ca="1" si="73"/>
        <v/>
      </c>
      <c r="M1168" s="47" t="str">
        <f t="shared" ca="1" si="74"/>
        <v/>
      </c>
      <c r="R1168" s="48" t="str">
        <f t="shared" si="75"/>
        <v/>
      </c>
      <c r="S1168" s="48" t="str">
        <f t="shared" si="76"/>
        <v/>
      </c>
    </row>
    <row r="1169" spans="5:19" x14ac:dyDescent="0.35">
      <c r="E1169" s="30" t="s">
        <v>42</v>
      </c>
      <c r="F1169" s="46"/>
      <c r="G1169" s="46"/>
      <c r="H1169" s="46"/>
      <c r="I1169" s="46"/>
      <c r="J1169" s="46"/>
      <c r="K1169" s="46"/>
      <c r="L1169" s="41" t="str">
        <f t="shared" ca="1" si="73"/>
        <v/>
      </c>
      <c r="M1169" s="47" t="str">
        <f t="shared" ca="1" si="74"/>
        <v/>
      </c>
      <c r="R1169" s="48" t="str">
        <f t="shared" si="75"/>
        <v/>
      </c>
      <c r="S1169" s="48" t="str">
        <f t="shared" si="76"/>
        <v/>
      </c>
    </row>
    <row r="1170" spans="5:19" x14ac:dyDescent="0.35">
      <c r="E1170" s="30" t="s">
        <v>42</v>
      </c>
      <c r="F1170" s="46"/>
      <c r="G1170" s="46"/>
      <c r="H1170" s="46"/>
      <c r="I1170" s="46"/>
      <c r="J1170" s="46"/>
      <c r="K1170" s="46"/>
      <c r="L1170" s="41" t="str">
        <f t="shared" ca="1" si="73"/>
        <v/>
      </c>
      <c r="M1170" s="47" t="str">
        <f t="shared" ca="1" si="74"/>
        <v/>
      </c>
      <c r="R1170" s="48" t="str">
        <f t="shared" si="75"/>
        <v/>
      </c>
      <c r="S1170" s="48" t="str">
        <f t="shared" si="76"/>
        <v/>
      </c>
    </row>
    <row r="1171" spans="5:19" x14ac:dyDescent="0.35">
      <c r="E1171" s="30" t="s">
        <v>42</v>
      </c>
      <c r="F1171" s="46"/>
      <c r="G1171" s="46"/>
      <c r="H1171" s="46"/>
      <c r="I1171" s="46"/>
      <c r="J1171" s="46"/>
      <c r="K1171" s="46"/>
      <c r="L1171" s="41" t="str">
        <f t="shared" ca="1" si="73"/>
        <v/>
      </c>
      <c r="M1171" s="47" t="str">
        <f t="shared" ca="1" si="74"/>
        <v/>
      </c>
      <c r="R1171" s="48" t="str">
        <f t="shared" si="75"/>
        <v/>
      </c>
      <c r="S1171" s="48" t="str">
        <f t="shared" si="76"/>
        <v/>
      </c>
    </row>
    <row r="1172" spans="5:19" x14ac:dyDescent="0.35">
      <c r="E1172" s="30" t="s">
        <v>42</v>
      </c>
      <c r="F1172" s="46"/>
      <c r="G1172" s="46"/>
      <c r="H1172" s="46"/>
      <c r="I1172" s="46"/>
      <c r="J1172" s="46"/>
      <c r="K1172" s="46"/>
      <c r="L1172" s="41" t="str">
        <f t="shared" ca="1" si="73"/>
        <v/>
      </c>
      <c r="M1172" s="47" t="str">
        <f t="shared" ca="1" si="74"/>
        <v/>
      </c>
      <c r="R1172" s="48" t="str">
        <f t="shared" si="75"/>
        <v/>
      </c>
      <c r="S1172" s="48" t="str">
        <f t="shared" si="76"/>
        <v/>
      </c>
    </row>
    <row r="1173" spans="5:19" x14ac:dyDescent="0.35">
      <c r="E1173" s="30" t="s">
        <v>42</v>
      </c>
      <c r="F1173" s="46"/>
      <c r="G1173" s="46"/>
      <c r="H1173" s="46"/>
      <c r="I1173" s="46"/>
      <c r="J1173" s="46"/>
      <c r="K1173" s="46"/>
      <c r="L1173" s="41" t="str">
        <f t="shared" ca="1" si="73"/>
        <v/>
      </c>
      <c r="M1173" s="47" t="str">
        <f t="shared" ca="1" si="74"/>
        <v/>
      </c>
      <c r="R1173" s="48" t="str">
        <f t="shared" si="75"/>
        <v/>
      </c>
      <c r="S1173" s="48" t="str">
        <f t="shared" si="76"/>
        <v/>
      </c>
    </row>
    <row r="1174" spans="5:19" x14ac:dyDescent="0.35">
      <c r="E1174" s="30" t="s">
        <v>42</v>
      </c>
      <c r="F1174" s="46"/>
      <c r="G1174" s="46"/>
      <c r="H1174" s="46"/>
      <c r="I1174" s="46"/>
      <c r="J1174" s="46"/>
      <c r="K1174" s="46"/>
      <c r="L1174" s="41" t="str">
        <f t="shared" ca="1" si="73"/>
        <v/>
      </c>
      <c r="M1174" s="47" t="str">
        <f t="shared" ca="1" si="74"/>
        <v/>
      </c>
      <c r="R1174" s="48" t="str">
        <f t="shared" si="75"/>
        <v/>
      </c>
      <c r="S1174" s="48" t="str">
        <f t="shared" si="76"/>
        <v/>
      </c>
    </row>
    <row r="1175" spans="5:19" x14ac:dyDescent="0.35">
      <c r="E1175" s="30" t="s">
        <v>42</v>
      </c>
      <c r="F1175" s="46"/>
      <c r="G1175" s="46"/>
      <c r="H1175" s="46"/>
      <c r="I1175" s="46"/>
      <c r="J1175" s="46"/>
      <c r="K1175" s="46"/>
      <c r="L1175" s="41" t="str">
        <f t="shared" ca="1" si="73"/>
        <v/>
      </c>
      <c r="M1175" s="47" t="str">
        <f t="shared" ca="1" si="74"/>
        <v/>
      </c>
      <c r="R1175" s="48" t="str">
        <f t="shared" si="75"/>
        <v/>
      </c>
      <c r="S1175" s="48" t="str">
        <f t="shared" si="76"/>
        <v/>
      </c>
    </row>
    <row r="1176" spans="5:19" x14ac:dyDescent="0.35">
      <c r="E1176" s="30" t="s">
        <v>42</v>
      </c>
      <c r="F1176" s="46"/>
      <c r="G1176" s="46"/>
      <c r="H1176" s="46"/>
      <c r="I1176" s="46"/>
      <c r="J1176" s="46"/>
      <c r="K1176" s="46"/>
      <c r="L1176" s="41" t="str">
        <f t="shared" ca="1" si="73"/>
        <v/>
      </c>
      <c r="M1176" s="47" t="str">
        <f t="shared" ca="1" si="74"/>
        <v/>
      </c>
      <c r="R1176" s="48" t="str">
        <f t="shared" si="75"/>
        <v/>
      </c>
      <c r="S1176" s="48" t="str">
        <f t="shared" si="76"/>
        <v/>
      </c>
    </row>
    <row r="1177" spans="5:19" x14ac:dyDescent="0.35">
      <c r="E1177" s="30" t="s">
        <v>42</v>
      </c>
      <c r="F1177" s="46"/>
      <c r="G1177" s="46"/>
      <c r="H1177" s="46"/>
      <c r="I1177" s="46"/>
      <c r="J1177" s="46"/>
      <c r="K1177" s="46"/>
      <c r="L1177" s="41" t="str">
        <f t="shared" ca="1" si="73"/>
        <v/>
      </c>
      <c r="M1177" s="47" t="str">
        <f t="shared" ca="1" si="74"/>
        <v/>
      </c>
      <c r="R1177" s="48" t="str">
        <f t="shared" si="75"/>
        <v/>
      </c>
      <c r="S1177" s="48" t="str">
        <f t="shared" si="76"/>
        <v/>
      </c>
    </row>
    <row r="1178" spans="5:19" x14ac:dyDescent="0.35">
      <c r="E1178" s="30" t="s">
        <v>42</v>
      </c>
      <c r="F1178" s="46"/>
      <c r="G1178" s="46"/>
      <c r="H1178" s="46"/>
      <c r="I1178" s="46"/>
      <c r="J1178" s="46"/>
      <c r="K1178" s="46"/>
      <c r="L1178" s="41" t="str">
        <f t="shared" ca="1" si="73"/>
        <v/>
      </c>
      <c r="M1178" s="47" t="str">
        <f t="shared" ca="1" si="74"/>
        <v/>
      </c>
      <c r="R1178" s="48" t="str">
        <f t="shared" si="75"/>
        <v/>
      </c>
      <c r="S1178" s="48" t="str">
        <f t="shared" si="76"/>
        <v/>
      </c>
    </row>
    <row r="1179" spans="5:19" x14ac:dyDescent="0.35">
      <c r="E1179" s="30" t="s">
        <v>42</v>
      </c>
      <c r="F1179" s="46"/>
      <c r="G1179" s="46"/>
      <c r="H1179" s="46"/>
      <c r="I1179" s="46"/>
      <c r="J1179" s="46"/>
      <c r="K1179" s="46"/>
      <c r="L1179" s="41" t="str">
        <f t="shared" ca="1" si="73"/>
        <v/>
      </c>
      <c r="M1179" s="47" t="str">
        <f t="shared" ca="1" si="74"/>
        <v/>
      </c>
      <c r="R1179" s="48" t="str">
        <f t="shared" si="75"/>
        <v/>
      </c>
      <c r="S1179" s="48" t="str">
        <f t="shared" si="76"/>
        <v/>
      </c>
    </row>
    <row r="1180" spans="5:19" x14ac:dyDescent="0.35">
      <c r="E1180" s="30" t="s">
        <v>42</v>
      </c>
      <c r="F1180" s="46"/>
      <c r="G1180" s="46"/>
      <c r="H1180" s="46"/>
      <c r="I1180" s="46"/>
      <c r="J1180" s="46"/>
      <c r="K1180" s="46"/>
      <c r="L1180" s="41" t="str">
        <f t="shared" ca="1" si="73"/>
        <v/>
      </c>
      <c r="M1180" s="47" t="str">
        <f t="shared" ca="1" si="74"/>
        <v/>
      </c>
      <c r="R1180" s="48" t="str">
        <f t="shared" si="75"/>
        <v/>
      </c>
      <c r="S1180" s="48" t="str">
        <f t="shared" si="76"/>
        <v/>
      </c>
    </row>
    <row r="1181" spans="5:19" x14ac:dyDescent="0.35">
      <c r="E1181" s="30" t="s">
        <v>42</v>
      </c>
      <c r="F1181" s="46"/>
      <c r="G1181" s="46"/>
      <c r="H1181" s="46"/>
      <c r="I1181" s="46"/>
      <c r="J1181" s="46"/>
      <c r="K1181" s="46"/>
      <c r="L1181" s="41" t="str">
        <f t="shared" ca="1" si="73"/>
        <v/>
      </c>
      <c r="M1181" s="47" t="str">
        <f t="shared" ca="1" si="74"/>
        <v/>
      </c>
      <c r="R1181" s="48" t="str">
        <f t="shared" si="75"/>
        <v/>
      </c>
      <c r="S1181" s="48" t="str">
        <f t="shared" si="76"/>
        <v/>
      </c>
    </row>
    <row r="1182" spans="5:19" x14ac:dyDescent="0.35">
      <c r="E1182" s="30" t="s">
        <v>42</v>
      </c>
      <c r="F1182" s="46"/>
      <c r="G1182" s="46"/>
      <c r="H1182" s="46"/>
      <c r="I1182" s="46"/>
      <c r="J1182" s="46"/>
      <c r="K1182" s="46"/>
      <c r="L1182" s="41" t="str">
        <f t="shared" ca="1" si="73"/>
        <v/>
      </c>
      <c r="M1182" s="47" t="str">
        <f t="shared" ca="1" si="74"/>
        <v/>
      </c>
      <c r="R1182" s="48" t="str">
        <f t="shared" si="75"/>
        <v/>
      </c>
      <c r="S1182" s="48" t="str">
        <f t="shared" si="76"/>
        <v/>
      </c>
    </row>
    <row r="1183" spans="5:19" x14ac:dyDescent="0.35">
      <c r="E1183" s="30" t="s">
        <v>42</v>
      </c>
      <c r="F1183" s="46"/>
      <c r="G1183" s="46"/>
      <c r="H1183" s="46"/>
      <c r="I1183" s="46"/>
      <c r="J1183" s="46"/>
      <c r="K1183" s="46"/>
      <c r="L1183" s="41" t="str">
        <f t="shared" ca="1" si="73"/>
        <v/>
      </c>
      <c r="M1183" s="47" t="str">
        <f t="shared" ca="1" si="74"/>
        <v/>
      </c>
      <c r="R1183" s="48" t="str">
        <f t="shared" si="75"/>
        <v/>
      </c>
      <c r="S1183" s="48" t="str">
        <f t="shared" si="76"/>
        <v/>
      </c>
    </row>
    <row r="1184" spans="5:19" x14ac:dyDescent="0.35">
      <c r="E1184" s="30" t="s">
        <v>42</v>
      </c>
      <c r="F1184" s="46"/>
      <c r="G1184" s="46"/>
      <c r="H1184" s="46"/>
      <c r="I1184" s="46"/>
      <c r="J1184" s="46"/>
      <c r="K1184" s="46"/>
      <c r="L1184" s="41" t="str">
        <f t="shared" ca="1" si="73"/>
        <v/>
      </c>
      <c r="M1184" s="47" t="str">
        <f t="shared" ca="1" si="74"/>
        <v/>
      </c>
      <c r="R1184" s="48" t="str">
        <f t="shared" si="75"/>
        <v/>
      </c>
      <c r="S1184" s="48" t="str">
        <f t="shared" si="76"/>
        <v/>
      </c>
    </row>
    <row r="1185" spans="5:19" x14ac:dyDescent="0.35">
      <c r="E1185" s="30" t="s">
        <v>42</v>
      </c>
      <c r="F1185" s="46"/>
      <c r="G1185" s="46"/>
      <c r="H1185" s="46"/>
      <c r="I1185" s="46"/>
      <c r="J1185" s="46"/>
      <c r="K1185" s="46"/>
      <c r="L1185" s="41" t="str">
        <f t="shared" ca="1" si="73"/>
        <v/>
      </c>
      <c r="M1185" s="47" t="str">
        <f t="shared" ca="1" si="74"/>
        <v/>
      </c>
      <c r="R1185" s="48" t="str">
        <f t="shared" si="75"/>
        <v/>
      </c>
      <c r="S1185" s="48" t="str">
        <f t="shared" si="76"/>
        <v/>
      </c>
    </row>
    <row r="1186" spans="5:19" x14ac:dyDescent="0.35">
      <c r="E1186" s="30" t="s">
        <v>42</v>
      </c>
      <c r="F1186" s="46"/>
      <c r="G1186" s="46"/>
      <c r="H1186" s="46"/>
      <c r="I1186" s="46"/>
      <c r="J1186" s="46"/>
      <c r="K1186" s="46"/>
      <c r="L1186" s="41" t="str">
        <f t="shared" ca="1" si="73"/>
        <v/>
      </c>
      <c r="M1186" s="47" t="str">
        <f t="shared" ca="1" si="74"/>
        <v/>
      </c>
      <c r="R1186" s="48" t="str">
        <f t="shared" si="75"/>
        <v/>
      </c>
      <c r="S1186" s="48" t="str">
        <f t="shared" si="76"/>
        <v/>
      </c>
    </row>
    <row r="1187" spans="5:19" x14ac:dyDescent="0.35">
      <c r="E1187" s="30" t="s">
        <v>42</v>
      </c>
      <c r="F1187" s="46"/>
      <c r="G1187" s="46"/>
      <c r="H1187" s="46"/>
      <c r="I1187" s="46"/>
      <c r="J1187" s="46"/>
      <c r="K1187" s="46"/>
      <c r="L1187" s="41" t="str">
        <f t="shared" ca="1" si="73"/>
        <v/>
      </c>
      <c r="M1187" s="47" t="str">
        <f t="shared" ca="1" si="74"/>
        <v/>
      </c>
      <c r="R1187" s="48" t="str">
        <f t="shared" si="75"/>
        <v/>
      </c>
      <c r="S1187" s="48" t="str">
        <f t="shared" si="76"/>
        <v/>
      </c>
    </row>
    <row r="1188" spans="5:19" x14ac:dyDescent="0.35">
      <c r="E1188" s="30" t="s">
        <v>42</v>
      </c>
      <c r="F1188" s="46"/>
      <c r="G1188" s="46"/>
      <c r="H1188" s="46"/>
      <c r="I1188" s="46"/>
      <c r="J1188" s="46"/>
      <c r="K1188" s="46"/>
      <c r="L1188" s="41" t="str">
        <f t="shared" ca="1" si="73"/>
        <v/>
      </c>
      <c r="M1188" s="47" t="str">
        <f t="shared" ca="1" si="74"/>
        <v/>
      </c>
      <c r="R1188" s="48" t="str">
        <f t="shared" si="75"/>
        <v/>
      </c>
      <c r="S1188" s="48" t="str">
        <f t="shared" si="76"/>
        <v/>
      </c>
    </row>
    <row r="1189" spans="5:19" x14ac:dyDescent="0.35">
      <c r="E1189" s="30" t="s">
        <v>42</v>
      </c>
      <c r="F1189" s="46"/>
      <c r="G1189" s="46"/>
      <c r="H1189" s="46"/>
      <c r="I1189" s="46"/>
      <c r="J1189" s="46"/>
      <c r="K1189" s="46"/>
      <c r="L1189" s="41" t="str">
        <f t="shared" ca="1" si="73"/>
        <v/>
      </c>
      <c r="M1189" s="47" t="str">
        <f t="shared" ca="1" si="74"/>
        <v/>
      </c>
      <c r="R1189" s="48" t="str">
        <f t="shared" si="75"/>
        <v/>
      </c>
      <c r="S1189" s="48" t="str">
        <f t="shared" si="76"/>
        <v/>
      </c>
    </row>
    <row r="1190" spans="5:19" x14ac:dyDescent="0.35">
      <c r="E1190" s="30" t="s">
        <v>42</v>
      </c>
      <c r="F1190" s="46"/>
      <c r="G1190" s="46"/>
      <c r="H1190" s="46"/>
      <c r="I1190" s="46"/>
      <c r="J1190" s="46"/>
      <c r="K1190" s="46"/>
      <c r="L1190" s="41" t="str">
        <f t="shared" ca="1" si="73"/>
        <v/>
      </c>
      <c r="M1190" s="47" t="str">
        <f t="shared" ca="1" si="74"/>
        <v/>
      </c>
      <c r="R1190" s="48" t="str">
        <f t="shared" si="75"/>
        <v/>
      </c>
      <c r="S1190" s="48" t="str">
        <f t="shared" si="76"/>
        <v/>
      </c>
    </row>
    <row r="1191" spans="5:19" x14ac:dyDescent="0.35">
      <c r="E1191" s="30" t="s">
        <v>42</v>
      </c>
      <c r="F1191" s="46"/>
      <c r="G1191" s="46"/>
      <c r="H1191" s="46"/>
      <c r="I1191" s="46"/>
      <c r="J1191" s="46"/>
      <c r="K1191" s="46"/>
      <c r="L1191" s="41" t="str">
        <f t="shared" ca="1" si="73"/>
        <v/>
      </c>
      <c r="M1191" s="47" t="str">
        <f t="shared" ca="1" si="74"/>
        <v/>
      </c>
      <c r="R1191" s="48" t="str">
        <f t="shared" si="75"/>
        <v/>
      </c>
      <c r="S1191" s="48" t="str">
        <f t="shared" si="76"/>
        <v/>
      </c>
    </row>
    <row r="1192" spans="5:19" x14ac:dyDescent="0.35">
      <c r="E1192" s="30" t="s">
        <v>42</v>
      </c>
      <c r="F1192" s="46"/>
      <c r="G1192" s="46"/>
      <c r="H1192" s="46"/>
      <c r="I1192" s="46"/>
      <c r="J1192" s="46"/>
      <c r="K1192" s="46"/>
      <c r="L1192" s="41" t="str">
        <f t="shared" ca="1" si="73"/>
        <v/>
      </c>
      <c r="M1192" s="47" t="str">
        <f t="shared" ca="1" si="74"/>
        <v/>
      </c>
      <c r="R1192" s="48" t="str">
        <f t="shared" si="75"/>
        <v/>
      </c>
      <c r="S1192" s="48" t="str">
        <f t="shared" si="76"/>
        <v/>
      </c>
    </row>
    <row r="1193" spans="5:19" x14ac:dyDescent="0.35">
      <c r="E1193" s="30" t="s">
        <v>42</v>
      </c>
      <c r="F1193" s="46"/>
      <c r="G1193" s="46"/>
      <c r="H1193" s="46"/>
      <c r="I1193" s="46"/>
      <c r="J1193" s="46"/>
      <c r="K1193" s="46"/>
      <c r="L1193" s="41" t="str">
        <f t="shared" ca="1" si="73"/>
        <v/>
      </c>
      <c r="M1193" s="47" t="str">
        <f t="shared" ca="1" si="74"/>
        <v/>
      </c>
      <c r="R1193" s="48" t="str">
        <f t="shared" si="75"/>
        <v/>
      </c>
      <c r="S1193" s="48" t="str">
        <f t="shared" si="76"/>
        <v/>
      </c>
    </row>
    <row r="1194" spans="5:19" x14ac:dyDescent="0.35">
      <c r="E1194" s="30" t="s">
        <v>42</v>
      </c>
      <c r="F1194" s="46"/>
      <c r="G1194" s="46"/>
      <c r="H1194" s="46"/>
      <c r="I1194" s="46"/>
      <c r="J1194" s="46"/>
      <c r="K1194" s="46"/>
      <c r="L1194" s="41" t="str">
        <f t="shared" ca="1" si="73"/>
        <v/>
      </c>
      <c r="M1194" s="47" t="str">
        <f t="shared" ca="1" si="74"/>
        <v/>
      </c>
      <c r="R1194" s="48" t="str">
        <f t="shared" si="75"/>
        <v/>
      </c>
      <c r="S1194" s="48" t="str">
        <f t="shared" si="76"/>
        <v/>
      </c>
    </row>
    <row r="1195" spans="5:19" x14ac:dyDescent="0.35">
      <c r="E1195" s="30" t="s">
        <v>42</v>
      </c>
      <c r="F1195" s="46"/>
      <c r="G1195" s="46"/>
      <c r="H1195" s="46"/>
      <c r="I1195" s="46"/>
      <c r="J1195" s="46"/>
      <c r="K1195" s="46"/>
      <c r="L1195" s="41" t="str">
        <f t="shared" ca="1" si="73"/>
        <v/>
      </c>
      <c r="M1195" s="47" t="str">
        <f t="shared" ca="1" si="74"/>
        <v/>
      </c>
      <c r="R1195" s="48" t="str">
        <f t="shared" si="75"/>
        <v/>
      </c>
      <c r="S1195" s="48" t="str">
        <f t="shared" si="76"/>
        <v/>
      </c>
    </row>
    <row r="1196" spans="5:19" x14ac:dyDescent="0.35">
      <c r="E1196" s="30" t="s">
        <v>42</v>
      </c>
      <c r="F1196" s="46"/>
      <c r="G1196" s="46"/>
      <c r="H1196" s="46"/>
      <c r="I1196" s="46"/>
      <c r="J1196" s="46"/>
      <c r="K1196" s="46"/>
      <c r="L1196" s="41" t="str">
        <f t="shared" ca="1" si="73"/>
        <v/>
      </c>
      <c r="M1196" s="47" t="str">
        <f t="shared" ca="1" si="74"/>
        <v/>
      </c>
      <c r="R1196" s="48" t="str">
        <f t="shared" si="75"/>
        <v/>
      </c>
      <c r="S1196" s="48" t="str">
        <f t="shared" si="76"/>
        <v/>
      </c>
    </row>
    <row r="1197" spans="5:19" x14ac:dyDescent="0.35">
      <c r="E1197" s="30" t="s">
        <v>42</v>
      </c>
      <c r="F1197" s="46"/>
      <c r="G1197" s="46"/>
      <c r="H1197" s="46"/>
      <c r="I1197" s="46"/>
      <c r="J1197" s="46"/>
      <c r="K1197" s="46"/>
      <c r="L1197" s="41" t="str">
        <f t="shared" ca="1" si="73"/>
        <v/>
      </c>
      <c r="M1197" s="47" t="str">
        <f t="shared" ca="1" si="74"/>
        <v/>
      </c>
      <c r="R1197" s="48" t="str">
        <f t="shared" si="75"/>
        <v/>
      </c>
      <c r="S1197" s="48" t="str">
        <f t="shared" si="76"/>
        <v/>
      </c>
    </row>
    <row r="1198" spans="5:19" x14ac:dyDescent="0.35">
      <c r="E1198" s="30" t="s">
        <v>42</v>
      </c>
      <c r="F1198" s="46"/>
      <c r="G1198" s="46"/>
      <c r="H1198" s="46"/>
      <c r="I1198" s="46"/>
      <c r="J1198" s="46"/>
      <c r="K1198" s="46"/>
      <c r="L1198" s="41" t="str">
        <f t="shared" ca="1" si="73"/>
        <v/>
      </c>
      <c r="M1198" s="47" t="str">
        <f t="shared" ca="1" si="74"/>
        <v/>
      </c>
      <c r="R1198" s="48" t="str">
        <f t="shared" si="75"/>
        <v/>
      </c>
      <c r="S1198" s="48" t="str">
        <f t="shared" si="76"/>
        <v/>
      </c>
    </row>
    <row r="1199" spans="5:19" x14ac:dyDescent="0.35">
      <c r="E1199" s="30" t="s">
        <v>42</v>
      </c>
      <c r="F1199" s="46"/>
      <c r="G1199" s="46"/>
      <c r="H1199" s="46"/>
      <c r="I1199" s="46"/>
      <c r="J1199" s="46"/>
      <c r="K1199" s="46"/>
      <c r="L1199" s="41" t="str">
        <f t="shared" ca="1" si="73"/>
        <v/>
      </c>
      <c r="M1199" s="47" t="str">
        <f t="shared" ca="1" si="74"/>
        <v/>
      </c>
      <c r="R1199" s="48" t="str">
        <f t="shared" si="75"/>
        <v/>
      </c>
      <c r="S1199" s="48" t="str">
        <f t="shared" si="76"/>
        <v/>
      </c>
    </row>
    <row r="1200" spans="5:19" x14ac:dyDescent="0.35">
      <c r="E1200" s="30" t="s">
        <v>42</v>
      </c>
      <c r="F1200" s="46"/>
      <c r="G1200" s="46"/>
      <c r="H1200" s="46"/>
      <c r="I1200" s="46"/>
      <c r="J1200" s="46"/>
      <c r="K1200" s="46"/>
      <c r="L1200" s="41" t="str">
        <f t="shared" ca="1" si="73"/>
        <v/>
      </c>
      <c r="M1200" s="47" t="str">
        <f t="shared" ca="1" si="74"/>
        <v/>
      </c>
      <c r="R1200" s="48" t="str">
        <f t="shared" si="75"/>
        <v/>
      </c>
      <c r="S1200" s="48" t="str">
        <f t="shared" si="76"/>
        <v/>
      </c>
    </row>
    <row r="1201" spans="5:19" x14ac:dyDescent="0.35">
      <c r="E1201" s="30" t="s">
        <v>42</v>
      </c>
      <c r="F1201" s="46"/>
      <c r="G1201" s="46"/>
      <c r="H1201" s="46"/>
      <c r="I1201" s="46"/>
      <c r="J1201" s="46"/>
      <c r="K1201" s="46"/>
      <c r="L1201" s="41" t="str">
        <f t="shared" ca="1" si="73"/>
        <v/>
      </c>
      <c r="M1201" s="47" t="str">
        <f t="shared" ca="1" si="74"/>
        <v/>
      </c>
      <c r="R1201" s="48" t="str">
        <f t="shared" si="75"/>
        <v/>
      </c>
      <c r="S1201" s="48" t="str">
        <f t="shared" si="76"/>
        <v/>
      </c>
    </row>
    <row r="1202" spans="5:19" x14ac:dyDescent="0.35">
      <c r="E1202" s="30" t="s">
        <v>42</v>
      </c>
      <c r="F1202" s="46"/>
      <c r="G1202" s="46"/>
      <c r="H1202" s="46"/>
      <c r="I1202" s="46"/>
      <c r="J1202" s="46"/>
      <c r="K1202" s="46"/>
      <c r="L1202" s="41" t="str">
        <f t="shared" ca="1" si="73"/>
        <v/>
      </c>
      <c r="M1202" s="47" t="str">
        <f t="shared" ca="1" si="74"/>
        <v/>
      </c>
      <c r="R1202" s="48" t="str">
        <f t="shared" si="75"/>
        <v/>
      </c>
      <c r="S1202" s="48" t="str">
        <f t="shared" si="76"/>
        <v/>
      </c>
    </row>
    <row r="1203" spans="5:19" x14ac:dyDescent="0.35">
      <c r="E1203" s="30" t="s">
        <v>42</v>
      </c>
      <c r="F1203" s="46"/>
      <c r="G1203" s="46"/>
      <c r="H1203" s="46"/>
      <c r="I1203" s="46"/>
      <c r="J1203" s="46"/>
      <c r="K1203" s="46"/>
      <c r="L1203" s="41" t="str">
        <f t="shared" ca="1" si="73"/>
        <v/>
      </c>
      <c r="M1203" s="47" t="str">
        <f t="shared" ca="1" si="74"/>
        <v/>
      </c>
      <c r="R1203" s="48" t="str">
        <f t="shared" si="75"/>
        <v/>
      </c>
      <c r="S1203" s="48" t="str">
        <f t="shared" si="76"/>
        <v/>
      </c>
    </row>
    <row r="1204" spans="5:19" x14ac:dyDescent="0.35">
      <c r="E1204" s="30" t="s">
        <v>42</v>
      </c>
      <c r="F1204" s="46"/>
      <c r="G1204" s="46"/>
      <c r="H1204" s="46"/>
      <c r="I1204" s="46"/>
      <c r="J1204" s="46"/>
      <c r="K1204" s="46"/>
      <c r="L1204" s="41" t="str">
        <f t="shared" ca="1" si="73"/>
        <v/>
      </c>
      <c r="M1204" s="47" t="str">
        <f t="shared" ca="1" si="74"/>
        <v/>
      </c>
      <c r="R1204" s="48" t="str">
        <f t="shared" si="75"/>
        <v/>
      </c>
      <c r="S1204" s="48" t="str">
        <f t="shared" si="76"/>
        <v/>
      </c>
    </row>
    <row r="1205" spans="5:19" x14ac:dyDescent="0.35">
      <c r="E1205" s="30" t="s">
        <v>42</v>
      </c>
      <c r="F1205" s="46"/>
      <c r="G1205" s="46"/>
      <c r="H1205" s="46"/>
      <c r="I1205" s="46"/>
      <c r="J1205" s="46"/>
      <c r="K1205" s="46"/>
      <c r="L1205" s="41" t="str">
        <f t="shared" ca="1" si="73"/>
        <v/>
      </c>
      <c r="M1205" s="47" t="str">
        <f t="shared" ca="1" si="74"/>
        <v/>
      </c>
      <c r="R1205" s="48" t="str">
        <f t="shared" si="75"/>
        <v/>
      </c>
      <c r="S1205" s="48" t="str">
        <f t="shared" si="76"/>
        <v/>
      </c>
    </row>
    <row r="1206" spans="5:19" x14ac:dyDescent="0.35">
      <c r="E1206" s="30" t="s">
        <v>42</v>
      </c>
      <c r="F1206" s="46"/>
      <c r="G1206" s="46"/>
      <c r="H1206" s="46"/>
      <c r="I1206" s="46"/>
      <c r="J1206" s="46"/>
      <c r="K1206" s="46"/>
      <c r="L1206" s="41" t="str">
        <f t="shared" ca="1" si="73"/>
        <v/>
      </c>
      <c r="M1206" s="47" t="str">
        <f t="shared" ca="1" si="74"/>
        <v/>
      </c>
      <c r="R1206" s="48" t="str">
        <f t="shared" si="75"/>
        <v/>
      </c>
      <c r="S1206" s="48" t="str">
        <f t="shared" si="76"/>
        <v/>
      </c>
    </row>
    <row r="1207" spans="5:19" x14ac:dyDescent="0.35">
      <c r="E1207" s="30" t="s">
        <v>42</v>
      </c>
      <c r="F1207" s="46"/>
      <c r="G1207" s="46"/>
      <c r="H1207" s="46"/>
      <c r="I1207" s="46"/>
      <c r="J1207" s="46"/>
      <c r="K1207" s="46"/>
      <c r="L1207" s="41" t="str">
        <f t="shared" ca="1" si="73"/>
        <v/>
      </c>
      <c r="M1207" s="47" t="str">
        <f t="shared" ca="1" si="74"/>
        <v/>
      </c>
      <c r="R1207" s="48" t="str">
        <f t="shared" si="75"/>
        <v/>
      </c>
      <c r="S1207" s="48" t="str">
        <f t="shared" si="76"/>
        <v/>
      </c>
    </row>
    <row r="1208" spans="5:19" x14ac:dyDescent="0.35">
      <c r="E1208" s="30" t="s">
        <v>42</v>
      </c>
      <c r="F1208" s="46"/>
      <c r="G1208" s="46"/>
      <c r="H1208" s="46"/>
      <c r="I1208" s="46"/>
      <c r="J1208" s="46"/>
      <c r="K1208" s="46"/>
      <c r="L1208" s="41" t="str">
        <f t="shared" ca="1" si="73"/>
        <v/>
      </c>
      <c r="M1208" s="47" t="str">
        <f t="shared" ca="1" si="74"/>
        <v/>
      </c>
      <c r="R1208" s="48" t="str">
        <f t="shared" si="75"/>
        <v/>
      </c>
      <c r="S1208" s="48" t="str">
        <f t="shared" si="76"/>
        <v/>
      </c>
    </row>
    <row r="1209" spans="5:19" x14ac:dyDescent="0.35">
      <c r="E1209" s="30" t="s">
        <v>42</v>
      </c>
      <c r="F1209" s="46"/>
      <c r="G1209" s="46"/>
      <c r="H1209" s="46"/>
      <c r="I1209" s="46"/>
      <c r="J1209" s="46"/>
      <c r="K1209" s="46"/>
      <c r="L1209" s="41" t="str">
        <f t="shared" ca="1" si="73"/>
        <v/>
      </c>
      <c r="M1209" s="47" t="str">
        <f t="shared" ca="1" si="74"/>
        <v/>
      </c>
      <c r="R1209" s="48" t="str">
        <f t="shared" si="75"/>
        <v/>
      </c>
      <c r="S1209" s="48" t="str">
        <f t="shared" si="76"/>
        <v/>
      </c>
    </row>
    <row r="1210" spans="5:19" x14ac:dyDescent="0.35">
      <c r="E1210" s="30" t="s">
        <v>42</v>
      </c>
      <c r="F1210" s="46"/>
      <c r="G1210" s="46"/>
      <c r="H1210" s="46"/>
      <c r="I1210" s="46"/>
      <c r="J1210" s="46"/>
      <c r="K1210" s="46"/>
      <c r="L1210" s="41" t="str">
        <f t="shared" ca="1" si="73"/>
        <v/>
      </c>
      <c r="M1210" s="47" t="str">
        <f t="shared" ca="1" si="74"/>
        <v/>
      </c>
      <c r="R1210" s="48" t="str">
        <f t="shared" si="75"/>
        <v/>
      </c>
      <c r="S1210" s="48" t="str">
        <f t="shared" si="76"/>
        <v/>
      </c>
    </row>
    <row r="1211" spans="5:19" x14ac:dyDescent="0.35">
      <c r="E1211" s="30" t="s">
        <v>42</v>
      </c>
      <c r="F1211" s="46"/>
      <c r="G1211" s="46"/>
      <c r="H1211" s="46"/>
      <c r="I1211" s="46"/>
      <c r="J1211" s="46"/>
      <c r="K1211" s="46"/>
      <c r="L1211" s="41" t="str">
        <f t="shared" ca="1" si="73"/>
        <v/>
      </c>
      <c r="M1211" s="47" t="str">
        <f t="shared" ca="1" si="74"/>
        <v/>
      </c>
      <c r="R1211" s="48" t="str">
        <f t="shared" si="75"/>
        <v/>
      </c>
      <c r="S1211" s="48" t="str">
        <f t="shared" si="76"/>
        <v/>
      </c>
    </row>
    <row r="1212" spans="5:19" x14ac:dyDescent="0.35">
      <c r="E1212" s="30" t="s">
        <v>42</v>
      </c>
      <c r="F1212" s="46"/>
      <c r="G1212" s="46"/>
      <c r="H1212" s="46"/>
      <c r="I1212" s="46"/>
      <c r="J1212" s="46"/>
      <c r="K1212" s="46"/>
      <c r="L1212" s="41" t="str">
        <f t="shared" ca="1" si="73"/>
        <v/>
      </c>
      <c r="M1212" s="47" t="str">
        <f t="shared" ca="1" si="74"/>
        <v/>
      </c>
      <c r="R1212" s="48" t="str">
        <f t="shared" si="75"/>
        <v/>
      </c>
      <c r="S1212" s="48" t="str">
        <f t="shared" si="76"/>
        <v/>
      </c>
    </row>
    <row r="1213" spans="5:19" x14ac:dyDescent="0.35">
      <c r="E1213" s="30" t="s">
        <v>42</v>
      </c>
      <c r="F1213" s="46"/>
      <c r="G1213" s="46"/>
      <c r="H1213" s="46"/>
      <c r="I1213" s="46"/>
      <c r="J1213" s="46"/>
      <c r="K1213" s="46"/>
      <c r="L1213" s="41" t="str">
        <f t="shared" ca="1" si="73"/>
        <v/>
      </c>
      <c r="M1213" s="47" t="str">
        <f t="shared" ca="1" si="74"/>
        <v/>
      </c>
      <c r="R1213" s="48" t="str">
        <f t="shared" si="75"/>
        <v/>
      </c>
      <c r="S1213" s="48" t="str">
        <f t="shared" si="76"/>
        <v/>
      </c>
    </row>
    <row r="1214" spans="5:19" x14ac:dyDescent="0.35">
      <c r="E1214" s="30" t="s">
        <v>42</v>
      </c>
      <c r="F1214" s="46"/>
      <c r="G1214" s="46"/>
      <c r="H1214" s="46"/>
      <c r="I1214" s="46"/>
      <c r="J1214" s="46"/>
      <c r="K1214" s="46"/>
      <c r="L1214" s="41" t="str">
        <f t="shared" ca="1" si="73"/>
        <v/>
      </c>
      <c r="M1214" s="47" t="str">
        <f t="shared" ca="1" si="74"/>
        <v/>
      </c>
      <c r="R1214" s="48" t="str">
        <f t="shared" si="75"/>
        <v/>
      </c>
      <c r="S1214" s="48" t="str">
        <f t="shared" si="76"/>
        <v/>
      </c>
    </row>
    <row r="1215" spans="5:19" x14ac:dyDescent="0.35">
      <c r="E1215" s="30" t="s">
        <v>42</v>
      </c>
      <c r="F1215" s="46"/>
      <c r="G1215" s="46"/>
      <c r="H1215" s="46"/>
      <c r="I1215" s="46"/>
      <c r="J1215" s="46"/>
      <c r="K1215" s="46"/>
      <c r="L1215" s="41" t="str">
        <f t="shared" ca="1" si="73"/>
        <v/>
      </c>
      <c r="M1215" s="47" t="str">
        <f t="shared" ca="1" si="74"/>
        <v/>
      </c>
      <c r="R1215" s="48" t="str">
        <f t="shared" si="75"/>
        <v/>
      </c>
      <c r="S1215" s="48" t="str">
        <f t="shared" si="76"/>
        <v/>
      </c>
    </row>
    <row r="1216" spans="5:19" x14ac:dyDescent="0.35">
      <c r="E1216" s="30" t="s">
        <v>42</v>
      </c>
      <c r="F1216" s="46"/>
      <c r="G1216" s="46"/>
      <c r="H1216" s="46"/>
      <c r="I1216" s="46"/>
      <c r="J1216" s="46"/>
      <c r="K1216" s="46"/>
      <c r="L1216" s="41" t="str">
        <f t="shared" ca="1" si="73"/>
        <v/>
      </c>
      <c r="M1216" s="47" t="str">
        <f t="shared" ca="1" si="74"/>
        <v/>
      </c>
      <c r="R1216" s="48" t="str">
        <f t="shared" si="75"/>
        <v/>
      </c>
      <c r="S1216" s="48" t="str">
        <f t="shared" si="76"/>
        <v/>
      </c>
    </row>
    <row r="1217" spans="5:19" x14ac:dyDescent="0.35">
      <c r="E1217" s="30" t="s">
        <v>42</v>
      </c>
      <c r="F1217" s="46"/>
      <c r="G1217" s="46"/>
      <c r="H1217" s="46"/>
      <c r="I1217" s="46"/>
      <c r="J1217" s="46"/>
      <c r="K1217" s="46"/>
      <c r="L1217" s="41" t="str">
        <f t="shared" ca="1" si="73"/>
        <v/>
      </c>
      <c r="M1217" s="47" t="str">
        <f t="shared" ca="1" si="74"/>
        <v/>
      </c>
      <c r="R1217" s="48" t="str">
        <f t="shared" si="75"/>
        <v/>
      </c>
      <c r="S1217" s="48" t="str">
        <f t="shared" si="76"/>
        <v/>
      </c>
    </row>
    <row r="1218" spans="5:19" x14ac:dyDescent="0.35">
      <c r="E1218" s="30" t="s">
        <v>42</v>
      </c>
      <c r="F1218" s="46"/>
      <c r="G1218" s="46"/>
      <c r="H1218" s="46"/>
      <c r="I1218" s="46"/>
      <c r="J1218" s="46"/>
      <c r="K1218" s="46"/>
      <c r="L1218" s="41" t="str">
        <f t="shared" ca="1" si="73"/>
        <v/>
      </c>
      <c r="M1218" s="47" t="str">
        <f t="shared" ca="1" si="74"/>
        <v/>
      </c>
      <c r="R1218" s="48" t="str">
        <f t="shared" si="75"/>
        <v/>
      </c>
      <c r="S1218" s="48" t="str">
        <f t="shared" si="76"/>
        <v/>
      </c>
    </row>
    <row r="1219" spans="5:19" x14ac:dyDescent="0.35">
      <c r="E1219" s="30" t="s">
        <v>42</v>
      </c>
      <c r="F1219" s="46"/>
      <c r="G1219" s="46"/>
      <c r="H1219" s="46"/>
      <c r="I1219" s="46"/>
      <c r="J1219" s="46"/>
      <c r="K1219" s="46"/>
      <c r="L1219" s="41" t="str">
        <f t="shared" ca="1" si="73"/>
        <v/>
      </c>
      <c r="M1219" s="47" t="str">
        <f t="shared" ca="1" si="74"/>
        <v/>
      </c>
      <c r="R1219" s="48" t="str">
        <f t="shared" si="75"/>
        <v/>
      </c>
      <c r="S1219" s="48" t="str">
        <f t="shared" si="76"/>
        <v/>
      </c>
    </row>
    <row r="1220" spans="5:19" x14ac:dyDescent="0.35">
      <c r="E1220" s="30" t="s">
        <v>42</v>
      </c>
      <c r="F1220" s="46"/>
      <c r="G1220" s="46"/>
      <c r="H1220" s="46"/>
      <c r="I1220" s="46"/>
      <c r="J1220" s="46"/>
      <c r="K1220" s="46"/>
      <c r="L1220" s="41" t="str">
        <f t="shared" ca="1" si="73"/>
        <v/>
      </c>
      <c r="M1220" s="47" t="str">
        <f t="shared" ca="1" si="74"/>
        <v/>
      </c>
      <c r="R1220" s="48" t="str">
        <f t="shared" si="75"/>
        <v/>
      </c>
      <c r="S1220" s="48" t="str">
        <f t="shared" si="76"/>
        <v/>
      </c>
    </row>
    <row r="1221" spans="5:19" x14ac:dyDescent="0.35">
      <c r="E1221" s="30" t="s">
        <v>42</v>
      </c>
      <c r="F1221" s="46"/>
      <c r="G1221" s="46"/>
      <c r="H1221" s="46"/>
      <c r="I1221" s="46"/>
      <c r="J1221" s="46"/>
      <c r="K1221" s="46"/>
      <c r="L1221" s="41" t="str">
        <f t="shared" ca="1" si="73"/>
        <v/>
      </c>
      <c r="M1221" s="47" t="str">
        <f t="shared" ca="1" si="74"/>
        <v/>
      </c>
      <c r="R1221" s="48" t="str">
        <f t="shared" si="75"/>
        <v/>
      </c>
      <c r="S1221" s="48" t="str">
        <f t="shared" si="76"/>
        <v/>
      </c>
    </row>
    <row r="1222" spans="5:19" x14ac:dyDescent="0.35">
      <c r="E1222" s="30" t="s">
        <v>42</v>
      </c>
      <c r="F1222" s="46"/>
      <c r="G1222" s="46"/>
      <c r="H1222" s="46"/>
      <c r="I1222" s="46"/>
      <c r="J1222" s="46"/>
      <c r="K1222" s="46"/>
      <c r="L1222" s="41" t="str">
        <f t="shared" ref="L1222:L1285" ca="1" si="77">IF(AND(C1222&lt;&gt;"",C1222&lt;&gt;R1222),TODAY(),IF(C1222="","",L1222))</f>
        <v/>
      </c>
      <c r="M1222" s="47" t="str">
        <f t="shared" ref="M1222:M1285" ca="1" si="78">IF(AND(C1222&lt;&gt;"",C1222&lt;&gt;S1222),NOW(),IF(C1222="","",M1222))</f>
        <v/>
      </c>
      <c r="R1222" s="48" t="str">
        <f t="shared" ref="R1222:R1285" si="79">IF(C1222="","",IF(OR(L1222="",AND(ISNUMBER(R1222),C1222=R1222)),R1222,C1222))</f>
        <v/>
      </c>
      <c r="S1222" s="48" t="str">
        <f t="shared" ref="S1222:S1285" si="80">IF(C1222="","",IF(OR(M1222="",AND(ISNUMBER(S1222),C1222=S1222)),S1222,C1222))</f>
        <v/>
      </c>
    </row>
    <row r="1223" spans="5:19" x14ac:dyDescent="0.35">
      <c r="E1223" s="30" t="s">
        <v>42</v>
      </c>
      <c r="F1223" s="46"/>
      <c r="G1223" s="46"/>
      <c r="H1223" s="46"/>
      <c r="I1223" s="46"/>
      <c r="J1223" s="46"/>
      <c r="K1223" s="46"/>
      <c r="L1223" s="41" t="str">
        <f t="shared" ca="1" si="77"/>
        <v/>
      </c>
      <c r="M1223" s="47" t="str">
        <f t="shared" ca="1" si="78"/>
        <v/>
      </c>
      <c r="R1223" s="48" t="str">
        <f t="shared" si="79"/>
        <v/>
      </c>
      <c r="S1223" s="48" t="str">
        <f t="shared" si="80"/>
        <v/>
      </c>
    </row>
    <row r="1224" spans="5:19" x14ac:dyDescent="0.35">
      <c r="E1224" s="30" t="s">
        <v>42</v>
      </c>
      <c r="F1224" s="46"/>
      <c r="G1224" s="46"/>
      <c r="H1224" s="46"/>
      <c r="I1224" s="46"/>
      <c r="J1224" s="46"/>
      <c r="K1224" s="46"/>
      <c r="L1224" s="41" t="str">
        <f t="shared" ca="1" si="77"/>
        <v/>
      </c>
      <c r="M1224" s="47" t="str">
        <f t="shared" ca="1" si="78"/>
        <v/>
      </c>
      <c r="R1224" s="48" t="str">
        <f t="shared" si="79"/>
        <v/>
      </c>
      <c r="S1224" s="48" t="str">
        <f t="shared" si="80"/>
        <v/>
      </c>
    </row>
    <row r="1225" spans="5:19" x14ac:dyDescent="0.35">
      <c r="E1225" s="30" t="s">
        <v>42</v>
      </c>
      <c r="F1225" s="46"/>
      <c r="G1225" s="46"/>
      <c r="H1225" s="46"/>
      <c r="I1225" s="46"/>
      <c r="J1225" s="46"/>
      <c r="K1225" s="46"/>
      <c r="L1225" s="41" t="str">
        <f t="shared" ca="1" si="77"/>
        <v/>
      </c>
      <c r="M1225" s="47" t="str">
        <f t="shared" ca="1" si="78"/>
        <v/>
      </c>
      <c r="R1225" s="48" t="str">
        <f t="shared" si="79"/>
        <v/>
      </c>
      <c r="S1225" s="48" t="str">
        <f t="shared" si="80"/>
        <v/>
      </c>
    </row>
    <row r="1226" spans="5:19" x14ac:dyDescent="0.35">
      <c r="E1226" s="30" t="s">
        <v>42</v>
      </c>
      <c r="F1226" s="46"/>
      <c r="G1226" s="46"/>
      <c r="H1226" s="46"/>
      <c r="I1226" s="46"/>
      <c r="J1226" s="46"/>
      <c r="K1226" s="46"/>
      <c r="L1226" s="41" t="str">
        <f t="shared" ca="1" si="77"/>
        <v/>
      </c>
      <c r="M1226" s="47" t="str">
        <f t="shared" ca="1" si="78"/>
        <v/>
      </c>
      <c r="R1226" s="48" t="str">
        <f t="shared" si="79"/>
        <v/>
      </c>
      <c r="S1226" s="48" t="str">
        <f t="shared" si="80"/>
        <v/>
      </c>
    </row>
    <row r="1227" spans="5:19" x14ac:dyDescent="0.35">
      <c r="E1227" s="30" t="s">
        <v>42</v>
      </c>
      <c r="F1227" s="46"/>
      <c r="G1227" s="46"/>
      <c r="H1227" s="46"/>
      <c r="I1227" s="46"/>
      <c r="J1227" s="46"/>
      <c r="K1227" s="46"/>
      <c r="L1227" s="41" t="str">
        <f t="shared" ca="1" si="77"/>
        <v/>
      </c>
      <c r="M1227" s="47" t="str">
        <f t="shared" ca="1" si="78"/>
        <v/>
      </c>
      <c r="R1227" s="48" t="str">
        <f t="shared" si="79"/>
        <v/>
      </c>
      <c r="S1227" s="48" t="str">
        <f t="shared" si="80"/>
        <v/>
      </c>
    </row>
    <row r="1228" spans="5:19" x14ac:dyDescent="0.35">
      <c r="E1228" s="30" t="s">
        <v>42</v>
      </c>
      <c r="F1228" s="46"/>
      <c r="G1228" s="46"/>
      <c r="H1228" s="46"/>
      <c r="I1228" s="46"/>
      <c r="J1228" s="46"/>
      <c r="K1228" s="46"/>
      <c r="L1228" s="41" t="str">
        <f t="shared" ca="1" si="77"/>
        <v/>
      </c>
      <c r="M1228" s="47" t="str">
        <f t="shared" ca="1" si="78"/>
        <v/>
      </c>
      <c r="R1228" s="48" t="str">
        <f t="shared" si="79"/>
        <v/>
      </c>
      <c r="S1228" s="48" t="str">
        <f t="shared" si="80"/>
        <v/>
      </c>
    </row>
    <row r="1229" spans="5:19" x14ac:dyDescent="0.35">
      <c r="E1229" s="30" t="s">
        <v>42</v>
      </c>
      <c r="F1229" s="46"/>
      <c r="G1229" s="46"/>
      <c r="H1229" s="46"/>
      <c r="I1229" s="46"/>
      <c r="J1229" s="46"/>
      <c r="K1229" s="46"/>
      <c r="L1229" s="41" t="str">
        <f t="shared" ca="1" si="77"/>
        <v/>
      </c>
      <c r="M1229" s="47" t="str">
        <f t="shared" ca="1" si="78"/>
        <v/>
      </c>
      <c r="R1229" s="48" t="str">
        <f t="shared" si="79"/>
        <v/>
      </c>
      <c r="S1229" s="48" t="str">
        <f t="shared" si="80"/>
        <v/>
      </c>
    </row>
    <row r="1230" spans="5:19" x14ac:dyDescent="0.35">
      <c r="E1230" s="30" t="s">
        <v>42</v>
      </c>
      <c r="F1230" s="46"/>
      <c r="G1230" s="46"/>
      <c r="H1230" s="46"/>
      <c r="I1230" s="46"/>
      <c r="J1230" s="46"/>
      <c r="K1230" s="46"/>
      <c r="L1230" s="41" t="str">
        <f t="shared" ca="1" si="77"/>
        <v/>
      </c>
      <c r="M1230" s="47" t="str">
        <f t="shared" ca="1" si="78"/>
        <v/>
      </c>
      <c r="R1230" s="48" t="str">
        <f t="shared" si="79"/>
        <v/>
      </c>
      <c r="S1230" s="48" t="str">
        <f t="shared" si="80"/>
        <v/>
      </c>
    </row>
    <row r="1231" spans="5:19" x14ac:dyDescent="0.35">
      <c r="E1231" s="30" t="s">
        <v>42</v>
      </c>
      <c r="F1231" s="46"/>
      <c r="G1231" s="46"/>
      <c r="H1231" s="46"/>
      <c r="I1231" s="46"/>
      <c r="J1231" s="46"/>
      <c r="K1231" s="46"/>
      <c r="L1231" s="41" t="str">
        <f t="shared" ca="1" si="77"/>
        <v/>
      </c>
      <c r="M1231" s="47" t="str">
        <f t="shared" ca="1" si="78"/>
        <v/>
      </c>
      <c r="R1231" s="48" t="str">
        <f t="shared" si="79"/>
        <v/>
      </c>
      <c r="S1231" s="48" t="str">
        <f t="shared" si="80"/>
        <v/>
      </c>
    </row>
    <row r="1232" spans="5:19" x14ac:dyDescent="0.35">
      <c r="E1232" s="30" t="s">
        <v>42</v>
      </c>
      <c r="F1232" s="46"/>
      <c r="G1232" s="46"/>
      <c r="H1232" s="46"/>
      <c r="I1232" s="46"/>
      <c r="J1232" s="46"/>
      <c r="K1232" s="46"/>
      <c r="L1232" s="41" t="str">
        <f t="shared" ca="1" si="77"/>
        <v/>
      </c>
      <c r="M1232" s="47" t="str">
        <f t="shared" ca="1" si="78"/>
        <v/>
      </c>
      <c r="R1232" s="48" t="str">
        <f t="shared" si="79"/>
        <v/>
      </c>
      <c r="S1232" s="48" t="str">
        <f t="shared" si="80"/>
        <v/>
      </c>
    </row>
    <row r="1233" spans="5:19" x14ac:dyDescent="0.35">
      <c r="E1233" s="30" t="s">
        <v>42</v>
      </c>
      <c r="F1233" s="46"/>
      <c r="G1233" s="46"/>
      <c r="H1233" s="46"/>
      <c r="I1233" s="46"/>
      <c r="J1233" s="46"/>
      <c r="K1233" s="46"/>
      <c r="L1233" s="41" t="str">
        <f t="shared" ca="1" si="77"/>
        <v/>
      </c>
      <c r="M1233" s="47" t="str">
        <f t="shared" ca="1" si="78"/>
        <v/>
      </c>
      <c r="R1233" s="48" t="str">
        <f t="shared" si="79"/>
        <v/>
      </c>
      <c r="S1233" s="48" t="str">
        <f t="shared" si="80"/>
        <v/>
      </c>
    </row>
    <row r="1234" spans="5:19" x14ac:dyDescent="0.35">
      <c r="E1234" s="30" t="s">
        <v>42</v>
      </c>
      <c r="F1234" s="46"/>
      <c r="G1234" s="46"/>
      <c r="H1234" s="46"/>
      <c r="I1234" s="46"/>
      <c r="J1234" s="46"/>
      <c r="K1234" s="46"/>
      <c r="L1234" s="41" t="str">
        <f t="shared" ca="1" si="77"/>
        <v/>
      </c>
      <c r="M1234" s="47" t="str">
        <f t="shared" ca="1" si="78"/>
        <v/>
      </c>
      <c r="R1234" s="48" t="str">
        <f t="shared" si="79"/>
        <v/>
      </c>
      <c r="S1234" s="48" t="str">
        <f t="shared" si="80"/>
        <v/>
      </c>
    </row>
    <row r="1235" spans="5:19" x14ac:dyDescent="0.35">
      <c r="E1235" s="30" t="s">
        <v>42</v>
      </c>
      <c r="F1235" s="46"/>
      <c r="G1235" s="46"/>
      <c r="H1235" s="46"/>
      <c r="I1235" s="46"/>
      <c r="J1235" s="46"/>
      <c r="K1235" s="46"/>
      <c r="L1235" s="41" t="str">
        <f t="shared" ca="1" si="77"/>
        <v/>
      </c>
      <c r="M1235" s="47" t="str">
        <f t="shared" ca="1" si="78"/>
        <v/>
      </c>
      <c r="R1235" s="48" t="str">
        <f t="shared" si="79"/>
        <v/>
      </c>
      <c r="S1235" s="48" t="str">
        <f t="shared" si="80"/>
        <v/>
      </c>
    </row>
    <row r="1236" spans="5:19" x14ac:dyDescent="0.35">
      <c r="E1236" s="30" t="s">
        <v>42</v>
      </c>
      <c r="F1236" s="46"/>
      <c r="G1236" s="46"/>
      <c r="H1236" s="46"/>
      <c r="I1236" s="46"/>
      <c r="J1236" s="46"/>
      <c r="K1236" s="46"/>
      <c r="L1236" s="41" t="str">
        <f t="shared" ca="1" si="77"/>
        <v/>
      </c>
      <c r="M1236" s="47" t="str">
        <f t="shared" ca="1" si="78"/>
        <v/>
      </c>
      <c r="R1236" s="48" t="str">
        <f t="shared" si="79"/>
        <v/>
      </c>
      <c r="S1236" s="48" t="str">
        <f t="shared" si="80"/>
        <v/>
      </c>
    </row>
    <row r="1237" spans="5:19" x14ac:dyDescent="0.35">
      <c r="E1237" s="30" t="s">
        <v>42</v>
      </c>
      <c r="F1237" s="46"/>
      <c r="G1237" s="46"/>
      <c r="H1237" s="46"/>
      <c r="I1237" s="46"/>
      <c r="J1237" s="46"/>
      <c r="K1237" s="46"/>
      <c r="L1237" s="41" t="str">
        <f t="shared" ca="1" si="77"/>
        <v/>
      </c>
      <c r="M1237" s="47" t="str">
        <f t="shared" ca="1" si="78"/>
        <v/>
      </c>
      <c r="R1237" s="48" t="str">
        <f t="shared" si="79"/>
        <v/>
      </c>
      <c r="S1237" s="48" t="str">
        <f t="shared" si="80"/>
        <v/>
      </c>
    </row>
    <row r="1238" spans="5:19" x14ac:dyDescent="0.35">
      <c r="E1238" s="30" t="s">
        <v>42</v>
      </c>
      <c r="F1238" s="46"/>
      <c r="G1238" s="46"/>
      <c r="H1238" s="46"/>
      <c r="I1238" s="46"/>
      <c r="J1238" s="46"/>
      <c r="K1238" s="46"/>
      <c r="L1238" s="41" t="str">
        <f t="shared" ca="1" si="77"/>
        <v/>
      </c>
      <c r="M1238" s="47" t="str">
        <f t="shared" ca="1" si="78"/>
        <v/>
      </c>
      <c r="R1238" s="48" t="str">
        <f t="shared" si="79"/>
        <v/>
      </c>
      <c r="S1238" s="48" t="str">
        <f t="shared" si="80"/>
        <v/>
      </c>
    </row>
    <row r="1239" spans="5:19" x14ac:dyDescent="0.35">
      <c r="E1239" s="30" t="s">
        <v>42</v>
      </c>
      <c r="F1239" s="46"/>
      <c r="G1239" s="46"/>
      <c r="H1239" s="46"/>
      <c r="I1239" s="46"/>
      <c r="J1239" s="46"/>
      <c r="K1239" s="46"/>
      <c r="L1239" s="41" t="str">
        <f t="shared" ca="1" si="77"/>
        <v/>
      </c>
      <c r="M1239" s="47" t="str">
        <f t="shared" ca="1" si="78"/>
        <v/>
      </c>
      <c r="R1239" s="48" t="str">
        <f t="shared" si="79"/>
        <v/>
      </c>
      <c r="S1239" s="48" t="str">
        <f t="shared" si="80"/>
        <v/>
      </c>
    </row>
    <row r="1240" spans="5:19" x14ac:dyDescent="0.35">
      <c r="E1240" s="30" t="s">
        <v>42</v>
      </c>
      <c r="F1240" s="46"/>
      <c r="G1240" s="46"/>
      <c r="H1240" s="46"/>
      <c r="I1240" s="46"/>
      <c r="J1240" s="46"/>
      <c r="K1240" s="46"/>
      <c r="L1240" s="41" t="str">
        <f t="shared" ca="1" si="77"/>
        <v/>
      </c>
      <c r="M1240" s="47" t="str">
        <f t="shared" ca="1" si="78"/>
        <v/>
      </c>
      <c r="R1240" s="48" t="str">
        <f t="shared" si="79"/>
        <v/>
      </c>
      <c r="S1240" s="48" t="str">
        <f t="shared" si="80"/>
        <v/>
      </c>
    </row>
    <row r="1241" spans="5:19" x14ac:dyDescent="0.35">
      <c r="E1241" s="30" t="s">
        <v>42</v>
      </c>
      <c r="F1241" s="46"/>
      <c r="G1241" s="46"/>
      <c r="H1241" s="46"/>
      <c r="I1241" s="46"/>
      <c r="J1241" s="46"/>
      <c r="K1241" s="46"/>
      <c r="L1241" s="41" t="str">
        <f t="shared" ca="1" si="77"/>
        <v/>
      </c>
      <c r="M1241" s="47" t="str">
        <f t="shared" ca="1" si="78"/>
        <v/>
      </c>
      <c r="R1241" s="48" t="str">
        <f t="shared" si="79"/>
        <v/>
      </c>
      <c r="S1241" s="48" t="str">
        <f t="shared" si="80"/>
        <v/>
      </c>
    </row>
    <row r="1242" spans="5:19" x14ac:dyDescent="0.35">
      <c r="E1242" s="30" t="s">
        <v>42</v>
      </c>
      <c r="F1242" s="46"/>
      <c r="G1242" s="46"/>
      <c r="H1242" s="46"/>
      <c r="I1242" s="46"/>
      <c r="J1242" s="46"/>
      <c r="K1242" s="46"/>
      <c r="L1242" s="41" t="str">
        <f t="shared" ca="1" si="77"/>
        <v/>
      </c>
      <c r="M1242" s="47" t="str">
        <f t="shared" ca="1" si="78"/>
        <v/>
      </c>
      <c r="R1242" s="48" t="str">
        <f t="shared" si="79"/>
        <v/>
      </c>
      <c r="S1242" s="48" t="str">
        <f t="shared" si="80"/>
        <v/>
      </c>
    </row>
    <row r="1243" spans="5:19" x14ac:dyDescent="0.35">
      <c r="E1243" s="30" t="s">
        <v>42</v>
      </c>
      <c r="F1243" s="46"/>
      <c r="G1243" s="46"/>
      <c r="H1243" s="46"/>
      <c r="I1243" s="46"/>
      <c r="J1243" s="46"/>
      <c r="K1243" s="46"/>
      <c r="L1243" s="41" t="str">
        <f t="shared" ca="1" si="77"/>
        <v/>
      </c>
      <c r="M1243" s="47" t="str">
        <f t="shared" ca="1" si="78"/>
        <v/>
      </c>
      <c r="R1243" s="48" t="str">
        <f t="shared" si="79"/>
        <v/>
      </c>
      <c r="S1243" s="48" t="str">
        <f t="shared" si="80"/>
        <v/>
      </c>
    </row>
    <row r="1244" spans="5:19" x14ac:dyDescent="0.35">
      <c r="E1244" s="30" t="s">
        <v>42</v>
      </c>
      <c r="F1244" s="46"/>
      <c r="G1244" s="46"/>
      <c r="H1244" s="46"/>
      <c r="I1244" s="46"/>
      <c r="J1244" s="46"/>
      <c r="K1244" s="46"/>
      <c r="L1244" s="41" t="str">
        <f t="shared" ca="1" si="77"/>
        <v/>
      </c>
      <c r="M1244" s="47" t="str">
        <f t="shared" ca="1" si="78"/>
        <v/>
      </c>
      <c r="R1244" s="48" t="str">
        <f t="shared" si="79"/>
        <v/>
      </c>
      <c r="S1244" s="48" t="str">
        <f t="shared" si="80"/>
        <v/>
      </c>
    </row>
    <row r="1245" spans="5:19" x14ac:dyDescent="0.35">
      <c r="E1245" s="30" t="s">
        <v>42</v>
      </c>
      <c r="F1245" s="46"/>
      <c r="G1245" s="46"/>
      <c r="H1245" s="46"/>
      <c r="I1245" s="46"/>
      <c r="J1245" s="46"/>
      <c r="K1245" s="46"/>
      <c r="L1245" s="41" t="str">
        <f t="shared" ca="1" si="77"/>
        <v/>
      </c>
      <c r="M1245" s="47" t="str">
        <f t="shared" ca="1" si="78"/>
        <v/>
      </c>
      <c r="R1245" s="48" t="str">
        <f t="shared" si="79"/>
        <v/>
      </c>
      <c r="S1245" s="48" t="str">
        <f t="shared" si="80"/>
        <v/>
      </c>
    </row>
    <row r="1246" spans="5:19" x14ac:dyDescent="0.35">
      <c r="E1246" s="30" t="s">
        <v>42</v>
      </c>
      <c r="F1246" s="46"/>
      <c r="G1246" s="46"/>
      <c r="H1246" s="46"/>
      <c r="I1246" s="46"/>
      <c r="J1246" s="46"/>
      <c r="K1246" s="46"/>
      <c r="L1246" s="41" t="str">
        <f t="shared" ca="1" si="77"/>
        <v/>
      </c>
      <c r="M1246" s="47" t="str">
        <f t="shared" ca="1" si="78"/>
        <v/>
      </c>
      <c r="R1246" s="48" t="str">
        <f t="shared" si="79"/>
        <v/>
      </c>
      <c r="S1246" s="48" t="str">
        <f t="shared" si="80"/>
        <v/>
      </c>
    </row>
    <row r="1247" spans="5:19" x14ac:dyDescent="0.35">
      <c r="E1247" s="30" t="s">
        <v>42</v>
      </c>
      <c r="F1247" s="46"/>
      <c r="G1247" s="46"/>
      <c r="H1247" s="46"/>
      <c r="I1247" s="46"/>
      <c r="J1247" s="46"/>
      <c r="K1247" s="46"/>
      <c r="L1247" s="41" t="str">
        <f t="shared" ca="1" si="77"/>
        <v/>
      </c>
      <c r="M1247" s="47" t="str">
        <f t="shared" ca="1" si="78"/>
        <v/>
      </c>
      <c r="R1247" s="48" t="str">
        <f t="shared" si="79"/>
        <v/>
      </c>
      <c r="S1247" s="48" t="str">
        <f t="shared" si="80"/>
        <v/>
      </c>
    </row>
    <row r="1248" spans="5:19" x14ac:dyDescent="0.35">
      <c r="E1248" s="30" t="s">
        <v>42</v>
      </c>
      <c r="F1248" s="46"/>
      <c r="G1248" s="46"/>
      <c r="H1248" s="46"/>
      <c r="I1248" s="46"/>
      <c r="J1248" s="46"/>
      <c r="K1248" s="46"/>
      <c r="L1248" s="41" t="str">
        <f t="shared" ca="1" si="77"/>
        <v/>
      </c>
      <c r="M1248" s="47" t="str">
        <f t="shared" ca="1" si="78"/>
        <v/>
      </c>
      <c r="R1248" s="48" t="str">
        <f t="shared" si="79"/>
        <v/>
      </c>
      <c r="S1248" s="48" t="str">
        <f t="shared" si="80"/>
        <v/>
      </c>
    </row>
    <row r="1249" spans="5:19" x14ac:dyDescent="0.35">
      <c r="E1249" s="30" t="s">
        <v>42</v>
      </c>
      <c r="F1249" s="46"/>
      <c r="G1249" s="46"/>
      <c r="H1249" s="46"/>
      <c r="I1249" s="46"/>
      <c r="J1249" s="46"/>
      <c r="K1249" s="46"/>
      <c r="L1249" s="41" t="str">
        <f t="shared" ca="1" si="77"/>
        <v/>
      </c>
      <c r="M1249" s="47" t="str">
        <f t="shared" ca="1" si="78"/>
        <v/>
      </c>
      <c r="R1249" s="48" t="str">
        <f t="shared" si="79"/>
        <v/>
      </c>
      <c r="S1249" s="48" t="str">
        <f t="shared" si="80"/>
        <v/>
      </c>
    </row>
    <row r="1250" spans="5:19" x14ac:dyDescent="0.35">
      <c r="E1250" s="30" t="s">
        <v>42</v>
      </c>
      <c r="F1250" s="46"/>
      <c r="G1250" s="46"/>
      <c r="H1250" s="46"/>
      <c r="I1250" s="46"/>
      <c r="J1250" s="46"/>
      <c r="K1250" s="46"/>
      <c r="L1250" s="41" t="str">
        <f t="shared" ca="1" si="77"/>
        <v/>
      </c>
      <c r="M1250" s="47" t="str">
        <f t="shared" ca="1" si="78"/>
        <v/>
      </c>
      <c r="R1250" s="48" t="str">
        <f t="shared" si="79"/>
        <v/>
      </c>
      <c r="S1250" s="48" t="str">
        <f t="shared" si="80"/>
        <v/>
      </c>
    </row>
    <row r="1251" spans="5:19" x14ac:dyDescent="0.35">
      <c r="E1251" s="30" t="s">
        <v>42</v>
      </c>
      <c r="F1251" s="46"/>
      <c r="G1251" s="46"/>
      <c r="H1251" s="46"/>
      <c r="I1251" s="46"/>
      <c r="J1251" s="46"/>
      <c r="K1251" s="46"/>
      <c r="L1251" s="41" t="str">
        <f t="shared" ca="1" si="77"/>
        <v/>
      </c>
      <c r="M1251" s="47" t="str">
        <f t="shared" ca="1" si="78"/>
        <v/>
      </c>
      <c r="R1251" s="48" t="str">
        <f t="shared" si="79"/>
        <v/>
      </c>
      <c r="S1251" s="48" t="str">
        <f t="shared" si="80"/>
        <v/>
      </c>
    </row>
    <row r="1252" spans="5:19" x14ac:dyDescent="0.35">
      <c r="E1252" s="30" t="s">
        <v>42</v>
      </c>
      <c r="F1252" s="46"/>
      <c r="G1252" s="46"/>
      <c r="H1252" s="46"/>
      <c r="I1252" s="46"/>
      <c r="J1252" s="46"/>
      <c r="K1252" s="46"/>
      <c r="L1252" s="41" t="str">
        <f t="shared" ca="1" si="77"/>
        <v/>
      </c>
      <c r="M1252" s="47" t="str">
        <f t="shared" ca="1" si="78"/>
        <v/>
      </c>
      <c r="R1252" s="48" t="str">
        <f t="shared" si="79"/>
        <v/>
      </c>
      <c r="S1252" s="48" t="str">
        <f t="shared" si="80"/>
        <v/>
      </c>
    </row>
    <row r="1253" spans="5:19" x14ac:dyDescent="0.35">
      <c r="E1253" s="30" t="s">
        <v>42</v>
      </c>
      <c r="F1253" s="46"/>
      <c r="G1253" s="46"/>
      <c r="H1253" s="46"/>
      <c r="I1253" s="46"/>
      <c r="J1253" s="46"/>
      <c r="K1253" s="46"/>
      <c r="L1253" s="41" t="str">
        <f t="shared" ca="1" si="77"/>
        <v/>
      </c>
      <c r="M1253" s="47" t="str">
        <f t="shared" ca="1" si="78"/>
        <v/>
      </c>
      <c r="R1253" s="48" t="str">
        <f t="shared" si="79"/>
        <v/>
      </c>
      <c r="S1253" s="48" t="str">
        <f t="shared" si="80"/>
        <v/>
      </c>
    </row>
    <row r="1254" spans="5:19" x14ac:dyDescent="0.35">
      <c r="E1254" s="30" t="s">
        <v>42</v>
      </c>
      <c r="F1254" s="46"/>
      <c r="G1254" s="46"/>
      <c r="H1254" s="46"/>
      <c r="I1254" s="46"/>
      <c r="J1254" s="46"/>
      <c r="K1254" s="46"/>
      <c r="L1254" s="41" t="str">
        <f t="shared" ca="1" si="77"/>
        <v/>
      </c>
      <c r="M1254" s="47" t="str">
        <f t="shared" ca="1" si="78"/>
        <v/>
      </c>
      <c r="R1254" s="48" t="str">
        <f t="shared" si="79"/>
        <v/>
      </c>
      <c r="S1254" s="48" t="str">
        <f t="shared" si="80"/>
        <v/>
      </c>
    </row>
    <row r="1255" spans="5:19" x14ac:dyDescent="0.35">
      <c r="E1255" s="30" t="s">
        <v>42</v>
      </c>
      <c r="F1255" s="46"/>
      <c r="G1255" s="46"/>
      <c r="H1255" s="46"/>
      <c r="I1255" s="46"/>
      <c r="J1255" s="46"/>
      <c r="K1255" s="46"/>
      <c r="L1255" s="41" t="str">
        <f t="shared" ca="1" si="77"/>
        <v/>
      </c>
      <c r="M1255" s="47" t="str">
        <f t="shared" ca="1" si="78"/>
        <v/>
      </c>
      <c r="R1255" s="48" t="str">
        <f t="shared" si="79"/>
        <v/>
      </c>
      <c r="S1255" s="48" t="str">
        <f t="shared" si="80"/>
        <v/>
      </c>
    </row>
    <row r="1256" spans="5:19" x14ac:dyDescent="0.35">
      <c r="E1256" s="30" t="s">
        <v>42</v>
      </c>
      <c r="F1256" s="46"/>
      <c r="G1256" s="46"/>
      <c r="H1256" s="46"/>
      <c r="I1256" s="46"/>
      <c r="J1256" s="46"/>
      <c r="K1256" s="46"/>
      <c r="L1256" s="41" t="str">
        <f t="shared" ca="1" si="77"/>
        <v/>
      </c>
      <c r="M1256" s="47" t="str">
        <f t="shared" ca="1" si="78"/>
        <v/>
      </c>
      <c r="R1256" s="48" t="str">
        <f t="shared" si="79"/>
        <v/>
      </c>
      <c r="S1256" s="48" t="str">
        <f t="shared" si="80"/>
        <v/>
      </c>
    </row>
    <row r="1257" spans="5:19" x14ac:dyDescent="0.35">
      <c r="E1257" s="30" t="s">
        <v>42</v>
      </c>
      <c r="F1257" s="46"/>
      <c r="G1257" s="46"/>
      <c r="H1257" s="46"/>
      <c r="I1257" s="46"/>
      <c r="J1257" s="46"/>
      <c r="K1257" s="46"/>
      <c r="L1257" s="41" t="str">
        <f t="shared" ca="1" si="77"/>
        <v/>
      </c>
      <c r="M1257" s="47" t="str">
        <f t="shared" ca="1" si="78"/>
        <v/>
      </c>
      <c r="R1257" s="48" t="str">
        <f t="shared" si="79"/>
        <v/>
      </c>
      <c r="S1257" s="48" t="str">
        <f t="shared" si="80"/>
        <v/>
      </c>
    </row>
    <row r="1258" spans="5:19" x14ac:dyDescent="0.35">
      <c r="E1258" s="30" t="s">
        <v>42</v>
      </c>
      <c r="F1258" s="46"/>
      <c r="G1258" s="46"/>
      <c r="H1258" s="46"/>
      <c r="I1258" s="46"/>
      <c r="J1258" s="46"/>
      <c r="K1258" s="46"/>
      <c r="L1258" s="41" t="str">
        <f t="shared" ca="1" si="77"/>
        <v/>
      </c>
      <c r="M1258" s="47" t="str">
        <f t="shared" ca="1" si="78"/>
        <v/>
      </c>
      <c r="R1258" s="48" t="str">
        <f t="shared" si="79"/>
        <v/>
      </c>
      <c r="S1258" s="48" t="str">
        <f t="shared" si="80"/>
        <v/>
      </c>
    </row>
    <row r="1259" spans="5:19" x14ac:dyDescent="0.35">
      <c r="E1259" s="30" t="s">
        <v>42</v>
      </c>
      <c r="F1259" s="46"/>
      <c r="G1259" s="46"/>
      <c r="H1259" s="46"/>
      <c r="I1259" s="46"/>
      <c r="J1259" s="46"/>
      <c r="K1259" s="46"/>
      <c r="L1259" s="41" t="str">
        <f t="shared" ca="1" si="77"/>
        <v/>
      </c>
      <c r="M1259" s="47" t="str">
        <f t="shared" ca="1" si="78"/>
        <v/>
      </c>
      <c r="R1259" s="48" t="str">
        <f t="shared" si="79"/>
        <v/>
      </c>
      <c r="S1259" s="48" t="str">
        <f t="shared" si="80"/>
        <v/>
      </c>
    </row>
    <row r="1260" spans="5:19" x14ac:dyDescent="0.35">
      <c r="E1260" s="30" t="s">
        <v>42</v>
      </c>
      <c r="F1260" s="46"/>
      <c r="G1260" s="46"/>
      <c r="H1260" s="46"/>
      <c r="I1260" s="46"/>
      <c r="J1260" s="46"/>
      <c r="K1260" s="46"/>
      <c r="L1260" s="41" t="str">
        <f t="shared" ca="1" si="77"/>
        <v/>
      </c>
      <c r="M1260" s="47" t="str">
        <f t="shared" ca="1" si="78"/>
        <v/>
      </c>
      <c r="R1260" s="48" t="str">
        <f t="shared" si="79"/>
        <v/>
      </c>
      <c r="S1260" s="48" t="str">
        <f t="shared" si="80"/>
        <v/>
      </c>
    </row>
    <row r="1261" spans="5:19" x14ac:dyDescent="0.35">
      <c r="E1261" s="30" t="s">
        <v>42</v>
      </c>
      <c r="F1261" s="46"/>
      <c r="G1261" s="46"/>
      <c r="H1261" s="46"/>
      <c r="I1261" s="46"/>
      <c r="J1261" s="46"/>
      <c r="K1261" s="46"/>
      <c r="L1261" s="41" t="str">
        <f t="shared" ca="1" si="77"/>
        <v/>
      </c>
      <c r="M1261" s="47" t="str">
        <f t="shared" ca="1" si="78"/>
        <v/>
      </c>
      <c r="R1261" s="48" t="str">
        <f t="shared" si="79"/>
        <v/>
      </c>
      <c r="S1261" s="48" t="str">
        <f t="shared" si="80"/>
        <v/>
      </c>
    </row>
    <row r="1262" spans="5:19" x14ac:dyDescent="0.35">
      <c r="E1262" s="30" t="s">
        <v>42</v>
      </c>
      <c r="F1262" s="46"/>
      <c r="G1262" s="46"/>
      <c r="H1262" s="46"/>
      <c r="I1262" s="46"/>
      <c r="J1262" s="46"/>
      <c r="K1262" s="46"/>
      <c r="L1262" s="41" t="str">
        <f t="shared" ca="1" si="77"/>
        <v/>
      </c>
      <c r="M1262" s="47" t="str">
        <f t="shared" ca="1" si="78"/>
        <v/>
      </c>
      <c r="R1262" s="48" t="str">
        <f t="shared" si="79"/>
        <v/>
      </c>
      <c r="S1262" s="48" t="str">
        <f t="shared" si="80"/>
        <v/>
      </c>
    </row>
    <row r="1263" spans="5:19" x14ac:dyDescent="0.35">
      <c r="E1263" s="30" t="s">
        <v>42</v>
      </c>
      <c r="F1263" s="46"/>
      <c r="G1263" s="46"/>
      <c r="H1263" s="46"/>
      <c r="I1263" s="46"/>
      <c r="J1263" s="46"/>
      <c r="K1263" s="46"/>
      <c r="L1263" s="41" t="str">
        <f t="shared" ca="1" si="77"/>
        <v/>
      </c>
      <c r="M1263" s="47" t="str">
        <f t="shared" ca="1" si="78"/>
        <v/>
      </c>
      <c r="R1263" s="48" t="str">
        <f t="shared" si="79"/>
        <v/>
      </c>
      <c r="S1263" s="48" t="str">
        <f t="shared" si="80"/>
        <v/>
      </c>
    </row>
    <row r="1264" spans="5:19" x14ac:dyDescent="0.35">
      <c r="E1264" s="30" t="s">
        <v>42</v>
      </c>
      <c r="F1264" s="46"/>
      <c r="G1264" s="46"/>
      <c r="H1264" s="46"/>
      <c r="I1264" s="46"/>
      <c r="J1264" s="46"/>
      <c r="K1264" s="46"/>
      <c r="L1264" s="41" t="str">
        <f t="shared" ca="1" si="77"/>
        <v/>
      </c>
      <c r="M1264" s="47" t="str">
        <f t="shared" ca="1" si="78"/>
        <v/>
      </c>
      <c r="R1264" s="48" t="str">
        <f t="shared" si="79"/>
        <v/>
      </c>
      <c r="S1264" s="48" t="str">
        <f t="shared" si="80"/>
        <v/>
      </c>
    </row>
    <row r="1265" spans="5:19" x14ac:dyDescent="0.35">
      <c r="E1265" s="30" t="s">
        <v>42</v>
      </c>
      <c r="F1265" s="46"/>
      <c r="G1265" s="46"/>
      <c r="H1265" s="46"/>
      <c r="I1265" s="46"/>
      <c r="J1265" s="46"/>
      <c r="K1265" s="46"/>
      <c r="L1265" s="41" t="str">
        <f t="shared" ca="1" si="77"/>
        <v/>
      </c>
      <c r="M1265" s="47" t="str">
        <f t="shared" ca="1" si="78"/>
        <v/>
      </c>
      <c r="R1265" s="48" t="str">
        <f t="shared" si="79"/>
        <v/>
      </c>
      <c r="S1265" s="48" t="str">
        <f t="shared" si="80"/>
        <v/>
      </c>
    </row>
    <row r="1266" spans="5:19" x14ac:dyDescent="0.35">
      <c r="E1266" s="30" t="s">
        <v>42</v>
      </c>
      <c r="F1266" s="46"/>
      <c r="G1266" s="46"/>
      <c r="H1266" s="46"/>
      <c r="I1266" s="46"/>
      <c r="J1266" s="46"/>
      <c r="K1266" s="46"/>
      <c r="L1266" s="41" t="str">
        <f t="shared" ca="1" si="77"/>
        <v/>
      </c>
      <c r="M1266" s="47" t="str">
        <f t="shared" ca="1" si="78"/>
        <v/>
      </c>
      <c r="R1266" s="48" t="str">
        <f t="shared" si="79"/>
        <v/>
      </c>
      <c r="S1266" s="48" t="str">
        <f t="shared" si="80"/>
        <v/>
      </c>
    </row>
    <row r="1267" spans="5:19" x14ac:dyDescent="0.35">
      <c r="E1267" s="30" t="s">
        <v>42</v>
      </c>
      <c r="F1267" s="46"/>
      <c r="G1267" s="46"/>
      <c r="H1267" s="46"/>
      <c r="I1267" s="46"/>
      <c r="J1267" s="46"/>
      <c r="K1267" s="46"/>
      <c r="L1267" s="41" t="str">
        <f t="shared" ca="1" si="77"/>
        <v/>
      </c>
      <c r="M1267" s="47" t="str">
        <f t="shared" ca="1" si="78"/>
        <v/>
      </c>
      <c r="R1267" s="48" t="str">
        <f t="shared" si="79"/>
        <v/>
      </c>
      <c r="S1267" s="48" t="str">
        <f t="shared" si="80"/>
        <v/>
      </c>
    </row>
    <row r="1268" spans="5:19" x14ac:dyDescent="0.35">
      <c r="E1268" s="30" t="s">
        <v>42</v>
      </c>
      <c r="F1268" s="46"/>
      <c r="G1268" s="46"/>
      <c r="H1268" s="46"/>
      <c r="I1268" s="46"/>
      <c r="J1268" s="46"/>
      <c r="K1268" s="46"/>
      <c r="L1268" s="41" t="str">
        <f t="shared" ca="1" si="77"/>
        <v/>
      </c>
      <c r="M1268" s="47" t="str">
        <f t="shared" ca="1" si="78"/>
        <v/>
      </c>
      <c r="R1268" s="48" t="str">
        <f t="shared" si="79"/>
        <v/>
      </c>
      <c r="S1268" s="48" t="str">
        <f t="shared" si="80"/>
        <v/>
      </c>
    </row>
    <row r="1269" spans="5:19" x14ac:dyDescent="0.35">
      <c r="E1269" s="30" t="s">
        <v>42</v>
      </c>
      <c r="F1269" s="46"/>
      <c r="G1269" s="46"/>
      <c r="H1269" s="46"/>
      <c r="I1269" s="46"/>
      <c r="J1269" s="46"/>
      <c r="K1269" s="46"/>
      <c r="L1269" s="41" t="str">
        <f t="shared" ca="1" si="77"/>
        <v/>
      </c>
      <c r="M1269" s="47" t="str">
        <f t="shared" ca="1" si="78"/>
        <v/>
      </c>
      <c r="R1269" s="48" t="str">
        <f t="shared" si="79"/>
        <v/>
      </c>
      <c r="S1269" s="48" t="str">
        <f t="shared" si="80"/>
        <v/>
      </c>
    </row>
    <row r="1270" spans="5:19" x14ac:dyDescent="0.35">
      <c r="E1270" s="30" t="s">
        <v>42</v>
      </c>
      <c r="F1270" s="46"/>
      <c r="G1270" s="46"/>
      <c r="H1270" s="46"/>
      <c r="I1270" s="46"/>
      <c r="J1270" s="46"/>
      <c r="K1270" s="46"/>
      <c r="L1270" s="41" t="str">
        <f t="shared" ca="1" si="77"/>
        <v/>
      </c>
      <c r="M1270" s="47" t="str">
        <f t="shared" ca="1" si="78"/>
        <v/>
      </c>
      <c r="R1270" s="48" t="str">
        <f t="shared" si="79"/>
        <v/>
      </c>
      <c r="S1270" s="48" t="str">
        <f t="shared" si="80"/>
        <v/>
      </c>
    </row>
    <row r="1271" spans="5:19" x14ac:dyDescent="0.35">
      <c r="E1271" s="30" t="s">
        <v>42</v>
      </c>
      <c r="F1271" s="46"/>
      <c r="G1271" s="46"/>
      <c r="H1271" s="46"/>
      <c r="I1271" s="46"/>
      <c r="J1271" s="46"/>
      <c r="K1271" s="46"/>
      <c r="L1271" s="41" t="str">
        <f t="shared" ca="1" si="77"/>
        <v/>
      </c>
      <c r="M1271" s="47" t="str">
        <f t="shared" ca="1" si="78"/>
        <v/>
      </c>
      <c r="R1271" s="48" t="str">
        <f t="shared" si="79"/>
        <v/>
      </c>
      <c r="S1271" s="48" t="str">
        <f t="shared" si="80"/>
        <v/>
      </c>
    </row>
    <row r="1272" spans="5:19" x14ac:dyDescent="0.35">
      <c r="E1272" s="30" t="s">
        <v>42</v>
      </c>
      <c r="F1272" s="46"/>
      <c r="G1272" s="46"/>
      <c r="H1272" s="46"/>
      <c r="I1272" s="46"/>
      <c r="J1272" s="46"/>
      <c r="K1272" s="46"/>
      <c r="L1272" s="41" t="str">
        <f t="shared" ca="1" si="77"/>
        <v/>
      </c>
      <c r="M1272" s="47" t="str">
        <f t="shared" ca="1" si="78"/>
        <v/>
      </c>
      <c r="R1272" s="48" t="str">
        <f t="shared" si="79"/>
        <v/>
      </c>
      <c r="S1272" s="48" t="str">
        <f t="shared" si="80"/>
        <v/>
      </c>
    </row>
    <row r="1273" spans="5:19" x14ac:dyDescent="0.35">
      <c r="E1273" s="30" t="s">
        <v>42</v>
      </c>
      <c r="F1273" s="46"/>
      <c r="G1273" s="46"/>
      <c r="H1273" s="46"/>
      <c r="I1273" s="46"/>
      <c r="J1273" s="46"/>
      <c r="K1273" s="46"/>
      <c r="L1273" s="41" t="str">
        <f t="shared" ca="1" si="77"/>
        <v/>
      </c>
      <c r="M1273" s="47" t="str">
        <f t="shared" ca="1" si="78"/>
        <v/>
      </c>
      <c r="R1273" s="48" t="str">
        <f t="shared" si="79"/>
        <v/>
      </c>
      <c r="S1273" s="48" t="str">
        <f t="shared" si="80"/>
        <v/>
      </c>
    </row>
    <row r="1274" spans="5:19" x14ac:dyDescent="0.35">
      <c r="E1274" s="30" t="s">
        <v>42</v>
      </c>
      <c r="F1274" s="46"/>
      <c r="G1274" s="46"/>
      <c r="H1274" s="46"/>
      <c r="I1274" s="46"/>
      <c r="J1274" s="46"/>
      <c r="K1274" s="46"/>
      <c r="L1274" s="41" t="str">
        <f t="shared" ca="1" si="77"/>
        <v/>
      </c>
      <c r="M1274" s="47" t="str">
        <f t="shared" ca="1" si="78"/>
        <v/>
      </c>
      <c r="R1274" s="48" t="str">
        <f t="shared" si="79"/>
        <v/>
      </c>
      <c r="S1274" s="48" t="str">
        <f t="shared" si="80"/>
        <v/>
      </c>
    </row>
    <row r="1275" spans="5:19" x14ac:dyDescent="0.35">
      <c r="E1275" s="30" t="s">
        <v>42</v>
      </c>
      <c r="F1275" s="46"/>
      <c r="G1275" s="46"/>
      <c r="H1275" s="46"/>
      <c r="I1275" s="46"/>
      <c r="J1275" s="46"/>
      <c r="K1275" s="46"/>
      <c r="L1275" s="41" t="str">
        <f t="shared" ca="1" si="77"/>
        <v/>
      </c>
      <c r="M1275" s="47" t="str">
        <f t="shared" ca="1" si="78"/>
        <v/>
      </c>
      <c r="R1275" s="48" t="str">
        <f t="shared" si="79"/>
        <v/>
      </c>
      <c r="S1275" s="48" t="str">
        <f t="shared" si="80"/>
        <v/>
      </c>
    </row>
    <row r="1276" spans="5:19" x14ac:dyDescent="0.35">
      <c r="E1276" s="30" t="s">
        <v>42</v>
      </c>
      <c r="F1276" s="46"/>
      <c r="G1276" s="46"/>
      <c r="H1276" s="46"/>
      <c r="I1276" s="46"/>
      <c r="J1276" s="46"/>
      <c r="K1276" s="46"/>
      <c r="L1276" s="41" t="str">
        <f t="shared" ca="1" si="77"/>
        <v/>
      </c>
      <c r="M1276" s="47" t="str">
        <f t="shared" ca="1" si="78"/>
        <v/>
      </c>
      <c r="R1276" s="48" t="str">
        <f t="shared" si="79"/>
        <v/>
      </c>
      <c r="S1276" s="48" t="str">
        <f t="shared" si="80"/>
        <v/>
      </c>
    </row>
    <row r="1277" spans="5:19" x14ac:dyDescent="0.35">
      <c r="E1277" s="30" t="s">
        <v>42</v>
      </c>
      <c r="F1277" s="46"/>
      <c r="G1277" s="46"/>
      <c r="H1277" s="46"/>
      <c r="I1277" s="46"/>
      <c r="J1277" s="46"/>
      <c r="K1277" s="46"/>
      <c r="L1277" s="41" t="str">
        <f t="shared" ca="1" si="77"/>
        <v/>
      </c>
      <c r="M1277" s="47" t="str">
        <f t="shared" ca="1" si="78"/>
        <v/>
      </c>
      <c r="R1277" s="48" t="str">
        <f t="shared" si="79"/>
        <v/>
      </c>
      <c r="S1277" s="48" t="str">
        <f t="shared" si="80"/>
        <v/>
      </c>
    </row>
    <row r="1278" spans="5:19" x14ac:dyDescent="0.35">
      <c r="E1278" s="30" t="s">
        <v>42</v>
      </c>
      <c r="F1278" s="46"/>
      <c r="G1278" s="46"/>
      <c r="H1278" s="46"/>
      <c r="I1278" s="46"/>
      <c r="J1278" s="46"/>
      <c r="K1278" s="46"/>
      <c r="L1278" s="41" t="str">
        <f t="shared" ca="1" si="77"/>
        <v/>
      </c>
      <c r="M1278" s="47" t="str">
        <f t="shared" ca="1" si="78"/>
        <v/>
      </c>
      <c r="R1278" s="48" t="str">
        <f t="shared" si="79"/>
        <v/>
      </c>
      <c r="S1278" s="48" t="str">
        <f t="shared" si="80"/>
        <v/>
      </c>
    </row>
    <row r="1279" spans="5:19" x14ac:dyDescent="0.35">
      <c r="E1279" s="30" t="s">
        <v>42</v>
      </c>
      <c r="F1279" s="46"/>
      <c r="G1279" s="46"/>
      <c r="H1279" s="46"/>
      <c r="I1279" s="46"/>
      <c r="J1279" s="46"/>
      <c r="K1279" s="46"/>
      <c r="L1279" s="41" t="str">
        <f t="shared" ca="1" si="77"/>
        <v/>
      </c>
      <c r="M1279" s="47" t="str">
        <f t="shared" ca="1" si="78"/>
        <v/>
      </c>
      <c r="R1279" s="48" t="str">
        <f t="shared" si="79"/>
        <v/>
      </c>
      <c r="S1279" s="48" t="str">
        <f t="shared" si="80"/>
        <v/>
      </c>
    </row>
    <row r="1280" spans="5:19" x14ac:dyDescent="0.35">
      <c r="E1280" s="30" t="s">
        <v>42</v>
      </c>
      <c r="F1280" s="46"/>
      <c r="G1280" s="46"/>
      <c r="H1280" s="46"/>
      <c r="I1280" s="46"/>
      <c r="J1280" s="46"/>
      <c r="K1280" s="46"/>
      <c r="L1280" s="41" t="str">
        <f t="shared" ca="1" si="77"/>
        <v/>
      </c>
      <c r="M1280" s="47" t="str">
        <f t="shared" ca="1" si="78"/>
        <v/>
      </c>
      <c r="R1280" s="48" t="str">
        <f t="shared" si="79"/>
        <v/>
      </c>
      <c r="S1280" s="48" t="str">
        <f t="shared" si="80"/>
        <v/>
      </c>
    </row>
    <row r="1281" spans="5:19" x14ac:dyDescent="0.35">
      <c r="E1281" s="30" t="s">
        <v>42</v>
      </c>
      <c r="F1281" s="46"/>
      <c r="G1281" s="46"/>
      <c r="H1281" s="46"/>
      <c r="I1281" s="46"/>
      <c r="J1281" s="46"/>
      <c r="K1281" s="46"/>
      <c r="L1281" s="41" t="str">
        <f t="shared" ca="1" si="77"/>
        <v/>
      </c>
      <c r="M1281" s="47" t="str">
        <f t="shared" ca="1" si="78"/>
        <v/>
      </c>
      <c r="R1281" s="48" t="str">
        <f t="shared" si="79"/>
        <v/>
      </c>
      <c r="S1281" s="48" t="str">
        <f t="shared" si="80"/>
        <v/>
      </c>
    </row>
    <row r="1282" spans="5:19" x14ac:dyDescent="0.35">
      <c r="E1282" s="30" t="s">
        <v>42</v>
      </c>
      <c r="F1282" s="46"/>
      <c r="G1282" s="46"/>
      <c r="H1282" s="46"/>
      <c r="I1282" s="46"/>
      <c r="J1282" s="46"/>
      <c r="K1282" s="46"/>
      <c r="L1282" s="41" t="str">
        <f t="shared" ca="1" si="77"/>
        <v/>
      </c>
      <c r="M1282" s="47" t="str">
        <f t="shared" ca="1" si="78"/>
        <v/>
      </c>
      <c r="R1282" s="48" t="str">
        <f t="shared" si="79"/>
        <v/>
      </c>
      <c r="S1282" s="48" t="str">
        <f t="shared" si="80"/>
        <v/>
      </c>
    </row>
    <row r="1283" spans="5:19" x14ac:dyDescent="0.35">
      <c r="E1283" s="30" t="s">
        <v>42</v>
      </c>
      <c r="F1283" s="46"/>
      <c r="G1283" s="46"/>
      <c r="H1283" s="46"/>
      <c r="I1283" s="46"/>
      <c r="J1283" s="46"/>
      <c r="K1283" s="46"/>
      <c r="L1283" s="41" t="str">
        <f t="shared" ca="1" si="77"/>
        <v/>
      </c>
      <c r="M1283" s="47" t="str">
        <f t="shared" ca="1" si="78"/>
        <v/>
      </c>
      <c r="R1283" s="48" t="str">
        <f t="shared" si="79"/>
        <v/>
      </c>
      <c r="S1283" s="48" t="str">
        <f t="shared" si="80"/>
        <v/>
      </c>
    </row>
    <row r="1284" spans="5:19" x14ac:dyDescent="0.35">
      <c r="E1284" s="30" t="s">
        <v>42</v>
      </c>
      <c r="F1284" s="46"/>
      <c r="G1284" s="46"/>
      <c r="H1284" s="46"/>
      <c r="I1284" s="46"/>
      <c r="J1284" s="46"/>
      <c r="K1284" s="46"/>
      <c r="L1284" s="41" t="str">
        <f t="shared" ca="1" si="77"/>
        <v/>
      </c>
      <c r="M1284" s="47" t="str">
        <f t="shared" ca="1" si="78"/>
        <v/>
      </c>
      <c r="R1284" s="48" t="str">
        <f t="shared" si="79"/>
        <v/>
      </c>
      <c r="S1284" s="48" t="str">
        <f t="shared" si="80"/>
        <v/>
      </c>
    </row>
    <row r="1285" spans="5:19" x14ac:dyDescent="0.35">
      <c r="E1285" s="30" t="s">
        <v>42</v>
      </c>
      <c r="F1285" s="46"/>
      <c r="G1285" s="46"/>
      <c r="H1285" s="46"/>
      <c r="I1285" s="46"/>
      <c r="J1285" s="46"/>
      <c r="K1285" s="46"/>
      <c r="L1285" s="41" t="str">
        <f t="shared" ca="1" si="77"/>
        <v/>
      </c>
      <c r="M1285" s="47" t="str">
        <f t="shared" ca="1" si="78"/>
        <v/>
      </c>
      <c r="R1285" s="48" t="str">
        <f t="shared" si="79"/>
        <v/>
      </c>
      <c r="S1285" s="48" t="str">
        <f t="shared" si="80"/>
        <v/>
      </c>
    </row>
    <row r="1286" spans="5:19" x14ac:dyDescent="0.35">
      <c r="E1286" s="30" t="s">
        <v>42</v>
      </c>
      <c r="F1286" s="46"/>
      <c r="G1286" s="46"/>
      <c r="H1286" s="46"/>
      <c r="I1286" s="46"/>
      <c r="J1286" s="46"/>
      <c r="K1286" s="46"/>
      <c r="L1286" s="41" t="str">
        <f t="shared" ref="L1286:L1349" ca="1" si="81">IF(AND(C1286&lt;&gt;"",C1286&lt;&gt;R1286),TODAY(),IF(C1286="","",L1286))</f>
        <v/>
      </c>
      <c r="M1286" s="47" t="str">
        <f t="shared" ref="M1286:M1349" ca="1" si="82">IF(AND(C1286&lt;&gt;"",C1286&lt;&gt;S1286),NOW(),IF(C1286="","",M1286))</f>
        <v/>
      </c>
      <c r="R1286" s="48" t="str">
        <f t="shared" ref="R1286:R1349" si="83">IF(C1286="","",IF(OR(L1286="",AND(ISNUMBER(R1286),C1286=R1286)),R1286,C1286))</f>
        <v/>
      </c>
      <c r="S1286" s="48" t="str">
        <f t="shared" ref="S1286:S1349" si="84">IF(C1286="","",IF(OR(M1286="",AND(ISNUMBER(S1286),C1286=S1286)),S1286,C1286))</f>
        <v/>
      </c>
    </row>
    <row r="1287" spans="5:19" x14ac:dyDescent="0.35">
      <c r="E1287" s="30" t="s">
        <v>42</v>
      </c>
      <c r="F1287" s="46"/>
      <c r="G1287" s="46"/>
      <c r="H1287" s="46"/>
      <c r="I1287" s="46"/>
      <c r="J1287" s="46"/>
      <c r="K1287" s="46"/>
      <c r="L1287" s="41" t="str">
        <f t="shared" ca="1" si="81"/>
        <v/>
      </c>
      <c r="M1287" s="47" t="str">
        <f t="shared" ca="1" si="82"/>
        <v/>
      </c>
      <c r="R1287" s="48" t="str">
        <f t="shared" si="83"/>
        <v/>
      </c>
      <c r="S1287" s="48" t="str">
        <f t="shared" si="84"/>
        <v/>
      </c>
    </row>
    <row r="1288" spans="5:19" x14ac:dyDescent="0.35">
      <c r="E1288" s="30" t="s">
        <v>42</v>
      </c>
      <c r="F1288" s="46"/>
      <c r="G1288" s="46"/>
      <c r="H1288" s="46"/>
      <c r="I1288" s="46"/>
      <c r="J1288" s="46"/>
      <c r="K1288" s="46"/>
      <c r="L1288" s="41" t="str">
        <f t="shared" ca="1" si="81"/>
        <v/>
      </c>
      <c r="M1288" s="47" t="str">
        <f t="shared" ca="1" si="82"/>
        <v/>
      </c>
      <c r="R1288" s="48" t="str">
        <f t="shared" si="83"/>
        <v/>
      </c>
      <c r="S1288" s="48" t="str">
        <f t="shared" si="84"/>
        <v/>
      </c>
    </row>
    <row r="1289" spans="5:19" x14ac:dyDescent="0.35">
      <c r="E1289" s="30" t="s">
        <v>42</v>
      </c>
      <c r="F1289" s="46"/>
      <c r="G1289" s="46"/>
      <c r="H1289" s="46"/>
      <c r="I1289" s="46"/>
      <c r="J1289" s="46"/>
      <c r="K1289" s="46"/>
      <c r="L1289" s="41" t="str">
        <f t="shared" ca="1" si="81"/>
        <v/>
      </c>
      <c r="M1289" s="47" t="str">
        <f t="shared" ca="1" si="82"/>
        <v/>
      </c>
      <c r="R1289" s="48" t="str">
        <f t="shared" si="83"/>
        <v/>
      </c>
      <c r="S1289" s="48" t="str">
        <f t="shared" si="84"/>
        <v/>
      </c>
    </row>
    <row r="1290" spans="5:19" x14ac:dyDescent="0.35">
      <c r="E1290" s="30" t="s">
        <v>42</v>
      </c>
      <c r="F1290" s="46"/>
      <c r="G1290" s="46"/>
      <c r="H1290" s="46"/>
      <c r="I1290" s="46"/>
      <c r="J1290" s="46"/>
      <c r="K1290" s="46"/>
      <c r="L1290" s="41" t="str">
        <f t="shared" ca="1" si="81"/>
        <v/>
      </c>
      <c r="M1290" s="47" t="str">
        <f t="shared" ca="1" si="82"/>
        <v/>
      </c>
      <c r="R1290" s="48" t="str">
        <f t="shared" si="83"/>
        <v/>
      </c>
      <c r="S1290" s="48" t="str">
        <f t="shared" si="84"/>
        <v/>
      </c>
    </row>
    <row r="1291" spans="5:19" x14ac:dyDescent="0.35">
      <c r="E1291" s="30" t="s">
        <v>42</v>
      </c>
      <c r="F1291" s="46"/>
      <c r="G1291" s="46"/>
      <c r="H1291" s="46"/>
      <c r="I1291" s="46"/>
      <c r="J1291" s="46"/>
      <c r="K1291" s="46"/>
      <c r="L1291" s="41" t="str">
        <f t="shared" ca="1" si="81"/>
        <v/>
      </c>
      <c r="M1291" s="47" t="str">
        <f t="shared" ca="1" si="82"/>
        <v/>
      </c>
      <c r="R1291" s="48" t="str">
        <f t="shared" si="83"/>
        <v/>
      </c>
      <c r="S1291" s="48" t="str">
        <f t="shared" si="84"/>
        <v/>
      </c>
    </row>
    <row r="1292" spans="5:19" x14ac:dyDescent="0.35">
      <c r="E1292" s="30" t="s">
        <v>42</v>
      </c>
      <c r="F1292" s="46"/>
      <c r="G1292" s="46"/>
      <c r="H1292" s="46"/>
      <c r="I1292" s="46"/>
      <c r="J1292" s="46"/>
      <c r="K1292" s="46"/>
      <c r="L1292" s="41" t="str">
        <f t="shared" ca="1" si="81"/>
        <v/>
      </c>
      <c r="M1292" s="47" t="str">
        <f t="shared" ca="1" si="82"/>
        <v/>
      </c>
      <c r="R1292" s="48" t="str">
        <f t="shared" si="83"/>
        <v/>
      </c>
      <c r="S1292" s="48" t="str">
        <f t="shared" si="84"/>
        <v/>
      </c>
    </row>
    <row r="1293" spans="5:19" x14ac:dyDescent="0.35">
      <c r="E1293" s="30" t="s">
        <v>42</v>
      </c>
      <c r="F1293" s="46"/>
      <c r="G1293" s="46"/>
      <c r="H1293" s="46"/>
      <c r="I1293" s="46"/>
      <c r="J1293" s="46"/>
      <c r="K1293" s="46"/>
      <c r="L1293" s="41" t="str">
        <f t="shared" ca="1" si="81"/>
        <v/>
      </c>
      <c r="M1293" s="47" t="str">
        <f t="shared" ca="1" si="82"/>
        <v/>
      </c>
      <c r="R1293" s="48" t="str">
        <f t="shared" si="83"/>
        <v/>
      </c>
      <c r="S1293" s="48" t="str">
        <f t="shared" si="84"/>
        <v/>
      </c>
    </row>
    <row r="1294" spans="5:19" x14ac:dyDescent="0.35">
      <c r="E1294" s="30" t="s">
        <v>42</v>
      </c>
      <c r="F1294" s="46"/>
      <c r="G1294" s="46"/>
      <c r="H1294" s="46"/>
      <c r="I1294" s="46"/>
      <c r="J1294" s="46"/>
      <c r="K1294" s="46"/>
      <c r="L1294" s="41" t="str">
        <f t="shared" ca="1" si="81"/>
        <v/>
      </c>
      <c r="M1294" s="47" t="str">
        <f t="shared" ca="1" si="82"/>
        <v/>
      </c>
      <c r="R1294" s="48" t="str">
        <f t="shared" si="83"/>
        <v/>
      </c>
      <c r="S1294" s="48" t="str">
        <f t="shared" si="84"/>
        <v/>
      </c>
    </row>
    <row r="1295" spans="5:19" x14ac:dyDescent="0.35">
      <c r="E1295" s="30" t="s">
        <v>42</v>
      </c>
      <c r="F1295" s="46"/>
      <c r="G1295" s="46"/>
      <c r="H1295" s="46"/>
      <c r="I1295" s="46"/>
      <c r="J1295" s="46"/>
      <c r="K1295" s="46"/>
      <c r="L1295" s="41" t="str">
        <f t="shared" ca="1" si="81"/>
        <v/>
      </c>
      <c r="M1295" s="47" t="str">
        <f t="shared" ca="1" si="82"/>
        <v/>
      </c>
      <c r="R1295" s="48" t="str">
        <f t="shared" si="83"/>
        <v/>
      </c>
      <c r="S1295" s="48" t="str">
        <f t="shared" si="84"/>
        <v/>
      </c>
    </row>
    <row r="1296" spans="5:19" x14ac:dyDescent="0.35">
      <c r="E1296" s="30" t="s">
        <v>42</v>
      </c>
      <c r="F1296" s="46"/>
      <c r="G1296" s="46"/>
      <c r="H1296" s="46"/>
      <c r="I1296" s="46"/>
      <c r="J1296" s="46"/>
      <c r="K1296" s="46"/>
      <c r="L1296" s="41" t="str">
        <f t="shared" ca="1" si="81"/>
        <v/>
      </c>
      <c r="M1296" s="47" t="str">
        <f t="shared" ca="1" si="82"/>
        <v/>
      </c>
      <c r="R1296" s="48" t="str">
        <f t="shared" si="83"/>
        <v/>
      </c>
      <c r="S1296" s="48" t="str">
        <f t="shared" si="84"/>
        <v/>
      </c>
    </row>
    <row r="1297" spans="5:19" x14ac:dyDescent="0.35">
      <c r="E1297" s="30" t="s">
        <v>42</v>
      </c>
      <c r="F1297" s="46"/>
      <c r="G1297" s="46"/>
      <c r="H1297" s="46"/>
      <c r="I1297" s="46"/>
      <c r="J1297" s="46"/>
      <c r="K1297" s="46"/>
      <c r="L1297" s="41" t="str">
        <f t="shared" ca="1" si="81"/>
        <v/>
      </c>
      <c r="M1297" s="47" t="str">
        <f t="shared" ca="1" si="82"/>
        <v/>
      </c>
      <c r="R1297" s="48" t="str">
        <f t="shared" si="83"/>
        <v/>
      </c>
      <c r="S1297" s="48" t="str">
        <f t="shared" si="84"/>
        <v/>
      </c>
    </row>
    <row r="1298" spans="5:19" x14ac:dyDescent="0.35">
      <c r="E1298" s="30" t="s">
        <v>42</v>
      </c>
      <c r="F1298" s="46"/>
      <c r="G1298" s="46"/>
      <c r="H1298" s="46"/>
      <c r="I1298" s="46"/>
      <c r="J1298" s="46"/>
      <c r="K1298" s="46"/>
      <c r="L1298" s="41" t="str">
        <f t="shared" ca="1" si="81"/>
        <v/>
      </c>
      <c r="M1298" s="47" t="str">
        <f t="shared" ca="1" si="82"/>
        <v/>
      </c>
      <c r="R1298" s="48" t="str">
        <f t="shared" si="83"/>
        <v/>
      </c>
      <c r="S1298" s="48" t="str">
        <f t="shared" si="84"/>
        <v/>
      </c>
    </row>
    <row r="1299" spans="5:19" x14ac:dyDescent="0.35">
      <c r="E1299" s="30" t="s">
        <v>42</v>
      </c>
      <c r="F1299" s="46"/>
      <c r="G1299" s="46"/>
      <c r="H1299" s="46"/>
      <c r="I1299" s="46"/>
      <c r="J1299" s="46"/>
      <c r="K1299" s="46"/>
      <c r="L1299" s="41" t="str">
        <f t="shared" ca="1" si="81"/>
        <v/>
      </c>
      <c r="M1299" s="47" t="str">
        <f t="shared" ca="1" si="82"/>
        <v/>
      </c>
      <c r="R1299" s="48" t="str">
        <f t="shared" si="83"/>
        <v/>
      </c>
      <c r="S1299" s="48" t="str">
        <f t="shared" si="84"/>
        <v/>
      </c>
    </row>
    <row r="1300" spans="5:19" x14ac:dyDescent="0.35">
      <c r="E1300" s="30" t="s">
        <v>42</v>
      </c>
      <c r="F1300" s="46"/>
      <c r="G1300" s="46"/>
      <c r="H1300" s="46"/>
      <c r="I1300" s="46"/>
      <c r="J1300" s="46"/>
      <c r="K1300" s="46"/>
      <c r="L1300" s="41" t="str">
        <f t="shared" ca="1" si="81"/>
        <v/>
      </c>
      <c r="M1300" s="47" t="str">
        <f t="shared" ca="1" si="82"/>
        <v/>
      </c>
      <c r="R1300" s="48" t="str">
        <f t="shared" si="83"/>
        <v/>
      </c>
      <c r="S1300" s="48" t="str">
        <f t="shared" si="84"/>
        <v/>
      </c>
    </row>
    <row r="1301" spans="5:19" x14ac:dyDescent="0.35">
      <c r="E1301" s="30" t="s">
        <v>42</v>
      </c>
      <c r="F1301" s="46"/>
      <c r="G1301" s="46"/>
      <c r="H1301" s="46"/>
      <c r="I1301" s="46"/>
      <c r="J1301" s="46"/>
      <c r="K1301" s="46"/>
      <c r="L1301" s="41" t="str">
        <f t="shared" ca="1" si="81"/>
        <v/>
      </c>
      <c r="M1301" s="47" t="str">
        <f t="shared" ca="1" si="82"/>
        <v/>
      </c>
      <c r="R1301" s="48" t="str">
        <f t="shared" si="83"/>
        <v/>
      </c>
      <c r="S1301" s="48" t="str">
        <f t="shared" si="84"/>
        <v/>
      </c>
    </row>
    <row r="1302" spans="5:19" x14ac:dyDescent="0.35">
      <c r="E1302" s="30" t="s">
        <v>42</v>
      </c>
      <c r="F1302" s="46"/>
      <c r="G1302" s="46"/>
      <c r="H1302" s="46"/>
      <c r="I1302" s="46"/>
      <c r="J1302" s="46"/>
      <c r="K1302" s="46"/>
      <c r="L1302" s="41" t="str">
        <f t="shared" ca="1" si="81"/>
        <v/>
      </c>
      <c r="M1302" s="47" t="str">
        <f t="shared" ca="1" si="82"/>
        <v/>
      </c>
      <c r="R1302" s="48" t="str">
        <f t="shared" si="83"/>
        <v/>
      </c>
      <c r="S1302" s="48" t="str">
        <f t="shared" si="84"/>
        <v/>
      </c>
    </row>
    <row r="1303" spans="5:19" x14ac:dyDescent="0.35">
      <c r="E1303" s="30" t="s">
        <v>42</v>
      </c>
      <c r="F1303" s="46"/>
      <c r="G1303" s="46"/>
      <c r="H1303" s="46"/>
      <c r="I1303" s="46"/>
      <c r="J1303" s="46"/>
      <c r="K1303" s="46"/>
      <c r="L1303" s="41" t="str">
        <f t="shared" ca="1" si="81"/>
        <v/>
      </c>
      <c r="M1303" s="47" t="str">
        <f t="shared" ca="1" si="82"/>
        <v/>
      </c>
      <c r="R1303" s="48" t="str">
        <f t="shared" si="83"/>
        <v/>
      </c>
      <c r="S1303" s="48" t="str">
        <f t="shared" si="84"/>
        <v/>
      </c>
    </row>
    <row r="1304" spans="5:19" x14ac:dyDescent="0.35">
      <c r="E1304" s="30" t="s">
        <v>42</v>
      </c>
      <c r="F1304" s="46"/>
      <c r="G1304" s="46"/>
      <c r="H1304" s="46"/>
      <c r="I1304" s="46"/>
      <c r="J1304" s="46"/>
      <c r="K1304" s="46"/>
      <c r="L1304" s="41" t="str">
        <f t="shared" ca="1" si="81"/>
        <v/>
      </c>
      <c r="M1304" s="47" t="str">
        <f t="shared" ca="1" si="82"/>
        <v/>
      </c>
      <c r="R1304" s="48" t="str">
        <f t="shared" si="83"/>
        <v/>
      </c>
      <c r="S1304" s="48" t="str">
        <f t="shared" si="84"/>
        <v/>
      </c>
    </row>
    <row r="1305" spans="5:19" x14ac:dyDescent="0.35">
      <c r="E1305" s="30" t="s">
        <v>42</v>
      </c>
      <c r="F1305" s="46"/>
      <c r="G1305" s="46"/>
      <c r="H1305" s="46"/>
      <c r="I1305" s="46"/>
      <c r="J1305" s="46"/>
      <c r="K1305" s="46"/>
      <c r="L1305" s="41" t="str">
        <f t="shared" ca="1" si="81"/>
        <v/>
      </c>
      <c r="M1305" s="47" t="str">
        <f t="shared" ca="1" si="82"/>
        <v/>
      </c>
      <c r="R1305" s="48" t="str">
        <f t="shared" si="83"/>
        <v/>
      </c>
      <c r="S1305" s="48" t="str">
        <f t="shared" si="84"/>
        <v/>
      </c>
    </row>
    <row r="1306" spans="5:19" x14ac:dyDescent="0.35">
      <c r="E1306" s="30" t="s">
        <v>42</v>
      </c>
      <c r="F1306" s="46"/>
      <c r="G1306" s="46"/>
      <c r="H1306" s="46"/>
      <c r="I1306" s="46"/>
      <c r="J1306" s="46"/>
      <c r="K1306" s="46"/>
      <c r="L1306" s="41" t="str">
        <f t="shared" ca="1" si="81"/>
        <v/>
      </c>
      <c r="M1306" s="47" t="str">
        <f t="shared" ca="1" si="82"/>
        <v/>
      </c>
      <c r="R1306" s="48" t="str">
        <f t="shared" si="83"/>
        <v/>
      </c>
      <c r="S1306" s="48" t="str">
        <f t="shared" si="84"/>
        <v/>
      </c>
    </row>
    <row r="1307" spans="5:19" x14ac:dyDescent="0.35">
      <c r="E1307" s="30" t="s">
        <v>42</v>
      </c>
      <c r="F1307" s="46"/>
      <c r="G1307" s="46"/>
      <c r="H1307" s="46"/>
      <c r="I1307" s="46"/>
      <c r="J1307" s="46"/>
      <c r="K1307" s="46"/>
      <c r="L1307" s="41" t="str">
        <f t="shared" ca="1" si="81"/>
        <v/>
      </c>
      <c r="M1307" s="47" t="str">
        <f t="shared" ca="1" si="82"/>
        <v/>
      </c>
      <c r="R1307" s="48" t="str">
        <f t="shared" si="83"/>
        <v/>
      </c>
      <c r="S1307" s="48" t="str">
        <f t="shared" si="84"/>
        <v/>
      </c>
    </row>
    <row r="1308" spans="5:19" x14ac:dyDescent="0.35">
      <c r="E1308" s="30" t="s">
        <v>42</v>
      </c>
      <c r="F1308" s="46"/>
      <c r="G1308" s="46"/>
      <c r="H1308" s="46"/>
      <c r="I1308" s="46"/>
      <c r="J1308" s="46"/>
      <c r="K1308" s="46"/>
      <c r="L1308" s="41" t="str">
        <f t="shared" ca="1" si="81"/>
        <v/>
      </c>
      <c r="M1308" s="47" t="str">
        <f t="shared" ca="1" si="82"/>
        <v/>
      </c>
      <c r="R1308" s="48" t="str">
        <f t="shared" si="83"/>
        <v/>
      </c>
      <c r="S1308" s="48" t="str">
        <f t="shared" si="84"/>
        <v/>
      </c>
    </row>
    <row r="1309" spans="5:19" x14ac:dyDescent="0.35">
      <c r="E1309" s="30" t="s">
        <v>42</v>
      </c>
      <c r="F1309" s="46"/>
      <c r="G1309" s="46"/>
      <c r="H1309" s="46"/>
      <c r="I1309" s="46"/>
      <c r="J1309" s="46"/>
      <c r="K1309" s="46"/>
      <c r="L1309" s="41" t="str">
        <f t="shared" ca="1" si="81"/>
        <v/>
      </c>
      <c r="M1309" s="47" t="str">
        <f t="shared" ca="1" si="82"/>
        <v/>
      </c>
      <c r="R1309" s="48" t="str">
        <f t="shared" si="83"/>
        <v/>
      </c>
      <c r="S1309" s="48" t="str">
        <f t="shared" si="84"/>
        <v/>
      </c>
    </row>
    <row r="1310" spans="5:19" x14ac:dyDescent="0.35">
      <c r="E1310" s="30" t="s">
        <v>42</v>
      </c>
      <c r="F1310" s="46"/>
      <c r="G1310" s="46"/>
      <c r="H1310" s="46"/>
      <c r="I1310" s="46"/>
      <c r="J1310" s="46"/>
      <c r="K1310" s="46"/>
      <c r="L1310" s="41" t="str">
        <f t="shared" ca="1" si="81"/>
        <v/>
      </c>
      <c r="M1310" s="47" t="str">
        <f t="shared" ca="1" si="82"/>
        <v/>
      </c>
      <c r="R1310" s="48" t="str">
        <f t="shared" si="83"/>
        <v/>
      </c>
      <c r="S1310" s="48" t="str">
        <f t="shared" si="84"/>
        <v/>
      </c>
    </row>
    <row r="1311" spans="5:19" x14ac:dyDescent="0.35">
      <c r="E1311" s="30" t="s">
        <v>42</v>
      </c>
      <c r="F1311" s="46"/>
      <c r="G1311" s="46"/>
      <c r="H1311" s="46"/>
      <c r="I1311" s="46"/>
      <c r="J1311" s="46"/>
      <c r="K1311" s="46"/>
      <c r="L1311" s="41" t="str">
        <f t="shared" ca="1" si="81"/>
        <v/>
      </c>
      <c r="M1311" s="47" t="str">
        <f t="shared" ca="1" si="82"/>
        <v/>
      </c>
      <c r="R1311" s="48" t="str">
        <f t="shared" si="83"/>
        <v/>
      </c>
      <c r="S1311" s="48" t="str">
        <f t="shared" si="84"/>
        <v/>
      </c>
    </row>
    <row r="1312" spans="5:19" x14ac:dyDescent="0.35">
      <c r="E1312" s="30" t="s">
        <v>42</v>
      </c>
      <c r="F1312" s="46"/>
      <c r="G1312" s="46"/>
      <c r="H1312" s="46"/>
      <c r="I1312" s="46"/>
      <c r="J1312" s="46"/>
      <c r="K1312" s="46"/>
      <c r="L1312" s="41" t="str">
        <f t="shared" ca="1" si="81"/>
        <v/>
      </c>
      <c r="M1312" s="47" t="str">
        <f t="shared" ca="1" si="82"/>
        <v/>
      </c>
      <c r="R1312" s="48" t="str">
        <f t="shared" si="83"/>
        <v/>
      </c>
      <c r="S1312" s="48" t="str">
        <f t="shared" si="84"/>
        <v/>
      </c>
    </row>
    <row r="1313" spans="5:19" x14ac:dyDescent="0.35">
      <c r="E1313" s="30" t="s">
        <v>42</v>
      </c>
      <c r="F1313" s="46"/>
      <c r="G1313" s="46"/>
      <c r="H1313" s="46"/>
      <c r="I1313" s="46"/>
      <c r="J1313" s="46"/>
      <c r="K1313" s="46"/>
      <c r="L1313" s="41" t="str">
        <f t="shared" ca="1" si="81"/>
        <v/>
      </c>
      <c r="M1313" s="47" t="str">
        <f t="shared" ca="1" si="82"/>
        <v/>
      </c>
      <c r="R1313" s="48" t="str">
        <f t="shared" si="83"/>
        <v/>
      </c>
      <c r="S1313" s="48" t="str">
        <f t="shared" si="84"/>
        <v/>
      </c>
    </row>
    <row r="1314" spans="5:19" x14ac:dyDescent="0.35">
      <c r="E1314" s="30" t="s">
        <v>42</v>
      </c>
      <c r="F1314" s="46"/>
      <c r="G1314" s="46"/>
      <c r="H1314" s="46"/>
      <c r="I1314" s="46"/>
      <c r="J1314" s="46"/>
      <c r="K1314" s="46"/>
      <c r="L1314" s="41" t="str">
        <f t="shared" ca="1" si="81"/>
        <v/>
      </c>
      <c r="M1314" s="47" t="str">
        <f t="shared" ca="1" si="82"/>
        <v/>
      </c>
      <c r="R1314" s="48" t="str">
        <f t="shared" si="83"/>
        <v/>
      </c>
      <c r="S1314" s="48" t="str">
        <f t="shared" si="84"/>
        <v/>
      </c>
    </row>
    <row r="1315" spans="5:19" x14ac:dyDescent="0.35">
      <c r="E1315" s="30" t="s">
        <v>42</v>
      </c>
      <c r="F1315" s="46"/>
      <c r="G1315" s="46"/>
      <c r="H1315" s="46"/>
      <c r="I1315" s="46"/>
      <c r="J1315" s="46"/>
      <c r="K1315" s="46"/>
      <c r="L1315" s="41" t="str">
        <f t="shared" ca="1" si="81"/>
        <v/>
      </c>
      <c r="M1315" s="47" t="str">
        <f t="shared" ca="1" si="82"/>
        <v/>
      </c>
      <c r="R1315" s="48" t="str">
        <f t="shared" si="83"/>
        <v/>
      </c>
      <c r="S1315" s="48" t="str">
        <f t="shared" si="84"/>
        <v/>
      </c>
    </row>
    <row r="1316" spans="5:19" x14ac:dyDescent="0.35">
      <c r="E1316" s="30" t="s">
        <v>42</v>
      </c>
      <c r="F1316" s="46"/>
      <c r="G1316" s="46"/>
      <c r="H1316" s="46"/>
      <c r="I1316" s="46"/>
      <c r="J1316" s="46"/>
      <c r="K1316" s="46"/>
      <c r="L1316" s="41" t="str">
        <f t="shared" ca="1" si="81"/>
        <v/>
      </c>
      <c r="M1316" s="47" t="str">
        <f t="shared" ca="1" si="82"/>
        <v/>
      </c>
      <c r="R1316" s="48" t="str">
        <f t="shared" si="83"/>
        <v/>
      </c>
      <c r="S1316" s="48" t="str">
        <f t="shared" si="84"/>
        <v/>
      </c>
    </row>
    <row r="1317" spans="5:19" x14ac:dyDescent="0.35">
      <c r="E1317" s="30" t="s">
        <v>42</v>
      </c>
      <c r="F1317" s="46"/>
      <c r="G1317" s="46"/>
      <c r="H1317" s="46"/>
      <c r="I1317" s="46"/>
      <c r="J1317" s="46"/>
      <c r="K1317" s="46"/>
      <c r="L1317" s="41" t="str">
        <f t="shared" ca="1" si="81"/>
        <v/>
      </c>
      <c r="M1317" s="47" t="str">
        <f t="shared" ca="1" si="82"/>
        <v/>
      </c>
      <c r="R1317" s="48" t="str">
        <f t="shared" si="83"/>
        <v/>
      </c>
      <c r="S1317" s="48" t="str">
        <f t="shared" si="84"/>
        <v/>
      </c>
    </row>
    <row r="1318" spans="5:19" x14ac:dyDescent="0.35">
      <c r="E1318" s="30" t="s">
        <v>42</v>
      </c>
      <c r="F1318" s="46"/>
      <c r="G1318" s="46"/>
      <c r="H1318" s="46"/>
      <c r="I1318" s="46"/>
      <c r="J1318" s="46"/>
      <c r="K1318" s="46"/>
      <c r="L1318" s="41" t="str">
        <f t="shared" ca="1" si="81"/>
        <v/>
      </c>
      <c r="M1318" s="47" t="str">
        <f t="shared" ca="1" si="82"/>
        <v/>
      </c>
      <c r="R1318" s="48" t="str">
        <f t="shared" si="83"/>
        <v/>
      </c>
      <c r="S1318" s="48" t="str">
        <f t="shared" si="84"/>
        <v/>
      </c>
    </row>
    <row r="1319" spans="5:19" x14ac:dyDescent="0.35">
      <c r="E1319" s="30" t="s">
        <v>42</v>
      </c>
      <c r="F1319" s="46"/>
      <c r="G1319" s="46"/>
      <c r="H1319" s="46"/>
      <c r="I1319" s="46"/>
      <c r="J1319" s="46"/>
      <c r="K1319" s="46"/>
      <c r="L1319" s="41" t="str">
        <f t="shared" ca="1" si="81"/>
        <v/>
      </c>
      <c r="M1319" s="47" t="str">
        <f t="shared" ca="1" si="82"/>
        <v/>
      </c>
      <c r="R1319" s="48" t="str">
        <f t="shared" si="83"/>
        <v/>
      </c>
      <c r="S1319" s="48" t="str">
        <f t="shared" si="84"/>
        <v/>
      </c>
    </row>
    <row r="1320" spans="5:19" x14ac:dyDescent="0.35">
      <c r="E1320" s="30" t="s">
        <v>42</v>
      </c>
      <c r="F1320" s="46"/>
      <c r="G1320" s="46"/>
      <c r="H1320" s="46"/>
      <c r="I1320" s="46"/>
      <c r="J1320" s="46"/>
      <c r="K1320" s="46"/>
      <c r="L1320" s="41" t="str">
        <f t="shared" ca="1" si="81"/>
        <v/>
      </c>
      <c r="M1320" s="47" t="str">
        <f t="shared" ca="1" si="82"/>
        <v/>
      </c>
      <c r="R1320" s="48" t="str">
        <f t="shared" si="83"/>
        <v/>
      </c>
      <c r="S1320" s="48" t="str">
        <f t="shared" si="84"/>
        <v/>
      </c>
    </row>
    <row r="1321" spans="5:19" x14ac:dyDescent="0.35">
      <c r="E1321" s="30" t="s">
        <v>42</v>
      </c>
      <c r="F1321" s="46"/>
      <c r="G1321" s="46"/>
      <c r="H1321" s="46"/>
      <c r="I1321" s="46"/>
      <c r="J1321" s="46"/>
      <c r="K1321" s="46"/>
      <c r="L1321" s="41" t="str">
        <f t="shared" ca="1" si="81"/>
        <v/>
      </c>
      <c r="M1321" s="47" t="str">
        <f t="shared" ca="1" si="82"/>
        <v/>
      </c>
      <c r="R1321" s="48" t="str">
        <f t="shared" si="83"/>
        <v/>
      </c>
      <c r="S1321" s="48" t="str">
        <f t="shared" si="84"/>
        <v/>
      </c>
    </row>
    <row r="1322" spans="5:19" x14ac:dyDescent="0.35">
      <c r="E1322" s="30" t="s">
        <v>42</v>
      </c>
      <c r="F1322" s="46"/>
      <c r="G1322" s="46"/>
      <c r="H1322" s="46"/>
      <c r="I1322" s="46"/>
      <c r="J1322" s="46"/>
      <c r="K1322" s="46"/>
      <c r="L1322" s="41" t="str">
        <f t="shared" ca="1" si="81"/>
        <v/>
      </c>
      <c r="M1322" s="47" t="str">
        <f t="shared" ca="1" si="82"/>
        <v/>
      </c>
      <c r="R1322" s="48" t="str">
        <f t="shared" si="83"/>
        <v/>
      </c>
      <c r="S1322" s="48" t="str">
        <f t="shared" si="84"/>
        <v/>
      </c>
    </row>
    <row r="1323" spans="5:19" x14ac:dyDescent="0.35">
      <c r="E1323" s="30" t="s">
        <v>42</v>
      </c>
      <c r="F1323" s="46"/>
      <c r="G1323" s="46"/>
      <c r="H1323" s="46"/>
      <c r="I1323" s="46"/>
      <c r="J1323" s="46"/>
      <c r="K1323" s="46"/>
      <c r="L1323" s="41" t="str">
        <f t="shared" ca="1" si="81"/>
        <v/>
      </c>
      <c r="M1323" s="47" t="str">
        <f t="shared" ca="1" si="82"/>
        <v/>
      </c>
      <c r="R1323" s="48" t="str">
        <f t="shared" si="83"/>
        <v/>
      </c>
      <c r="S1323" s="48" t="str">
        <f t="shared" si="84"/>
        <v/>
      </c>
    </row>
    <row r="1324" spans="5:19" x14ac:dyDescent="0.35">
      <c r="E1324" s="30" t="s">
        <v>42</v>
      </c>
      <c r="F1324" s="46"/>
      <c r="G1324" s="46"/>
      <c r="H1324" s="46"/>
      <c r="I1324" s="46"/>
      <c r="J1324" s="46"/>
      <c r="K1324" s="46"/>
      <c r="L1324" s="41" t="str">
        <f t="shared" ca="1" si="81"/>
        <v/>
      </c>
      <c r="M1324" s="47" t="str">
        <f t="shared" ca="1" si="82"/>
        <v/>
      </c>
      <c r="R1324" s="48" t="str">
        <f t="shared" si="83"/>
        <v/>
      </c>
      <c r="S1324" s="48" t="str">
        <f t="shared" si="84"/>
        <v/>
      </c>
    </row>
    <row r="1325" spans="5:19" x14ac:dyDescent="0.35">
      <c r="E1325" s="30" t="s">
        <v>42</v>
      </c>
      <c r="F1325" s="46"/>
      <c r="G1325" s="46"/>
      <c r="H1325" s="46"/>
      <c r="I1325" s="46"/>
      <c r="J1325" s="46"/>
      <c r="K1325" s="46"/>
      <c r="L1325" s="41" t="str">
        <f t="shared" ca="1" si="81"/>
        <v/>
      </c>
      <c r="M1325" s="47" t="str">
        <f t="shared" ca="1" si="82"/>
        <v/>
      </c>
      <c r="R1325" s="48" t="str">
        <f t="shared" si="83"/>
        <v/>
      </c>
      <c r="S1325" s="48" t="str">
        <f t="shared" si="84"/>
        <v/>
      </c>
    </row>
    <row r="1326" spans="5:19" x14ac:dyDescent="0.35">
      <c r="E1326" s="30" t="s">
        <v>42</v>
      </c>
      <c r="F1326" s="46"/>
      <c r="G1326" s="46"/>
      <c r="H1326" s="46"/>
      <c r="I1326" s="46"/>
      <c r="J1326" s="46"/>
      <c r="K1326" s="46"/>
      <c r="L1326" s="41" t="str">
        <f t="shared" ca="1" si="81"/>
        <v/>
      </c>
      <c r="M1326" s="47" t="str">
        <f t="shared" ca="1" si="82"/>
        <v/>
      </c>
      <c r="R1326" s="48" t="str">
        <f t="shared" si="83"/>
        <v/>
      </c>
      <c r="S1326" s="48" t="str">
        <f t="shared" si="84"/>
        <v/>
      </c>
    </row>
    <row r="1327" spans="5:19" x14ac:dyDescent="0.35">
      <c r="E1327" s="30" t="s">
        <v>42</v>
      </c>
      <c r="F1327" s="46"/>
      <c r="G1327" s="46"/>
      <c r="H1327" s="46"/>
      <c r="I1327" s="46"/>
      <c r="J1327" s="46"/>
      <c r="K1327" s="46"/>
      <c r="L1327" s="41" t="str">
        <f t="shared" ca="1" si="81"/>
        <v/>
      </c>
      <c r="M1327" s="47" t="str">
        <f t="shared" ca="1" si="82"/>
        <v/>
      </c>
      <c r="R1327" s="48" t="str">
        <f t="shared" si="83"/>
        <v/>
      </c>
      <c r="S1327" s="48" t="str">
        <f t="shared" si="84"/>
        <v/>
      </c>
    </row>
    <row r="1328" spans="5:19" x14ac:dyDescent="0.35">
      <c r="E1328" s="30" t="s">
        <v>42</v>
      </c>
      <c r="F1328" s="46"/>
      <c r="G1328" s="46"/>
      <c r="H1328" s="46"/>
      <c r="I1328" s="46"/>
      <c r="J1328" s="46"/>
      <c r="K1328" s="46"/>
      <c r="L1328" s="41" t="str">
        <f t="shared" ca="1" si="81"/>
        <v/>
      </c>
      <c r="M1328" s="47" t="str">
        <f t="shared" ca="1" si="82"/>
        <v/>
      </c>
      <c r="R1328" s="48" t="str">
        <f t="shared" si="83"/>
        <v/>
      </c>
      <c r="S1328" s="48" t="str">
        <f t="shared" si="84"/>
        <v/>
      </c>
    </row>
    <row r="1329" spans="5:19" x14ac:dyDescent="0.35">
      <c r="E1329" s="30" t="s">
        <v>42</v>
      </c>
      <c r="F1329" s="46"/>
      <c r="G1329" s="46"/>
      <c r="H1329" s="46"/>
      <c r="I1329" s="46"/>
      <c r="J1329" s="46"/>
      <c r="K1329" s="46"/>
      <c r="L1329" s="41" t="str">
        <f t="shared" ca="1" si="81"/>
        <v/>
      </c>
      <c r="M1329" s="47" t="str">
        <f t="shared" ca="1" si="82"/>
        <v/>
      </c>
      <c r="R1329" s="48" t="str">
        <f t="shared" si="83"/>
        <v/>
      </c>
      <c r="S1329" s="48" t="str">
        <f t="shared" si="84"/>
        <v/>
      </c>
    </row>
    <row r="1330" spans="5:19" x14ac:dyDescent="0.35">
      <c r="E1330" s="30" t="s">
        <v>42</v>
      </c>
      <c r="F1330" s="46"/>
      <c r="G1330" s="46"/>
      <c r="H1330" s="46"/>
      <c r="I1330" s="46"/>
      <c r="J1330" s="46"/>
      <c r="K1330" s="46"/>
      <c r="L1330" s="41" t="str">
        <f t="shared" ca="1" si="81"/>
        <v/>
      </c>
      <c r="M1330" s="47" t="str">
        <f t="shared" ca="1" si="82"/>
        <v/>
      </c>
      <c r="R1330" s="48" t="str">
        <f t="shared" si="83"/>
        <v/>
      </c>
      <c r="S1330" s="48" t="str">
        <f t="shared" si="84"/>
        <v/>
      </c>
    </row>
    <row r="1331" spans="5:19" x14ac:dyDescent="0.35">
      <c r="E1331" s="30" t="s">
        <v>42</v>
      </c>
      <c r="F1331" s="46"/>
      <c r="G1331" s="46"/>
      <c r="H1331" s="46"/>
      <c r="I1331" s="46"/>
      <c r="J1331" s="46"/>
      <c r="K1331" s="46"/>
      <c r="L1331" s="41" t="str">
        <f t="shared" ca="1" si="81"/>
        <v/>
      </c>
      <c r="M1331" s="47" t="str">
        <f t="shared" ca="1" si="82"/>
        <v/>
      </c>
      <c r="R1331" s="48" t="str">
        <f t="shared" si="83"/>
        <v/>
      </c>
      <c r="S1331" s="48" t="str">
        <f t="shared" si="84"/>
        <v/>
      </c>
    </row>
    <row r="1332" spans="5:19" x14ac:dyDescent="0.35">
      <c r="E1332" s="30" t="s">
        <v>42</v>
      </c>
      <c r="F1332" s="46"/>
      <c r="G1332" s="46"/>
      <c r="H1332" s="46"/>
      <c r="I1332" s="46"/>
      <c r="J1332" s="46"/>
      <c r="K1332" s="46"/>
      <c r="L1332" s="41" t="str">
        <f t="shared" ca="1" si="81"/>
        <v/>
      </c>
      <c r="M1332" s="47" t="str">
        <f t="shared" ca="1" si="82"/>
        <v/>
      </c>
      <c r="R1332" s="48" t="str">
        <f t="shared" si="83"/>
        <v/>
      </c>
      <c r="S1332" s="48" t="str">
        <f t="shared" si="84"/>
        <v/>
      </c>
    </row>
    <row r="1333" spans="5:19" x14ac:dyDescent="0.35">
      <c r="E1333" s="30" t="s">
        <v>42</v>
      </c>
      <c r="F1333" s="46"/>
      <c r="G1333" s="46"/>
      <c r="H1333" s="46"/>
      <c r="I1333" s="46"/>
      <c r="J1333" s="46"/>
      <c r="K1333" s="46"/>
      <c r="L1333" s="41" t="str">
        <f t="shared" ca="1" si="81"/>
        <v/>
      </c>
      <c r="M1333" s="47" t="str">
        <f t="shared" ca="1" si="82"/>
        <v/>
      </c>
      <c r="R1333" s="48" t="str">
        <f t="shared" si="83"/>
        <v/>
      </c>
      <c r="S1333" s="48" t="str">
        <f t="shared" si="84"/>
        <v/>
      </c>
    </row>
    <row r="1334" spans="5:19" x14ac:dyDescent="0.35">
      <c r="E1334" s="30" t="s">
        <v>42</v>
      </c>
      <c r="F1334" s="46"/>
      <c r="G1334" s="46"/>
      <c r="H1334" s="46"/>
      <c r="I1334" s="46"/>
      <c r="J1334" s="46"/>
      <c r="K1334" s="46"/>
      <c r="L1334" s="41" t="str">
        <f t="shared" ca="1" si="81"/>
        <v/>
      </c>
      <c r="M1334" s="47" t="str">
        <f t="shared" ca="1" si="82"/>
        <v/>
      </c>
      <c r="R1334" s="48" t="str">
        <f t="shared" si="83"/>
        <v/>
      </c>
      <c r="S1334" s="48" t="str">
        <f t="shared" si="84"/>
        <v/>
      </c>
    </row>
    <row r="1335" spans="5:19" x14ac:dyDescent="0.35">
      <c r="E1335" s="30" t="s">
        <v>42</v>
      </c>
      <c r="F1335" s="46"/>
      <c r="G1335" s="46"/>
      <c r="H1335" s="46"/>
      <c r="I1335" s="46"/>
      <c r="J1335" s="46"/>
      <c r="K1335" s="46"/>
      <c r="L1335" s="41" t="str">
        <f t="shared" ca="1" si="81"/>
        <v/>
      </c>
      <c r="M1335" s="47" t="str">
        <f t="shared" ca="1" si="82"/>
        <v/>
      </c>
      <c r="R1335" s="48" t="str">
        <f t="shared" si="83"/>
        <v/>
      </c>
      <c r="S1335" s="48" t="str">
        <f t="shared" si="84"/>
        <v/>
      </c>
    </row>
    <row r="1336" spans="5:19" x14ac:dyDescent="0.35">
      <c r="E1336" s="30" t="s">
        <v>42</v>
      </c>
      <c r="F1336" s="46"/>
      <c r="G1336" s="46"/>
      <c r="H1336" s="46"/>
      <c r="I1336" s="46"/>
      <c r="J1336" s="46"/>
      <c r="K1336" s="46"/>
      <c r="L1336" s="41" t="str">
        <f t="shared" ca="1" si="81"/>
        <v/>
      </c>
      <c r="M1336" s="47" t="str">
        <f t="shared" ca="1" si="82"/>
        <v/>
      </c>
      <c r="R1336" s="48" t="str">
        <f t="shared" si="83"/>
        <v/>
      </c>
      <c r="S1336" s="48" t="str">
        <f t="shared" si="84"/>
        <v/>
      </c>
    </row>
    <row r="1337" spans="5:19" x14ac:dyDescent="0.35">
      <c r="E1337" s="30" t="s">
        <v>42</v>
      </c>
      <c r="F1337" s="46"/>
      <c r="G1337" s="46"/>
      <c r="H1337" s="46"/>
      <c r="I1337" s="46"/>
      <c r="J1337" s="46"/>
      <c r="K1337" s="46"/>
      <c r="L1337" s="41" t="str">
        <f t="shared" ca="1" si="81"/>
        <v/>
      </c>
      <c r="M1337" s="47" t="str">
        <f t="shared" ca="1" si="82"/>
        <v/>
      </c>
      <c r="R1337" s="48" t="str">
        <f t="shared" si="83"/>
        <v/>
      </c>
      <c r="S1337" s="48" t="str">
        <f t="shared" si="84"/>
        <v/>
      </c>
    </row>
    <row r="1338" spans="5:19" x14ac:dyDescent="0.35">
      <c r="E1338" s="30" t="s">
        <v>42</v>
      </c>
      <c r="F1338" s="46"/>
      <c r="G1338" s="46"/>
      <c r="H1338" s="46"/>
      <c r="I1338" s="46"/>
      <c r="J1338" s="46"/>
      <c r="K1338" s="46"/>
      <c r="L1338" s="41" t="str">
        <f t="shared" ca="1" si="81"/>
        <v/>
      </c>
      <c r="M1338" s="47" t="str">
        <f t="shared" ca="1" si="82"/>
        <v/>
      </c>
      <c r="R1338" s="48" t="str">
        <f t="shared" si="83"/>
        <v/>
      </c>
      <c r="S1338" s="48" t="str">
        <f t="shared" si="84"/>
        <v/>
      </c>
    </row>
    <row r="1339" spans="5:19" x14ac:dyDescent="0.35">
      <c r="E1339" s="30" t="s">
        <v>42</v>
      </c>
      <c r="F1339" s="46"/>
      <c r="G1339" s="46"/>
      <c r="H1339" s="46"/>
      <c r="I1339" s="46"/>
      <c r="J1339" s="46"/>
      <c r="K1339" s="46"/>
      <c r="L1339" s="41" t="str">
        <f t="shared" ca="1" si="81"/>
        <v/>
      </c>
      <c r="M1339" s="47" t="str">
        <f t="shared" ca="1" si="82"/>
        <v/>
      </c>
      <c r="R1339" s="48" t="str">
        <f t="shared" si="83"/>
        <v/>
      </c>
      <c r="S1339" s="48" t="str">
        <f t="shared" si="84"/>
        <v/>
      </c>
    </row>
    <row r="1340" spans="5:19" x14ac:dyDescent="0.35">
      <c r="E1340" s="30" t="s">
        <v>42</v>
      </c>
      <c r="F1340" s="46"/>
      <c r="G1340" s="46"/>
      <c r="H1340" s="46"/>
      <c r="I1340" s="46"/>
      <c r="J1340" s="46"/>
      <c r="K1340" s="46"/>
      <c r="L1340" s="41" t="str">
        <f t="shared" ca="1" si="81"/>
        <v/>
      </c>
      <c r="M1340" s="47" t="str">
        <f t="shared" ca="1" si="82"/>
        <v/>
      </c>
      <c r="R1340" s="48" t="str">
        <f t="shared" si="83"/>
        <v/>
      </c>
      <c r="S1340" s="48" t="str">
        <f t="shared" si="84"/>
        <v/>
      </c>
    </row>
    <row r="1341" spans="5:19" x14ac:dyDescent="0.35">
      <c r="E1341" s="30" t="s">
        <v>42</v>
      </c>
      <c r="F1341" s="46"/>
      <c r="G1341" s="46"/>
      <c r="H1341" s="46"/>
      <c r="I1341" s="46"/>
      <c r="J1341" s="46"/>
      <c r="K1341" s="46"/>
      <c r="L1341" s="41" t="str">
        <f t="shared" ca="1" si="81"/>
        <v/>
      </c>
      <c r="M1341" s="47" t="str">
        <f t="shared" ca="1" si="82"/>
        <v/>
      </c>
      <c r="R1341" s="48" t="str">
        <f t="shared" si="83"/>
        <v/>
      </c>
      <c r="S1341" s="48" t="str">
        <f t="shared" si="84"/>
        <v/>
      </c>
    </row>
    <row r="1342" spans="5:19" x14ac:dyDescent="0.35">
      <c r="E1342" s="30" t="s">
        <v>42</v>
      </c>
      <c r="F1342" s="46"/>
      <c r="G1342" s="46"/>
      <c r="H1342" s="46"/>
      <c r="I1342" s="46"/>
      <c r="J1342" s="46"/>
      <c r="K1342" s="46"/>
      <c r="L1342" s="41" t="str">
        <f t="shared" ca="1" si="81"/>
        <v/>
      </c>
      <c r="M1342" s="47" t="str">
        <f t="shared" ca="1" si="82"/>
        <v/>
      </c>
      <c r="R1342" s="48" t="str">
        <f t="shared" si="83"/>
        <v/>
      </c>
      <c r="S1342" s="48" t="str">
        <f t="shared" si="84"/>
        <v/>
      </c>
    </row>
    <row r="1343" spans="5:19" x14ac:dyDescent="0.35">
      <c r="E1343" s="30" t="s">
        <v>42</v>
      </c>
      <c r="F1343" s="46"/>
      <c r="G1343" s="46"/>
      <c r="H1343" s="46"/>
      <c r="I1343" s="46"/>
      <c r="J1343" s="46"/>
      <c r="K1343" s="46"/>
      <c r="L1343" s="41" t="str">
        <f t="shared" ca="1" si="81"/>
        <v/>
      </c>
      <c r="M1343" s="47" t="str">
        <f t="shared" ca="1" si="82"/>
        <v/>
      </c>
      <c r="R1343" s="48" t="str">
        <f t="shared" si="83"/>
        <v/>
      </c>
      <c r="S1343" s="48" t="str">
        <f t="shared" si="84"/>
        <v/>
      </c>
    </row>
    <row r="1344" spans="5:19" x14ac:dyDescent="0.35">
      <c r="E1344" s="30" t="s">
        <v>42</v>
      </c>
      <c r="F1344" s="46"/>
      <c r="G1344" s="46"/>
      <c r="H1344" s="46"/>
      <c r="I1344" s="46"/>
      <c r="J1344" s="46"/>
      <c r="K1344" s="46"/>
      <c r="L1344" s="41" t="str">
        <f t="shared" ca="1" si="81"/>
        <v/>
      </c>
      <c r="M1344" s="47" t="str">
        <f t="shared" ca="1" si="82"/>
        <v/>
      </c>
      <c r="R1344" s="48" t="str">
        <f t="shared" si="83"/>
        <v/>
      </c>
      <c r="S1344" s="48" t="str">
        <f t="shared" si="84"/>
        <v/>
      </c>
    </row>
    <row r="1345" spans="5:19" x14ac:dyDescent="0.35">
      <c r="E1345" s="30" t="s">
        <v>42</v>
      </c>
      <c r="F1345" s="46"/>
      <c r="G1345" s="46"/>
      <c r="H1345" s="46"/>
      <c r="I1345" s="46"/>
      <c r="J1345" s="46"/>
      <c r="K1345" s="46"/>
      <c r="L1345" s="41" t="str">
        <f t="shared" ca="1" si="81"/>
        <v/>
      </c>
      <c r="M1345" s="47" t="str">
        <f t="shared" ca="1" si="82"/>
        <v/>
      </c>
      <c r="R1345" s="48" t="str">
        <f t="shared" si="83"/>
        <v/>
      </c>
      <c r="S1345" s="48" t="str">
        <f t="shared" si="84"/>
        <v/>
      </c>
    </row>
    <row r="1346" spans="5:19" x14ac:dyDescent="0.35">
      <c r="E1346" s="30" t="s">
        <v>42</v>
      </c>
      <c r="F1346" s="46"/>
      <c r="G1346" s="46"/>
      <c r="H1346" s="46"/>
      <c r="I1346" s="46"/>
      <c r="J1346" s="46"/>
      <c r="K1346" s="46"/>
      <c r="L1346" s="41" t="str">
        <f t="shared" ca="1" si="81"/>
        <v/>
      </c>
      <c r="M1346" s="47" t="str">
        <f t="shared" ca="1" si="82"/>
        <v/>
      </c>
      <c r="R1346" s="48" t="str">
        <f t="shared" si="83"/>
        <v/>
      </c>
      <c r="S1346" s="48" t="str">
        <f t="shared" si="84"/>
        <v/>
      </c>
    </row>
    <row r="1347" spans="5:19" x14ac:dyDescent="0.35">
      <c r="E1347" s="30" t="s">
        <v>42</v>
      </c>
      <c r="F1347" s="46"/>
      <c r="G1347" s="46"/>
      <c r="H1347" s="46"/>
      <c r="I1347" s="46"/>
      <c r="J1347" s="46"/>
      <c r="K1347" s="46"/>
      <c r="L1347" s="41" t="str">
        <f t="shared" ca="1" si="81"/>
        <v/>
      </c>
      <c r="M1347" s="47" t="str">
        <f t="shared" ca="1" si="82"/>
        <v/>
      </c>
      <c r="R1347" s="48" t="str">
        <f t="shared" si="83"/>
        <v/>
      </c>
      <c r="S1347" s="48" t="str">
        <f t="shared" si="84"/>
        <v/>
      </c>
    </row>
    <row r="1348" spans="5:19" x14ac:dyDescent="0.35">
      <c r="E1348" s="30" t="s">
        <v>42</v>
      </c>
      <c r="F1348" s="46"/>
      <c r="G1348" s="46"/>
      <c r="H1348" s="46"/>
      <c r="I1348" s="46"/>
      <c r="J1348" s="46"/>
      <c r="K1348" s="46"/>
      <c r="L1348" s="41" t="str">
        <f t="shared" ca="1" si="81"/>
        <v/>
      </c>
      <c r="M1348" s="47" t="str">
        <f t="shared" ca="1" si="82"/>
        <v/>
      </c>
      <c r="R1348" s="48" t="str">
        <f t="shared" si="83"/>
        <v/>
      </c>
      <c r="S1348" s="48" t="str">
        <f t="shared" si="84"/>
        <v/>
      </c>
    </row>
    <row r="1349" spans="5:19" x14ac:dyDescent="0.35">
      <c r="E1349" s="30" t="s">
        <v>42</v>
      </c>
      <c r="F1349" s="46"/>
      <c r="G1349" s="46"/>
      <c r="H1349" s="46"/>
      <c r="I1349" s="46"/>
      <c r="J1349" s="46"/>
      <c r="K1349" s="46"/>
      <c r="L1349" s="41" t="str">
        <f t="shared" ca="1" si="81"/>
        <v/>
      </c>
      <c r="M1349" s="47" t="str">
        <f t="shared" ca="1" si="82"/>
        <v/>
      </c>
      <c r="R1349" s="48" t="str">
        <f t="shared" si="83"/>
        <v/>
      </c>
      <c r="S1349" s="48" t="str">
        <f t="shared" si="84"/>
        <v/>
      </c>
    </row>
    <row r="1350" spans="5:19" x14ac:dyDescent="0.35">
      <c r="E1350" s="30" t="s">
        <v>42</v>
      </c>
      <c r="F1350" s="46"/>
      <c r="G1350" s="46"/>
      <c r="H1350" s="46"/>
      <c r="I1350" s="46"/>
      <c r="J1350" s="46"/>
      <c r="K1350" s="46"/>
      <c r="L1350" s="41" t="str">
        <f t="shared" ref="L1350:L1413" ca="1" si="85">IF(AND(C1350&lt;&gt;"",C1350&lt;&gt;R1350),TODAY(),IF(C1350="","",L1350))</f>
        <v/>
      </c>
      <c r="M1350" s="47" t="str">
        <f t="shared" ref="M1350:M1413" ca="1" si="86">IF(AND(C1350&lt;&gt;"",C1350&lt;&gt;S1350),NOW(),IF(C1350="","",M1350))</f>
        <v/>
      </c>
      <c r="R1350" s="48" t="str">
        <f t="shared" ref="R1350:R1413" si="87">IF(C1350="","",IF(OR(L1350="",AND(ISNUMBER(R1350),C1350=R1350)),R1350,C1350))</f>
        <v/>
      </c>
      <c r="S1350" s="48" t="str">
        <f t="shared" ref="S1350:S1413" si="88">IF(C1350="","",IF(OR(M1350="",AND(ISNUMBER(S1350),C1350=S1350)),S1350,C1350))</f>
        <v/>
      </c>
    </row>
    <row r="1351" spans="5:19" x14ac:dyDescent="0.35">
      <c r="E1351" s="30" t="s">
        <v>42</v>
      </c>
      <c r="F1351" s="46"/>
      <c r="G1351" s="46"/>
      <c r="H1351" s="46"/>
      <c r="I1351" s="46"/>
      <c r="J1351" s="46"/>
      <c r="K1351" s="46"/>
      <c r="L1351" s="41" t="str">
        <f t="shared" ca="1" si="85"/>
        <v/>
      </c>
      <c r="M1351" s="47" t="str">
        <f t="shared" ca="1" si="86"/>
        <v/>
      </c>
      <c r="R1351" s="48" t="str">
        <f t="shared" si="87"/>
        <v/>
      </c>
      <c r="S1351" s="48" t="str">
        <f t="shared" si="88"/>
        <v/>
      </c>
    </row>
    <row r="1352" spans="5:19" x14ac:dyDescent="0.35">
      <c r="E1352" s="30" t="s">
        <v>42</v>
      </c>
      <c r="F1352" s="46"/>
      <c r="G1352" s="46"/>
      <c r="H1352" s="46"/>
      <c r="I1352" s="46"/>
      <c r="J1352" s="46"/>
      <c r="K1352" s="46"/>
      <c r="L1352" s="41" t="str">
        <f t="shared" ca="1" si="85"/>
        <v/>
      </c>
      <c r="M1352" s="47" t="str">
        <f t="shared" ca="1" si="86"/>
        <v/>
      </c>
      <c r="R1352" s="48" t="str">
        <f t="shared" si="87"/>
        <v/>
      </c>
      <c r="S1352" s="48" t="str">
        <f t="shared" si="88"/>
        <v/>
      </c>
    </row>
    <row r="1353" spans="5:19" x14ac:dyDescent="0.35">
      <c r="E1353" s="30" t="s">
        <v>42</v>
      </c>
      <c r="F1353" s="46"/>
      <c r="G1353" s="46"/>
      <c r="H1353" s="46"/>
      <c r="I1353" s="46"/>
      <c r="J1353" s="46"/>
      <c r="K1353" s="46"/>
      <c r="L1353" s="41" t="str">
        <f t="shared" ca="1" si="85"/>
        <v/>
      </c>
      <c r="M1353" s="47" t="str">
        <f t="shared" ca="1" si="86"/>
        <v/>
      </c>
      <c r="R1353" s="48" t="str">
        <f t="shared" si="87"/>
        <v/>
      </c>
      <c r="S1353" s="48" t="str">
        <f t="shared" si="88"/>
        <v/>
      </c>
    </row>
    <row r="1354" spans="5:19" x14ac:dyDescent="0.35">
      <c r="E1354" s="30" t="s">
        <v>42</v>
      </c>
      <c r="F1354" s="46"/>
      <c r="G1354" s="46"/>
      <c r="H1354" s="46"/>
      <c r="I1354" s="46"/>
      <c r="J1354" s="46"/>
      <c r="K1354" s="46"/>
      <c r="L1354" s="41" t="str">
        <f t="shared" ca="1" si="85"/>
        <v/>
      </c>
      <c r="M1354" s="47" t="str">
        <f t="shared" ca="1" si="86"/>
        <v/>
      </c>
      <c r="R1354" s="48" t="str">
        <f t="shared" si="87"/>
        <v/>
      </c>
      <c r="S1354" s="48" t="str">
        <f t="shared" si="88"/>
        <v/>
      </c>
    </row>
    <row r="1355" spans="5:19" x14ac:dyDescent="0.35">
      <c r="E1355" s="30" t="s">
        <v>42</v>
      </c>
      <c r="F1355" s="46"/>
      <c r="G1355" s="46"/>
      <c r="H1355" s="46"/>
      <c r="I1355" s="46"/>
      <c r="J1355" s="46"/>
      <c r="K1355" s="46"/>
      <c r="L1355" s="41" t="str">
        <f t="shared" ca="1" si="85"/>
        <v/>
      </c>
      <c r="M1355" s="47" t="str">
        <f t="shared" ca="1" si="86"/>
        <v/>
      </c>
      <c r="R1355" s="48" t="str">
        <f t="shared" si="87"/>
        <v/>
      </c>
      <c r="S1355" s="48" t="str">
        <f t="shared" si="88"/>
        <v/>
      </c>
    </row>
    <row r="1356" spans="5:19" x14ac:dyDescent="0.35">
      <c r="E1356" s="30" t="s">
        <v>42</v>
      </c>
      <c r="F1356" s="46"/>
      <c r="G1356" s="46"/>
      <c r="H1356" s="46"/>
      <c r="I1356" s="46"/>
      <c r="J1356" s="46"/>
      <c r="K1356" s="46"/>
      <c r="L1356" s="41" t="str">
        <f t="shared" ca="1" si="85"/>
        <v/>
      </c>
      <c r="M1356" s="47" t="str">
        <f t="shared" ca="1" si="86"/>
        <v/>
      </c>
      <c r="R1356" s="48" t="str">
        <f t="shared" si="87"/>
        <v/>
      </c>
      <c r="S1356" s="48" t="str">
        <f t="shared" si="88"/>
        <v/>
      </c>
    </row>
    <row r="1357" spans="5:19" x14ac:dyDescent="0.35">
      <c r="E1357" s="30" t="s">
        <v>42</v>
      </c>
      <c r="F1357" s="46"/>
      <c r="G1357" s="46"/>
      <c r="H1357" s="46"/>
      <c r="I1357" s="46"/>
      <c r="J1357" s="46"/>
      <c r="K1357" s="46"/>
      <c r="L1357" s="41" t="str">
        <f t="shared" ca="1" si="85"/>
        <v/>
      </c>
      <c r="M1357" s="47" t="str">
        <f t="shared" ca="1" si="86"/>
        <v/>
      </c>
      <c r="R1357" s="48" t="str">
        <f t="shared" si="87"/>
        <v/>
      </c>
      <c r="S1357" s="48" t="str">
        <f t="shared" si="88"/>
        <v/>
      </c>
    </row>
    <row r="1358" spans="5:19" x14ac:dyDescent="0.35">
      <c r="E1358" s="30" t="s">
        <v>42</v>
      </c>
      <c r="F1358" s="46"/>
      <c r="G1358" s="46"/>
      <c r="H1358" s="46"/>
      <c r="I1358" s="46"/>
      <c r="J1358" s="46"/>
      <c r="K1358" s="46"/>
      <c r="L1358" s="41" t="str">
        <f t="shared" ca="1" si="85"/>
        <v/>
      </c>
      <c r="M1358" s="47" t="str">
        <f t="shared" ca="1" si="86"/>
        <v/>
      </c>
      <c r="R1358" s="48" t="str">
        <f t="shared" si="87"/>
        <v/>
      </c>
      <c r="S1358" s="48" t="str">
        <f t="shared" si="88"/>
        <v/>
      </c>
    </row>
    <row r="1359" spans="5:19" x14ac:dyDescent="0.35">
      <c r="E1359" s="30" t="s">
        <v>42</v>
      </c>
      <c r="F1359" s="46"/>
      <c r="G1359" s="46"/>
      <c r="H1359" s="46"/>
      <c r="I1359" s="46"/>
      <c r="J1359" s="46"/>
      <c r="K1359" s="46"/>
      <c r="L1359" s="41" t="str">
        <f t="shared" ca="1" si="85"/>
        <v/>
      </c>
      <c r="M1359" s="47" t="str">
        <f t="shared" ca="1" si="86"/>
        <v/>
      </c>
      <c r="R1359" s="48" t="str">
        <f t="shared" si="87"/>
        <v/>
      </c>
      <c r="S1359" s="48" t="str">
        <f t="shared" si="88"/>
        <v/>
      </c>
    </row>
    <row r="1360" spans="5:19" x14ac:dyDescent="0.35">
      <c r="E1360" s="30" t="s">
        <v>42</v>
      </c>
      <c r="F1360" s="46"/>
      <c r="G1360" s="46"/>
      <c r="H1360" s="46"/>
      <c r="I1360" s="46"/>
      <c r="J1360" s="46"/>
      <c r="K1360" s="46"/>
      <c r="L1360" s="41" t="str">
        <f t="shared" ca="1" si="85"/>
        <v/>
      </c>
      <c r="M1360" s="47" t="str">
        <f t="shared" ca="1" si="86"/>
        <v/>
      </c>
      <c r="R1360" s="48" t="str">
        <f t="shared" si="87"/>
        <v/>
      </c>
      <c r="S1360" s="48" t="str">
        <f t="shared" si="88"/>
        <v/>
      </c>
    </row>
    <row r="1361" spans="5:19" x14ac:dyDescent="0.35">
      <c r="E1361" s="30" t="s">
        <v>42</v>
      </c>
      <c r="F1361" s="46"/>
      <c r="G1361" s="46"/>
      <c r="H1361" s="46"/>
      <c r="I1361" s="46"/>
      <c r="J1361" s="46"/>
      <c r="K1361" s="46"/>
      <c r="L1361" s="41" t="str">
        <f t="shared" ca="1" si="85"/>
        <v/>
      </c>
      <c r="M1361" s="47" t="str">
        <f t="shared" ca="1" si="86"/>
        <v/>
      </c>
      <c r="R1361" s="48" t="str">
        <f t="shared" si="87"/>
        <v/>
      </c>
      <c r="S1361" s="48" t="str">
        <f t="shared" si="88"/>
        <v/>
      </c>
    </row>
    <row r="1362" spans="5:19" x14ac:dyDescent="0.35">
      <c r="E1362" s="30" t="s">
        <v>42</v>
      </c>
      <c r="F1362" s="46"/>
      <c r="G1362" s="46"/>
      <c r="H1362" s="46"/>
      <c r="I1362" s="46"/>
      <c r="J1362" s="46"/>
      <c r="K1362" s="46"/>
      <c r="L1362" s="41" t="str">
        <f t="shared" ca="1" si="85"/>
        <v/>
      </c>
      <c r="M1362" s="47" t="str">
        <f t="shared" ca="1" si="86"/>
        <v/>
      </c>
      <c r="R1362" s="48" t="str">
        <f t="shared" si="87"/>
        <v/>
      </c>
      <c r="S1362" s="48" t="str">
        <f t="shared" si="88"/>
        <v/>
      </c>
    </row>
    <row r="1363" spans="5:19" x14ac:dyDescent="0.35">
      <c r="E1363" s="30" t="s">
        <v>42</v>
      </c>
      <c r="F1363" s="46"/>
      <c r="G1363" s="46"/>
      <c r="H1363" s="46"/>
      <c r="I1363" s="46"/>
      <c r="J1363" s="46"/>
      <c r="K1363" s="46"/>
      <c r="L1363" s="41" t="str">
        <f t="shared" ca="1" si="85"/>
        <v/>
      </c>
      <c r="M1363" s="47" t="str">
        <f t="shared" ca="1" si="86"/>
        <v/>
      </c>
      <c r="R1363" s="48" t="str">
        <f t="shared" si="87"/>
        <v/>
      </c>
      <c r="S1363" s="48" t="str">
        <f t="shared" si="88"/>
        <v/>
      </c>
    </row>
    <row r="1364" spans="5:19" x14ac:dyDescent="0.35">
      <c r="E1364" s="30" t="s">
        <v>42</v>
      </c>
      <c r="F1364" s="46"/>
      <c r="G1364" s="46"/>
      <c r="H1364" s="46"/>
      <c r="I1364" s="46"/>
      <c r="J1364" s="46"/>
      <c r="K1364" s="46"/>
      <c r="L1364" s="41" t="str">
        <f t="shared" ca="1" si="85"/>
        <v/>
      </c>
      <c r="M1364" s="47" t="str">
        <f t="shared" ca="1" si="86"/>
        <v/>
      </c>
      <c r="R1364" s="48" t="str">
        <f t="shared" si="87"/>
        <v/>
      </c>
      <c r="S1364" s="48" t="str">
        <f t="shared" si="88"/>
        <v/>
      </c>
    </row>
    <row r="1365" spans="5:19" x14ac:dyDescent="0.35">
      <c r="E1365" s="30" t="s">
        <v>42</v>
      </c>
      <c r="F1365" s="46"/>
      <c r="G1365" s="46"/>
      <c r="H1365" s="46"/>
      <c r="I1365" s="46"/>
      <c r="J1365" s="46"/>
      <c r="K1365" s="46"/>
      <c r="L1365" s="41" t="str">
        <f t="shared" ca="1" si="85"/>
        <v/>
      </c>
      <c r="M1365" s="47" t="str">
        <f t="shared" ca="1" si="86"/>
        <v/>
      </c>
      <c r="R1365" s="48" t="str">
        <f t="shared" si="87"/>
        <v/>
      </c>
      <c r="S1365" s="48" t="str">
        <f t="shared" si="88"/>
        <v/>
      </c>
    </row>
    <row r="1366" spans="5:19" x14ac:dyDescent="0.35">
      <c r="E1366" s="30" t="s">
        <v>42</v>
      </c>
      <c r="F1366" s="46"/>
      <c r="G1366" s="46"/>
      <c r="H1366" s="46"/>
      <c r="I1366" s="46"/>
      <c r="J1366" s="46"/>
      <c r="K1366" s="46"/>
      <c r="L1366" s="41" t="str">
        <f t="shared" ca="1" si="85"/>
        <v/>
      </c>
      <c r="M1366" s="47" t="str">
        <f t="shared" ca="1" si="86"/>
        <v/>
      </c>
      <c r="R1366" s="48" t="str">
        <f t="shared" si="87"/>
        <v/>
      </c>
      <c r="S1366" s="48" t="str">
        <f t="shared" si="88"/>
        <v/>
      </c>
    </row>
    <row r="1367" spans="5:19" x14ac:dyDescent="0.35">
      <c r="E1367" s="30" t="s">
        <v>42</v>
      </c>
      <c r="F1367" s="46"/>
      <c r="G1367" s="46"/>
      <c r="H1367" s="46"/>
      <c r="I1367" s="46"/>
      <c r="J1367" s="46"/>
      <c r="K1367" s="46"/>
      <c r="L1367" s="41" t="str">
        <f t="shared" ca="1" si="85"/>
        <v/>
      </c>
      <c r="M1367" s="47" t="str">
        <f t="shared" ca="1" si="86"/>
        <v/>
      </c>
      <c r="R1367" s="48" t="str">
        <f t="shared" si="87"/>
        <v/>
      </c>
      <c r="S1367" s="48" t="str">
        <f t="shared" si="88"/>
        <v/>
      </c>
    </row>
    <row r="1368" spans="5:19" x14ac:dyDescent="0.35">
      <c r="E1368" s="30" t="s">
        <v>42</v>
      </c>
      <c r="F1368" s="46"/>
      <c r="G1368" s="46"/>
      <c r="H1368" s="46"/>
      <c r="I1368" s="46"/>
      <c r="J1368" s="46"/>
      <c r="K1368" s="46"/>
      <c r="L1368" s="41" t="str">
        <f t="shared" ca="1" si="85"/>
        <v/>
      </c>
      <c r="M1368" s="47" t="str">
        <f t="shared" ca="1" si="86"/>
        <v/>
      </c>
      <c r="R1368" s="48" t="str">
        <f t="shared" si="87"/>
        <v/>
      </c>
      <c r="S1368" s="48" t="str">
        <f t="shared" si="88"/>
        <v/>
      </c>
    </row>
    <row r="1369" spans="5:19" x14ac:dyDescent="0.35">
      <c r="E1369" s="30" t="s">
        <v>42</v>
      </c>
      <c r="F1369" s="46"/>
      <c r="G1369" s="46"/>
      <c r="H1369" s="46"/>
      <c r="I1369" s="46"/>
      <c r="J1369" s="46"/>
      <c r="K1369" s="46"/>
      <c r="L1369" s="41" t="str">
        <f t="shared" ca="1" si="85"/>
        <v/>
      </c>
      <c r="M1369" s="47" t="str">
        <f t="shared" ca="1" si="86"/>
        <v/>
      </c>
      <c r="R1369" s="48" t="str">
        <f t="shared" si="87"/>
        <v/>
      </c>
      <c r="S1369" s="48" t="str">
        <f t="shared" si="88"/>
        <v/>
      </c>
    </row>
    <row r="1370" spans="5:19" x14ac:dyDescent="0.35">
      <c r="E1370" s="30" t="s">
        <v>42</v>
      </c>
      <c r="F1370" s="46"/>
      <c r="G1370" s="46"/>
      <c r="H1370" s="46"/>
      <c r="I1370" s="46"/>
      <c r="J1370" s="46"/>
      <c r="K1370" s="46"/>
      <c r="L1370" s="41" t="str">
        <f t="shared" ca="1" si="85"/>
        <v/>
      </c>
      <c r="M1370" s="47" t="str">
        <f t="shared" ca="1" si="86"/>
        <v/>
      </c>
      <c r="R1370" s="48" t="str">
        <f t="shared" si="87"/>
        <v/>
      </c>
      <c r="S1370" s="48" t="str">
        <f t="shared" si="88"/>
        <v/>
      </c>
    </row>
    <row r="1371" spans="5:19" x14ac:dyDescent="0.35">
      <c r="E1371" s="30" t="s">
        <v>42</v>
      </c>
      <c r="F1371" s="46"/>
      <c r="G1371" s="46"/>
      <c r="H1371" s="46"/>
      <c r="I1371" s="46"/>
      <c r="J1371" s="46"/>
      <c r="K1371" s="46"/>
      <c r="L1371" s="41" t="str">
        <f t="shared" ca="1" si="85"/>
        <v/>
      </c>
      <c r="M1371" s="47" t="str">
        <f t="shared" ca="1" si="86"/>
        <v/>
      </c>
      <c r="R1371" s="48" t="str">
        <f t="shared" si="87"/>
        <v/>
      </c>
      <c r="S1371" s="48" t="str">
        <f t="shared" si="88"/>
        <v/>
      </c>
    </row>
    <row r="1372" spans="5:19" x14ac:dyDescent="0.35">
      <c r="E1372" s="30" t="s">
        <v>42</v>
      </c>
      <c r="F1372" s="46"/>
      <c r="G1372" s="46"/>
      <c r="H1372" s="46"/>
      <c r="I1372" s="46"/>
      <c r="J1372" s="46"/>
      <c r="K1372" s="46"/>
      <c r="L1372" s="41" t="str">
        <f t="shared" ca="1" si="85"/>
        <v/>
      </c>
      <c r="M1372" s="47" t="str">
        <f t="shared" ca="1" si="86"/>
        <v/>
      </c>
      <c r="R1372" s="48" t="str">
        <f t="shared" si="87"/>
        <v/>
      </c>
      <c r="S1372" s="48" t="str">
        <f t="shared" si="88"/>
        <v/>
      </c>
    </row>
    <row r="1373" spans="5:19" x14ac:dyDescent="0.35">
      <c r="E1373" s="30" t="s">
        <v>42</v>
      </c>
      <c r="F1373" s="46"/>
      <c r="G1373" s="46"/>
      <c r="H1373" s="46"/>
      <c r="I1373" s="46"/>
      <c r="J1373" s="46"/>
      <c r="K1373" s="46"/>
      <c r="L1373" s="41" t="str">
        <f t="shared" ca="1" si="85"/>
        <v/>
      </c>
      <c r="M1373" s="47" t="str">
        <f t="shared" ca="1" si="86"/>
        <v/>
      </c>
      <c r="R1373" s="48" t="str">
        <f t="shared" si="87"/>
        <v/>
      </c>
      <c r="S1373" s="48" t="str">
        <f t="shared" si="88"/>
        <v/>
      </c>
    </row>
    <row r="1374" spans="5:19" x14ac:dyDescent="0.35">
      <c r="E1374" s="30" t="s">
        <v>42</v>
      </c>
      <c r="F1374" s="46"/>
      <c r="G1374" s="46"/>
      <c r="H1374" s="46"/>
      <c r="I1374" s="46"/>
      <c r="J1374" s="46"/>
      <c r="K1374" s="46"/>
      <c r="L1374" s="41" t="str">
        <f t="shared" ca="1" si="85"/>
        <v/>
      </c>
      <c r="M1374" s="47" t="str">
        <f t="shared" ca="1" si="86"/>
        <v/>
      </c>
      <c r="R1374" s="48" t="str">
        <f t="shared" si="87"/>
        <v/>
      </c>
      <c r="S1374" s="48" t="str">
        <f t="shared" si="88"/>
        <v/>
      </c>
    </row>
    <row r="1375" spans="5:19" x14ac:dyDescent="0.35">
      <c r="E1375" s="30" t="s">
        <v>42</v>
      </c>
      <c r="F1375" s="46"/>
      <c r="G1375" s="46"/>
      <c r="H1375" s="46"/>
      <c r="I1375" s="46"/>
      <c r="J1375" s="46"/>
      <c r="K1375" s="46"/>
      <c r="L1375" s="41" t="str">
        <f t="shared" ca="1" si="85"/>
        <v/>
      </c>
      <c r="M1375" s="47" t="str">
        <f t="shared" ca="1" si="86"/>
        <v/>
      </c>
      <c r="R1375" s="48" t="str">
        <f t="shared" si="87"/>
        <v/>
      </c>
      <c r="S1375" s="48" t="str">
        <f t="shared" si="88"/>
        <v/>
      </c>
    </row>
    <row r="1376" spans="5:19" x14ac:dyDescent="0.35">
      <c r="E1376" s="30" t="s">
        <v>42</v>
      </c>
      <c r="F1376" s="46"/>
      <c r="G1376" s="46"/>
      <c r="H1376" s="46"/>
      <c r="I1376" s="46"/>
      <c r="J1376" s="46"/>
      <c r="K1376" s="46"/>
      <c r="L1376" s="41" t="str">
        <f t="shared" ca="1" si="85"/>
        <v/>
      </c>
      <c r="M1376" s="47" t="str">
        <f t="shared" ca="1" si="86"/>
        <v/>
      </c>
      <c r="R1376" s="48" t="str">
        <f t="shared" si="87"/>
        <v/>
      </c>
      <c r="S1376" s="48" t="str">
        <f t="shared" si="88"/>
        <v/>
      </c>
    </row>
    <row r="1377" spans="5:19" x14ac:dyDescent="0.35">
      <c r="E1377" s="30" t="s">
        <v>42</v>
      </c>
      <c r="F1377" s="46"/>
      <c r="G1377" s="46"/>
      <c r="H1377" s="46"/>
      <c r="I1377" s="46"/>
      <c r="J1377" s="46"/>
      <c r="K1377" s="46"/>
      <c r="L1377" s="41" t="str">
        <f t="shared" ca="1" si="85"/>
        <v/>
      </c>
      <c r="M1377" s="47" t="str">
        <f t="shared" ca="1" si="86"/>
        <v/>
      </c>
      <c r="R1377" s="48" t="str">
        <f t="shared" si="87"/>
        <v/>
      </c>
      <c r="S1377" s="48" t="str">
        <f t="shared" si="88"/>
        <v/>
      </c>
    </row>
    <row r="1378" spans="5:19" x14ac:dyDescent="0.35">
      <c r="E1378" s="30" t="s">
        <v>42</v>
      </c>
      <c r="F1378" s="46"/>
      <c r="G1378" s="46"/>
      <c r="H1378" s="46"/>
      <c r="I1378" s="46"/>
      <c r="J1378" s="46"/>
      <c r="K1378" s="46"/>
      <c r="L1378" s="41" t="str">
        <f t="shared" ca="1" si="85"/>
        <v/>
      </c>
      <c r="M1378" s="47" t="str">
        <f t="shared" ca="1" si="86"/>
        <v/>
      </c>
      <c r="R1378" s="48" t="str">
        <f t="shared" si="87"/>
        <v/>
      </c>
      <c r="S1378" s="48" t="str">
        <f t="shared" si="88"/>
        <v/>
      </c>
    </row>
    <row r="1379" spans="5:19" x14ac:dyDescent="0.35">
      <c r="E1379" s="30" t="s">
        <v>42</v>
      </c>
      <c r="F1379" s="46"/>
      <c r="G1379" s="46"/>
      <c r="H1379" s="46"/>
      <c r="I1379" s="46"/>
      <c r="J1379" s="46"/>
      <c r="K1379" s="46"/>
      <c r="L1379" s="41" t="str">
        <f t="shared" ca="1" si="85"/>
        <v/>
      </c>
      <c r="M1379" s="47" t="str">
        <f t="shared" ca="1" si="86"/>
        <v/>
      </c>
      <c r="R1379" s="48" t="str">
        <f t="shared" si="87"/>
        <v/>
      </c>
      <c r="S1379" s="48" t="str">
        <f t="shared" si="88"/>
        <v/>
      </c>
    </row>
    <row r="1380" spans="5:19" x14ac:dyDescent="0.35">
      <c r="E1380" s="30" t="s">
        <v>42</v>
      </c>
      <c r="F1380" s="46"/>
      <c r="G1380" s="46"/>
      <c r="H1380" s="46"/>
      <c r="I1380" s="46"/>
      <c r="J1380" s="46"/>
      <c r="K1380" s="46"/>
      <c r="L1380" s="41" t="str">
        <f t="shared" ca="1" si="85"/>
        <v/>
      </c>
      <c r="M1380" s="47" t="str">
        <f t="shared" ca="1" si="86"/>
        <v/>
      </c>
      <c r="R1380" s="48" t="str">
        <f t="shared" si="87"/>
        <v/>
      </c>
      <c r="S1380" s="48" t="str">
        <f t="shared" si="88"/>
        <v/>
      </c>
    </row>
    <row r="1381" spans="5:19" x14ac:dyDescent="0.35">
      <c r="E1381" s="30" t="s">
        <v>42</v>
      </c>
      <c r="F1381" s="46"/>
      <c r="G1381" s="46"/>
      <c r="H1381" s="46"/>
      <c r="I1381" s="46"/>
      <c r="J1381" s="46"/>
      <c r="K1381" s="46"/>
      <c r="L1381" s="41" t="str">
        <f t="shared" ca="1" si="85"/>
        <v/>
      </c>
      <c r="M1381" s="47" t="str">
        <f t="shared" ca="1" si="86"/>
        <v/>
      </c>
      <c r="R1381" s="48" t="str">
        <f t="shared" si="87"/>
        <v/>
      </c>
      <c r="S1381" s="48" t="str">
        <f t="shared" si="88"/>
        <v/>
      </c>
    </row>
    <row r="1382" spans="5:19" x14ac:dyDescent="0.35">
      <c r="E1382" s="30" t="s">
        <v>42</v>
      </c>
      <c r="F1382" s="46"/>
      <c r="G1382" s="46"/>
      <c r="H1382" s="46"/>
      <c r="I1382" s="46"/>
      <c r="J1382" s="46"/>
      <c r="K1382" s="46"/>
      <c r="L1382" s="41" t="str">
        <f t="shared" ca="1" si="85"/>
        <v/>
      </c>
      <c r="M1382" s="47" t="str">
        <f t="shared" ca="1" si="86"/>
        <v/>
      </c>
      <c r="R1382" s="48" t="str">
        <f t="shared" si="87"/>
        <v/>
      </c>
      <c r="S1382" s="48" t="str">
        <f t="shared" si="88"/>
        <v/>
      </c>
    </row>
    <row r="1383" spans="5:19" x14ac:dyDescent="0.35">
      <c r="E1383" s="30" t="s">
        <v>42</v>
      </c>
      <c r="F1383" s="46"/>
      <c r="G1383" s="46"/>
      <c r="H1383" s="46"/>
      <c r="I1383" s="46"/>
      <c r="J1383" s="46"/>
      <c r="K1383" s="46"/>
      <c r="L1383" s="41" t="str">
        <f t="shared" ca="1" si="85"/>
        <v/>
      </c>
      <c r="M1383" s="47" t="str">
        <f t="shared" ca="1" si="86"/>
        <v/>
      </c>
      <c r="R1383" s="48" t="str">
        <f t="shared" si="87"/>
        <v/>
      </c>
      <c r="S1383" s="48" t="str">
        <f t="shared" si="88"/>
        <v/>
      </c>
    </row>
    <row r="1384" spans="5:19" x14ac:dyDescent="0.35">
      <c r="E1384" s="30" t="s">
        <v>42</v>
      </c>
      <c r="F1384" s="46"/>
      <c r="G1384" s="46"/>
      <c r="H1384" s="46"/>
      <c r="I1384" s="46"/>
      <c r="J1384" s="46"/>
      <c r="K1384" s="46"/>
      <c r="L1384" s="41" t="str">
        <f t="shared" ca="1" si="85"/>
        <v/>
      </c>
      <c r="M1384" s="47" t="str">
        <f t="shared" ca="1" si="86"/>
        <v/>
      </c>
      <c r="R1384" s="48" t="str">
        <f t="shared" si="87"/>
        <v/>
      </c>
      <c r="S1384" s="48" t="str">
        <f t="shared" si="88"/>
        <v/>
      </c>
    </row>
    <row r="1385" spans="5:19" x14ac:dyDescent="0.35">
      <c r="E1385" s="30" t="s">
        <v>42</v>
      </c>
      <c r="F1385" s="46"/>
      <c r="G1385" s="46"/>
      <c r="H1385" s="46"/>
      <c r="I1385" s="46"/>
      <c r="J1385" s="46"/>
      <c r="K1385" s="46"/>
      <c r="L1385" s="41" t="str">
        <f t="shared" ca="1" si="85"/>
        <v/>
      </c>
      <c r="M1385" s="47" t="str">
        <f t="shared" ca="1" si="86"/>
        <v/>
      </c>
      <c r="R1385" s="48" t="str">
        <f t="shared" si="87"/>
        <v/>
      </c>
      <c r="S1385" s="48" t="str">
        <f t="shared" si="88"/>
        <v/>
      </c>
    </row>
    <row r="1386" spans="5:19" x14ac:dyDescent="0.35">
      <c r="E1386" s="30" t="s">
        <v>42</v>
      </c>
      <c r="F1386" s="46"/>
      <c r="G1386" s="46"/>
      <c r="H1386" s="46"/>
      <c r="I1386" s="46"/>
      <c r="J1386" s="46"/>
      <c r="K1386" s="46"/>
      <c r="L1386" s="41" t="str">
        <f t="shared" ca="1" si="85"/>
        <v/>
      </c>
      <c r="M1386" s="47" t="str">
        <f t="shared" ca="1" si="86"/>
        <v/>
      </c>
      <c r="R1386" s="48" t="str">
        <f t="shared" si="87"/>
        <v/>
      </c>
      <c r="S1386" s="48" t="str">
        <f t="shared" si="88"/>
        <v/>
      </c>
    </row>
    <row r="1387" spans="5:19" x14ac:dyDescent="0.35">
      <c r="E1387" s="30" t="s">
        <v>42</v>
      </c>
      <c r="F1387" s="46"/>
      <c r="G1387" s="46"/>
      <c r="H1387" s="46"/>
      <c r="I1387" s="46"/>
      <c r="J1387" s="46"/>
      <c r="K1387" s="46"/>
      <c r="L1387" s="41" t="str">
        <f t="shared" ca="1" si="85"/>
        <v/>
      </c>
      <c r="M1387" s="47" t="str">
        <f t="shared" ca="1" si="86"/>
        <v/>
      </c>
      <c r="R1387" s="48" t="str">
        <f t="shared" si="87"/>
        <v/>
      </c>
      <c r="S1387" s="48" t="str">
        <f t="shared" si="88"/>
        <v/>
      </c>
    </row>
    <row r="1388" spans="5:19" x14ac:dyDescent="0.35">
      <c r="E1388" s="30" t="s">
        <v>42</v>
      </c>
      <c r="F1388" s="46"/>
      <c r="G1388" s="46"/>
      <c r="H1388" s="46"/>
      <c r="I1388" s="46"/>
      <c r="J1388" s="46"/>
      <c r="K1388" s="46"/>
      <c r="L1388" s="41" t="str">
        <f t="shared" ca="1" si="85"/>
        <v/>
      </c>
      <c r="M1388" s="47" t="str">
        <f t="shared" ca="1" si="86"/>
        <v/>
      </c>
      <c r="R1388" s="48" t="str">
        <f t="shared" si="87"/>
        <v/>
      </c>
      <c r="S1388" s="48" t="str">
        <f t="shared" si="88"/>
        <v/>
      </c>
    </row>
    <row r="1389" spans="5:19" x14ac:dyDescent="0.35">
      <c r="E1389" s="30" t="s">
        <v>42</v>
      </c>
      <c r="F1389" s="46"/>
      <c r="G1389" s="46"/>
      <c r="H1389" s="46"/>
      <c r="I1389" s="46"/>
      <c r="J1389" s="46"/>
      <c r="K1389" s="46"/>
      <c r="L1389" s="41" t="str">
        <f t="shared" ca="1" si="85"/>
        <v/>
      </c>
      <c r="M1389" s="47" t="str">
        <f t="shared" ca="1" si="86"/>
        <v/>
      </c>
      <c r="R1389" s="48" t="str">
        <f t="shared" si="87"/>
        <v/>
      </c>
      <c r="S1389" s="48" t="str">
        <f t="shared" si="88"/>
        <v/>
      </c>
    </row>
    <row r="1390" spans="5:19" x14ac:dyDescent="0.35">
      <c r="E1390" s="30" t="s">
        <v>42</v>
      </c>
      <c r="F1390" s="46"/>
      <c r="G1390" s="46"/>
      <c r="H1390" s="46"/>
      <c r="I1390" s="46"/>
      <c r="J1390" s="46"/>
      <c r="K1390" s="46"/>
      <c r="L1390" s="41" t="str">
        <f t="shared" ca="1" si="85"/>
        <v/>
      </c>
      <c r="M1390" s="47" t="str">
        <f t="shared" ca="1" si="86"/>
        <v/>
      </c>
      <c r="R1390" s="48" t="str">
        <f t="shared" si="87"/>
        <v/>
      </c>
      <c r="S1390" s="48" t="str">
        <f t="shared" si="88"/>
        <v/>
      </c>
    </row>
    <row r="1391" spans="5:19" x14ac:dyDescent="0.35">
      <c r="E1391" s="30" t="s">
        <v>42</v>
      </c>
      <c r="F1391" s="46"/>
      <c r="G1391" s="46"/>
      <c r="H1391" s="46"/>
      <c r="I1391" s="46"/>
      <c r="J1391" s="46"/>
      <c r="K1391" s="46"/>
      <c r="L1391" s="41" t="str">
        <f t="shared" ca="1" si="85"/>
        <v/>
      </c>
      <c r="M1391" s="47" t="str">
        <f t="shared" ca="1" si="86"/>
        <v/>
      </c>
      <c r="R1391" s="48" t="str">
        <f t="shared" si="87"/>
        <v/>
      </c>
      <c r="S1391" s="48" t="str">
        <f t="shared" si="88"/>
        <v/>
      </c>
    </row>
    <row r="1392" spans="5:19" x14ac:dyDescent="0.35">
      <c r="E1392" s="30" t="s">
        <v>42</v>
      </c>
      <c r="F1392" s="46"/>
      <c r="G1392" s="46"/>
      <c r="H1392" s="46"/>
      <c r="I1392" s="46"/>
      <c r="J1392" s="46"/>
      <c r="K1392" s="46"/>
      <c r="L1392" s="41" t="str">
        <f t="shared" ca="1" si="85"/>
        <v/>
      </c>
      <c r="M1392" s="47" t="str">
        <f t="shared" ca="1" si="86"/>
        <v/>
      </c>
      <c r="R1392" s="48" t="str">
        <f t="shared" si="87"/>
        <v/>
      </c>
      <c r="S1392" s="48" t="str">
        <f t="shared" si="88"/>
        <v/>
      </c>
    </row>
    <row r="1393" spans="5:19" x14ac:dyDescent="0.35">
      <c r="E1393" s="30" t="s">
        <v>42</v>
      </c>
      <c r="F1393" s="46"/>
      <c r="G1393" s="46"/>
      <c r="H1393" s="46"/>
      <c r="I1393" s="46"/>
      <c r="J1393" s="46"/>
      <c r="K1393" s="46"/>
      <c r="L1393" s="41" t="str">
        <f t="shared" ca="1" si="85"/>
        <v/>
      </c>
      <c r="M1393" s="47" t="str">
        <f t="shared" ca="1" si="86"/>
        <v/>
      </c>
      <c r="R1393" s="48" t="str">
        <f t="shared" si="87"/>
        <v/>
      </c>
      <c r="S1393" s="48" t="str">
        <f t="shared" si="88"/>
        <v/>
      </c>
    </row>
    <row r="1394" spans="5:19" x14ac:dyDescent="0.35">
      <c r="E1394" s="30" t="s">
        <v>42</v>
      </c>
      <c r="F1394" s="46"/>
      <c r="G1394" s="46"/>
      <c r="H1394" s="46"/>
      <c r="I1394" s="46"/>
      <c r="J1394" s="46"/>
      <c r="K1394" s="46"/>
      <c r="L1394" s="41" t="str">
        <f t="shared" ca="1" si="85"/>
        <v/>
      </c>
      <c r="M1394" s="47" t="str">
        <f t="shared" ca="1" si="86"/>
        <v/>
      </c>
      <c r="R1394" s="48" t="str">
        <f t="shared" si="87"/>
        <v/>
      </c>
      <c r="S1394" s="48" t="str">
        <f t="shared" si="88"/>
        <v/>
      </c>
    </row>
    <row r="1395" spans="5:19" x14ac:dyDescent="0.35">
      <c r="E1395" s="30" t="s">
        <v>42</v>
      </c>
      <c r="F1395" s="46"/>
      <c r="G1395" s="46"/>
      <c r="H1395" s="46"/>
      <c r="I1395" s="46"/>
      <c r="J1395" s="46"/>
      <c r="K1395" s="46"/>
      <c r="L1395" s="41" t="str">
        <f t="shared" ca="1" si="85"/>
        <v/>
      </c>
      <c r="M1395" s="47" t="str">
        <f t="shared" ca="1" si="86"/>
        <v/>
      </c>
      <c r="R1395" s="48" t="str">
        <f t="shared" si="87"/>
        <v/>
      </c>
      <c r="S1395" s="48" t="str">
        <f t="shared" si="88"/>
        <v/>
      </c>
    </row>
    <row r="1396" spans="5:19" x14ac:dyDescent="0.35">
      <c r="E1396" s="30" t="s">
        <v>42</v>
      </c>
      <c r="F1396" s="46"/>
      <c r="G1396" s="46"/>
      <c r="H1396" s="46"/>
      <c r="I1396" s="46"/>
      <c r="J1396" s="46"/>
      <c r="K1396" s="46"/>
      <c r="L1396" s="41" t="str">
        <f t="shared" ca="1" si="85"/>
        <v/>
      </c>
      <c r="M1396" s="47" t="str">
        <f t="shared" ca="1" si="86"/>
        <v/>
      </c>
      <c r="R1396" s="48" t="str">
        <f t="shared" si="87"/>
        <v/>
      </c>
      <c r="S1396" s="48" t="str">
        <f t="shared" si="88"/>
        <v/>
      </c>
    </row>
    <row r="1397" spans="5:19" x14ac:dyDescent="0.35">
      <c r="E1397" s="30" t="s">
        <v>42</v>
      </c>
      <c r="F1397" s="46"/>
      <c r="G1397" s="46"/>
      <c r="H1397" s="46"/>
      <c r="I1397" s="46"/>
      <c r="J1397" s="46"/>
      <c r="K1397" s="46"/>
      <c r="L1397" s="41" t="str">
        <f t="shared" ca="1" si="85"/>
        <v/>
      </c>
      <c r="M1397" s="47" t="str">
        <f t="shared" ca="1" si="86"/>
        <v/>
      </c>
      <c r="R1397" s="48" t="str">
        <f t="shared" si="87"/>
        <v/>
      </c>
      <c r="S1397" s="48" t="str">
        <f t="shared" si="88"/>
        <v/>
      </c>
    </row>
    <row r="1398" spans="5:19" x14ac:dyDescent="0.35">
      <c r="E1398" s="30" t="s">
        <v>42</v>
      </c>
      <c r="F1398" s="46"/>
      <c r="G1398" s="46"/>
      <c r="H1398" s="46"/>
      <c r="I1398" s="46"/>
      <c r="J1398" s="46"/>
      <c r="K1398" s="46"/>
      <c r="L1398" s="41" t="str">
        <f t="shared" ca="1" si="85"/>
        <v/>
      </c>
      <c r="M1398" s="47" t="str">
        <f t="shared" ca="1" si="86"/>
        <v/>
      </c>
      <c r="R1398" s="48" t="str">
        <f t="shared" si="87"/>
        <v/>
      </c>
      <c r="S1398" s="48" t="str">
        <f t="shared" si="88"/>
        <v/>
      </c>
    </row>
    <row r="1399" spans="5:19" x14ac:dyDescent="0.35">
      <c r="E1399" s="30" t="s">
        <v>42</v>
      </c>
      <c r="F1399" s="46"/>
      <c r="G1399" s="46"/>
      <c r="H1399" s="46"/>
      <c r="I1399" s="46"/>
      <c r="J1399" s="46"/>
      <c r="K1399" s="46"/>
      <c r="L1399" s="41" t="str">
        <f t="shared" ca="1" si="85"/>
        <v/>
      </c>
      <c r="M1399" s="47" t="str">
        <f t="shared" ca="1" si="86"/>
        <v/>
      </c>
      <c r="R1399" s="48" t="str">
        <f t="shared" si="87"/>
        <v/>
      </c>
      <c r="S1399" s="48" t="str">
        <f t="shared" si="88"/>
        <v/>
      </c>
    </row>
    <row r="1400" spans="5:19" x14ac:dyDescent="0.35">
      <c r="E1400" s="30" t="s">
        <v>42</v>
      </c>
      <c r="F1400" s="46"/>
      <c r="G1400" s="46"/>
      <c r="H1400" s="46"/>
      <c r="I1400" s="46"/>
      <c r="J1400" s="46"/>
      <c r="K1400" s="46"/>
      <c r="L1400" s="41" t="str">
        <f t="shared" ca="1" si="85"/>
        <v/>
      </c>
      <c r="M1400" s="47" t="str">
        <f t="shared" ca="1" si="86"/>
        <v/>
      </c>
      <c r="R1400" s="48" t="str">
        <f t="shared" si="87"/>
        <v/>
      </c>
      <c r="S1400" s="48" t="str">
        <f t="shared" si="88"/>
        <v/>
      </c>
    </row>
    <row r="1401" spans="5:19" x14ac:dyDescent="0.35">
      <c r="E1401" s="30" t="s">
        <v>42</v>
      </c>
      <c r="F1401" s="46"/>
      <c r="G1401" s="46"/>
      <c r="H1401" s="46"/>
      <c r="I1401" s="46"/>
      <c r="J1401" s="46"/>
      <c r="K1401" s="46"/>
      <c r="L1401" s="41" t="str">
        <f t="shared" ca="1" si="85"/>
        <v/>
      </c>
      <c r="M1401" s="47" t="str">
        <f t="shared" ca="1" si="86"/>
        <v/>
      </c>
      <c r="R1401" s="48" t="str">
        <f t="shared" si="87"/>
        <v/>
      </c>
      <c r="S1401" s="48" t="str">
        <f t="shared" si="88"/>
        <v/>
      </c>
    </row>
    <row r="1402" spans="5:19" x14ac:dyDescent="0.35">
      <c r="E1402" s="30" t="s">
        <v>42</v>
      </c>
      <c r="F1402" s="46"/>
      <c r="G1402" s="46"/>
      <c r="H1402" s="46"/>
      <c r="I1402" s="46"/>
      <c r="J1402" s="46"/>
      <c r="K1402" s="46"/>
      <c r="L1402" s="41" t="str">
        <f t="shared" ca="1" si="85"/>
        <v/>
      </c>
      <c r="M1402" s="47" t="str">
        <f t="shared" ca="1" si="86"/>
        <v/>
      </c>
      <c r="R1402" s="48" t="str">
        <f t="shared" si="87"/>
        <v/>
      </c>
      <c r="S1402" s="48" t="str">
        <f t="shared" si="88"/>
        <v/>
      </c>
    </row>
    <row r="1403" spans="5:19" x14ac:dyDescent="0.35">
      <c r="E1403" s="30" t="s">
        <v>42</v>
      </c>
      <c r="F1403" s="46"/>
      <c r="G1403" s="46"/>
      <c r="H1403" s="46"/>
      <c r="I1403" s="46"/>
      <c r="J1403" s="46"/>
      <c r="K1403" s="46"/>
      <c r="L1403" s="41" t="str">
        <f t="shared" ca="1" si="85"/>
        <v/>
      </c>
      <c r="M1403" s="47" t="str">
        <f t="shared" ca="1" si="86"/>
        <v/>
      </c>
      <c r="R1403" s="48" t="str">
        <f t="shared" si="87"/>
        <v/>
      </c>
      <c r="S1403" s="48" t="str">
        <f t="shared" si="88"/>
        <v/>
      </c>
    </row>
    <row r="1404" spans="5:19" x14ac:dyDescent="0.35">
      <c r="E1404" s="30" t="s">
        <v>42</v>
      </c>
      <c r="F1404" s="46"/>
      <c r="G1404" s="46"/>
      <c r="H1404" s="46"/>
      <c r="I1404" s="46"/>
      <c r="J1404" s="46"/>
      <c r="K1404" s="46"/>
      <c r="L1404" s="41" t="str">
        <f t="shared" ca="1" si="85"/>
        <v/>
      </c>
      <c r="M1404" s="47" t="str">
        <f t="shared" ca="1" si="86"/>
        <v/>
      </c>
      <c r="R1404" s="48" t="str">
        <f t="shared" si="87"/>
        <v/>
      </c>
      <c r="S1404" s="48" t="str">
        <f t="shared" si="88"/>
        <v/>
      </c>
    </row>
    <row r="1405" spans="5:19" x14ac:dyDescent="0.35">
      <c r="E1405" s="30" t="s">
        <v>42</v>
      </c>
      <c r="F1405" s="46"/>
      <c r="G1405" s="46"/>
      <c r="H1405" s="46"/>
      <c r="I1405" s="46"/>
      <c r="J1405" s="46"/>
      <c r="K1405" s="46"/>
      <c r="L1405" s="41" t="str">
        <f t="shared" ca="1" si="85"/>
        <v/>
      </c>
      <c r="M1405" s="47" t="str">
        <f t="shared" ca="1" si="86"/>
        <v/>
      </c>
      <c r="R1405" s="48" t="str">
        <f t="shared" si="87"/>
        <v/>
      </c>
      <c r="S1405" s="48" t="str">
        <f t="shared" si="88"/>
        <v/>
      </c>
    </row>
    <row r="1406" spans="5:19" x14ac:dyDescent="0.35">
      <c r="E1406" s="30" t="s">
        <v>42</v>
      </c>
      <c r="F1406" s="46"/>
      <c r="G1406" s="46"/>
      <c r="H1406" s="46"/>
      <c r="I1406" s="46"/>
      <c r="J1406" s="46"/>
      <c r="K1406" s="46"/>
      <c r="L1406" s="41" t="str">
        <f t="shared" ca="1" si="85"/>
        <v/>
      </c>
      <c r="M1406" s="47" t="str">
        <f t="shared" ca="1" si="86"/>
        <v/>
      </c>
      <c r="R1406" s="48" t="str">
        <f t="shared" si="87"/>
        <v/>
      </c>
      <c r="S1406" s="48" t="str">
        <f t="shared" si="88"/>
        <v/>
      </c>
    </row>
    <row r="1407" spans="5:19" x14ac:dyDescent="0.35">
      <c r="E1407" s="30" t="s">
        <v>42</v>
      </c>
      <c r="F1407" s="46"/>
      <c r="G1407" s="46"/>
      <c r="H1407" s="46"/>
      <c r="I1407" s="46"/>
      <c r="J1407" s="46"/>
      <c r="K1407" s="46"/>
      <c r="L1407" s="41" t="str">
        <f t="shared" ca="1" si="85"/>
        <v/>
      </c>
      <c r="M1407" s="47" t="str">
        <f t="shared" ca="1" si="86"/>
        <v/>
      </c>
      <c r="R1407" s="48" t="str">
        <f t="shared" si="87"/>
        <v/>
      </c>
      <c r="S1407" s="48" t="str">
        <f t="shared" si="88"/>
        <v/>
      </c>
    </row>
    <row r="1408" spans="5:19" x14ac:dyDescent="0.35">
      <c r="E1408" s="30" t="s">
        <v>42</v>
      </c>
      <c r="F1408" s="46"/>
      <c r="G1408" s="46"/>
      <c r="H1408" s="46"/>
      <c r="I1408" s="46"/>
      <c r="J1408" s="46"/>
      <c r="K1408" s="46"/>
      <c r="L1408" s="41" t="str">
        <f t="shared" ca="1" si="85"/>
        <v/>
      </c>
      <c r="M1408" s="47" t="str">
        <f t="shared" ca="1" si="86"/>
        <v/>
      </c>
      <c r="R1408" s="48" t="str">
        <f t="shared" si="87"/>
        <v/>
      </c>
      <c r="S1408" s="48" t="str">
        <f t="shared" si="88"/>
        <v/>
      </c>
    </row>
    <row r="1409" spans="5:19" x14ac:dyDescent="0.35">
      <c r="E1409" s="30" t="s">
        <v>42</v>
      </c>
      <c r="F1409" s="46"/>
      <c r="G1409" s="46"/>
      <c r="H1409" s="46"/>
      <c r="I1409" s="46"/>
      <c r="J1409" s="46"/>
      <c r="K1409" s="46"/>
      <c r="L1409" s="41" t="str">
        <f t="shared" ca="1" si="85"/>
        <v/>
      </c>
      <c r="M1409" s="47" t="str">
        <f t="shared" ca="1" si="86"/>
        <v/>
      </c>
      <c r="R1409" s="48" t="str">
        <f t="shared" si="87"/>
        <v/>
      </c>
      <c r="S1409" s="48" t="str">
        <f t="shared" si="88"/>
        <v/>
      </c>
    </row>
    <row r="1410" spans="5:19" x14ac:dyDescent="0.35">
      <c r="E1410" s="30" t="s">
        <v>42</v>
      </c>
      <c r="F1410" s="46"/>
      <c r="G1410" s="46"/>
      <c r="H1410" s="46"/>
      <c r="I1410" s="46"/>
      <c r="J1410" s="46"/>
      <c r="K1410" s="46"/>
      <c r="L1410" s="41" t="str">
        <f t="shared" ca="1" si="85"/>
        <v/>
      </c>
      <c r="M1410" s="47" t="str">
        <f t="shared" ca="1" si="86"/>
        <v/>
      </c>
      <c r="R1410" s="48" t="str">
        <f t="shared" si="87"/>
        <v/>
      </c>
      <c r="S1410" s="48" t="str">
        <f t="shared" si="88"/>
        <v/>
      </c>
    </row>
    <row r="1411" spans="5:19" x14ac:dyDescent="0.35">
      <c r="E1411" s="30" t="s">
        <v>42</v>
      </c>
      <c r="F1411" s="46"/>
      <c r="G1411" s="46"/>
      <c r="H1411" s="46"/>
      <c r="I1411" s="46"/>
      <c r="J1411" s="46"/>
      <c r="K1411" s="46"/>
      <c r="L1411" s="41" t="str">
        <f t="shared" ca="1" si="85"/>
        <v/>
      </c>
      <c r="M1411" s="47" t="str">
        <f t="shared" ca="1" si="86"/>
        <v/>
      </c>
      <c r="R1411" s="48" t="str">
        <f t="shared" si="87"/>
        <v/>
      </c>
      <c r="S1411" s="48" t="str">
        <f t="shared" si="88"/>
        <v/>
      </c>
    </row>
    <row r="1412" spans="5:19" x14ac:dyDescent="0.35">
      <c r="E1412" s="30" t="s">
        <v>42</v>
      </c>
      <c r="F1412" s="46"/>
      <c r="G1412" s="46"/>
      <c r="H1412" s="46"/>
      <c r="I1412" s="46"/>
      <c r="J1412" s="46"/>
      <c r="K1412" s="46"/>
      <c r="L1412" s="41" t="str">
        <f t="shared" ca="1" si="85"/>
        <v/>
      </c>
      <c r="M1412" s="47" t="str">
        <f t="shared" ca="1" si="86"/>
        <v/>
      </c>
      <c r="R1412" s="48" t="str">
        <f t="shared" si="87"/>
        <v/>
      </c>
      <c r="S1412" s="48" t="str">
        <f t="shared" si="88"/>
        <v/>
      </c>
    </row>
    <row r="1413" spans="5:19" x14ac:dyDescent="0.35">
      <c r="E1413" s="30" t="s">
        <v>42</v>
      </c>
      <c r="F1413" s="46"/>
      <c r="G1413" s="46"/>
      <c r="H1413" s="46"/>
      <c r="I1413" s="46"/>
      <c r="J1413" s="46"/>
      <c r="K1413" s="46"/>
      <c r="L1413" s="41" t="str">
        <f t="shared" ca="1" si="85"/>
        <v/>
      </c>
      <c r="M1413" s="47" t="str">
        <f t="shared" ca="1" si="86"/>
        <v/>
      </c>
      <c r="R1413" s="48" t="str">
        <f t="shared" si="87"/>
        <v/>
      </c>
      <c r="S1413" s="48" t="str">
        <f t="shared" si="88"/>
        <v/>
      </c>
    </row>
    <row r="1414" spans="5:19" x14ac:dyDescent="0.35">
      <c r="E1414" s="30" t="s">
        <v>42</v>
      </c>
      <c r="F1414" s="46"/>
      <c r="G1414" s="46"/>
      <c r="H1414" s="46"/>
      <c r="I1414" s="46"/>
      <c r="J1414" s="46"/>
      <c r="K1414" s="46"/>
      <c r="L1414" s="41" t="str">
        <f t="shared" ref="L1414:L1477" ca="1" si="89">IF(AND(C1414&lt;&gt;"",C1414&lt;&gt;R1414),TODAY(),IF(C1414="","",L1414))</f>
        <v/>
      </c>
      <c r="M1414" s="47" t="str">
        <f t="shared" ref="M1414:M1477" ca="1" si="90">IF(AND(C1414&lt;&gt;"",C1414&lt;&gt;S1414),NOW(),IF(C1414="","",M1414))</f>
        <v/>
      </c>
      <c r="R1414" s="48" t="str">
        <f t="shared" ref="R1414:R1477" si="91">IF(C1414="","",IF(OR(L1414="",AND(ISNUMBER(R1414),C1414=R1414)),R1414,C1414))</f>
        <v/>
      </c>
      <c r="S1414" s="48" t="str">
        <f t="shared" ref="S1414:S1477" si="92">IF(C1414="","",IF(OR(M1414="",AND(ISNUMBER(S1414),C1414=S1414)),S1414,C1414))</f>
        <v/>
      </c>
    </row>
    <row r="1415" spans="5:19" x14ac:dyDescent="0.35">
      <c r="E1415" s="30" t="s">
        <v>42</v>
      </c>
      <c r="F1415" s="46"/>
      <c r="G1415" s="46"/>
      <c r="H1415" s="46"/>
      <c r="I1415" s="46"/>
      <c r="J1415" s="46"/>
      <c r="K1415" s="46"/>
      <c r="L1415" s="41" t="str">
        <f t="shared" ca="1" si="89"/>
        <v/>
      </c>
      <c r="M1415" s="47" t="str">
        <f t="shared" ca="1" si="90"/>
        <v/>
      </c>
      <c r="R1415" s="48" t="str">
        <f t="shared" si="91"/>
        <v/>
      </c>
      <c r="S1415" s="48" t="str">
        <f t="shared" si="92"/>
        <v/>
      </c>
    </row>
    <row r="1416" spans="5:19" x14ac:dyDescent="0.35">
      <c r="E1416" s="30" t="s">
        <v>42</v>
      </c>
      <c r="F1416" s="46"/>
      <c r="G1416" s="46"/>
      <c r="H1416" s="46"/>
      <c r="I1416" s="46"/>
      <c r="J1416" s="46"/>
      <c r="K1416" s="46"/>
      <c r="L1416" s="41" t="str">
        <f t="shared" ca="1" si="89"/>
        <v/>
      </c>
      <c r="M1416" s="47" t="str">
        <f t="shared" ca="1" si="90"/>
        <v/>
      </c>
      <c r="R1416" s="48" t="str">
        <f t="shared" si="91"/>
        <v/>
      </c>
      <c r="S1416" s="48" t="str">
        <f t="shared" si="92"/>
        <v/>
      </c>
    </row>
    <row r="1417" spans="5:19" x14ac:dyDescent="0.35">
      <c r="E1417" s="30" t="s">
        <v>42</v>
      </c>
      <c r="F1417" s="46"/>
      <c r="G1417" s="46"/>
      <c r="H1417" s="46"/>
      <c r="I1417" s="46"/>
      <c r="J1417" s="46"/>
      <c r="K1417" s="46"/>
      <c r="L1417" s="41" t="str">
        <f t="shared" ca="1" si="89"/>
        <v/>
      </c>
      <c r="M1417" s="47" t="str">
        <f t="shared" ca="1" si="90"/>
        <v/>
      </c>
      <c r="R1417" s="48" t="str">
        <f t="shared" si="91"/>
        <v/>
      </c>
      <c r="S1417" s="48" t="str">
        <f t="shared" si="92"/>
        <v/>
      </c>
    </row>
    <row r="1418" spans="5:19" x14ac:dyDescent="0.35">
      <c r="E1418" s="30" t="s">
        <v>42</v>
      </c>
      <c r="F1418" s="46"/>
      <c r="G1418" s="46"/>
      <c r="H1418" s="46"/>
      <c r="I1418" s="46"/>
      <c r="J1418" s="46"/>
      <c r="K1418" s="46"/>
      <c r="L1418" s="41" t="str">
        <f t="shared" ca="1" si="89"/>
        <v/>
      </c>
      <c r="M1418" s="47" t="str">
        <f t="shared" ca="1" si="90"/>
        <v/>
      </c>
      <c r="R1418" s="48" t="str">
        <f t="shared" si="91"/>
        <v/>
      </c>
      <c r="S1418" s="48" t="str">
        <f t="shared" si="92"/>
        <v/>
      </c>
    </row>
    <row r="1419" spans="5:19" x14ac:dyDescent="0.35">
      <c r="E1419" s="30" t="s">
        <v>42</v>
      </c>
      <c r="F1419" s="46"/>
      <c r="G1419" s="46"/>
      <c r="H1419" s="46"/>
      <c r="I1419" s="46"/>
      <c r="J1419" s="46"/>
      <c r="K1419" s="46"/>
      <c r="L1419" s="41" t="str">
        <f t="shared" ca="1" si="89"/>
        <v/>
      </c>
      <c r="M1419" s="47" t="str">
        <f t="shared" ca="1" si="90"/>
        <v/>
      </c>
      <c r="R1419" s="48" t="str">
        <f t="shared" si="91"/>
        <v/>
      </c>
      <c r="S1419" s="48" t="str">
        <f t="shared" si="92"/>
        <v/>
      </c>
    </row>
    <row r="1420" spans="5:19" x14ac:dyDescent="0.35">
      <c r="E1420" s="30" t="s">
        <v>42</v>
      </c>
      <c r="F1420" s="46"/>
      <c r="G1420" s="46"/>
      <c r="H1420" s="46"/>
      <c r="I1420" s="46"/>
      <c r="J1420" s="46"/>
      <c r="K1420" s="46"/>
      <c r="L1420" s="41" t="str">
        <f t="shared" ca="1" si="89"/>
        <v/>
      </c>
      <c r="M1420" s="47" t="str">
        <f t="shared" ca="1" si="90"/>
        <v/>
      </c>
      <c r="R1420" s="48" t="str">
        <f t="shared" si="91"/>
        <v/>
      </c>
      <c r="S1420" s="48" t="str">
        <f t="shared" si="92"/>
        <v/>
      </c>
    </row>
    <row r="1421" spans="5:19" x14ac:dyDescent="0.35">
      <c r="E1421" s="30" t="s">
        <v>42</v>
      </c>
      <c r="F1421" s="46"/>
      <c r="G1421" s="46"/>
      <c r="H1421" s="46"/>
      <c r="I1421" s="46"/>
      <c r="J1421" s="46"/>
      <c r="K1421" s="46"/>
      <c r="L1421" s="41" t="str">
        <f t="shared" ca="1" si="89"/>
        <v/>
      </c>
      <c r="M1421" s="47" t="str">
        <f t="shared" ca="1" si="90"/>
        <v/>
      </c>
      <c r="R1421" s="48" t="str">
        <f t="shared" si="91"/>
        <v/>
      </c>
      <c r="S1421" s="48" t="str">
        <f t="shared" si="92"/>
        <v/>
      </c>
    </row>
    <row r="1422" spans="5:19" x14ac:dyDescent="0.35">
      <c r="E1422" s="30" t="s">
        <v>42</v>
      </c>
      <c r="F1422" s="46"/>
      <c r="G1422" s="46"/>
      <c r="H1422" s="46"/>
      <c r="I1422" s="46"/>
      <c r="J1422" s="46"/>
      <c r="K1422" s="46"/>
      <c r="L1422" s="41" t="str">
        <f t="shared" ca="1" si="89"/>
        <v/>
      </c>
      <c r="M1422" s="47" t="str">
        <f t="shared" ca="1" si="90"/>
        <v/>
      </c>
      <c r="R1422" s="48" t="str">
        <f t="shared" si="91"/>
        <v/>
      </c>
      <c r="S1422" s="48" t="str">
        <f t="shared" si="92"/>
        <v/>
      </c>
    </row>
    <row r="1423" spans="5:19" x14ac:dyDescent="0.35">
      <c r="E1423" s="30" t="s">
        <v>42</v>
      </c>
      <c r="F1423" s="46"/>
      <c r="G1423" s="46"/>
      <c r="H1423" s="46"/>
      <c r="I1423" s="46"/>
      <c r="J1423" s="46"/>
      <c r="K1423" s="46"/>
      <c r="L1423" s="41" t="str">
        <f t="shared" ca="1" si="89"/>
        <v/>
      </c>
      <c r="M1423" s="47" t="str">
        <f t="shared" ca="1" si="90"/>
        <v/>
      </c>
      <c r="R1423" s="48" t="str">
        <f t="shared" si="91"/>
        <v/>
      </c>
      <c r="S1423" s="48" t="str">
        <f t="shared" si="92"/>
        <v/>
      </c>
    </row>
    <row r="1424" spans="5:19" x14ac:dyDescent="0.35">
      <c r="E1424" s="30" t="s">
        <v>42</v>
      </c>
      <c r="F1424" s="46"/>
      <c r="G1424" s="46"/>
      <c r="H1424" s="46"/>
      <c r="I1424" s="46"/>
      <c r="J1424" s="46"/>
      <c r="K1424" s="46"/>
      <c r="L1424" s="41" t="str">
        <f t="shared" ca="1" si="89"/>
        <v/>
      </c>
      <c r="M1424" s="47" t="str">
        <f t="shared" ca="1" si="90"/>
        <v/>
      </c>
      <c r="R1424" s="48" t="str">
        <f t="shared" si="91"/>
        <v/>
      </c>
      <c r="S1424" s="48" t="str">
        <f t="shared" si="92"/>
        <v/>
      </c>
    </row>
    <row r="1425" spans="5:19" x14ac:dyDescent="0.35">
      <c r="E1425" s="30" t="s">
        <v>42</v>
      </c>
      <c r="F1425" s="46"/>
      <c r="G1425" s="46"/>
      <c r="H1425" s="46"/>
      <c r="I1425" s="46"/>
      <c r="J1425" s="46"/>
      <c r="K1425" s="46"/>
      <c r="L1425" s="41" t="str">
        <f t="shared" ca="1" si="89"/>
        <v/>
      </c>
      <c r="M1425" s="47" t="str">
        <f t="shared" ca="1" si="90"/>
        <v/>
      </c>
      <c r="R1425" s="48" t="str">
        <f t="shared" si="91"/>
        <v/>
      </c>
      <c r="S1425" s="48" t="str">
        <f t="shared" si="92"/>
        <v/>
      </c>
    </row>
    <row r="1426" spans="5:19" x14ac:dyDescent="0.35">
      <c r="E1426" s="30" t="s">
        <v>42</v>
      </c>
      <c r="F1426" s="46"/>
      <c r="G1426" s="46"/>
      <c r="H1426" s="46"/>
      <c r="I1426" s="46"/>
      <c r="J1426" s="46"/>
      <c r="K1426" s="46"/>
      <c r="L1426" s="41" t="str">
        <f t="shared" ca="1" si="89"/>
        <v/>
      </c>
      <c r="M1426" s="47" t="str">
        <f t="shared" ca="1" si="90"/>
        <v/>
      </c>
      <c r="R1426" s="48" t="str">
        <f t="shared" si="91"/>
        <v/>
      </c>
      <c r="S1426" s="48" t="str">
        <f t="shared" si="92"/>
        <v/>
      </c>
    </row>
    <row r="1427" spans="5:19" x14ac:dyDescent="0.35">
      <c r="E1427" s="30" t="s">
        <v>42</v>
      </c>
      <c r="F1427" s="46"/>
      <c r="G1427" s="46"/>
      <c r="H1427" s="46"/>
      <c r="I1427" s="46"/>
      <c r="J1427" s="46"/>
      <c r="K1427" s="46"/>
      <c r="L1427" s="41" t="str">
        <f t="shared" ca="1" si="89"/>
        <v/>
      </c>
      <c r="M1427" s="47" t="str">
        <f t="shared" ca="1" si="90"/>
        <v/>
      </c>
      <c r="R1427" s="48" t="str">
        <f t="shared" si="91"/>
        <v/>
      </c>
      <c r="S1427" s="48" t="str">
        <f t="shared" si="92"/>
        <v/>
      </c>
    </row>
    <row r="1428" spans="5:19" x14ac:dyDescent="0.35">
      <c r="E1428" s="30" t="s">
        <v>42</v>
      </c>
      <c r="F1428" s="46"/>
      <c r="G1428" s="46"/>
      <c r="H1428" s="46"/>
      <c r="I1428" s="46"/>
      <c r="J1428" s="46"/>
      <c r="K1428" s="46"/>
      <c r="L1428" s="41" t="str">
        <f t="shared" ca="1" si="89"/>
        <v/>
      </c>
      <c r="M1428" s="47" t="str">
        <f t="shared" ca="1" si="90"/>
        <v/>
      </c>
      <c r="R1428" s="48" t="str">
        <f t="shared" si="91"/>
        <v/>
      </c>
      <c r="S1428" s="48" t="str">
        <f t="shared" si="92"/>
        <v/>
      </c>
    </row>
    <row r="1429" spans="5:19" x14ac:dyDescent="0.35">
      <c r="E1429" s="30" t="s">
        <v>42</v>
      </c>
      <c r="F1429" s="46"/>
      <c r="G1429" s="46"/>
      <c r="H1429" s="46"/>
      <c r="I1429" s="46"/>
      <c r="J1429" s="46"/>
      <c r="K1429" s="46"/>
      <c r="L1429" s="41" t="str">
        <f t="shared" ca="1" si="89"/>
        <v/>
      </c>
      <c r="M1429" s="47" t="str">
        <f t="shared" ca="1" si="90"/>
        <v/>
      </c>
      <c r="R1429" s="48" t="str">
        <f t="shared" si="91"/>
        <v/>
      </c>
      <c r="S1429" s="48" t="str">
        <f t="shared" si="92"/>
        <v/>
      </c>
    </row>
    <row r="1430" spans="5:19" x14ac:dyDescent="0.35">
      <c r="E1430" s="30" t="s">
        <v>42</v>
      </c>
      <c r="F1430" s="46"/>
      <c r="G1430" s="46"/>
      <c r="H1430" s="46"/>
      <c r="I1430" s="46"/>
      <c r="J1430" s="46"/>
      <c r="K1430" s="46"/>
      <c r="L1430" s="41" t="str">
        <f t="shared" ca="1" si="89"/>
        <v/>
      </c>
      <c r="M1430" s="47" t="str">
        <f t="shared" ca="1" si="90"/>
        <v/>
      </c>
      <c r="R1430" s="48" t="str">
        <f t="shared" si="91"/>
        <v/>
      </c>
      <c r="S1430" s="48" t="str">
        <f t="shared" si="92"/>
        <v/>
      </c>
    </row>
    <row r="1431" spans="5:19" x14ac:dyDescent="0.35">
      <c r="E1431" s="30" t="s">
        <v>42</v>
      </c>
      <c r="F1431" s="46"/>
      <c r="G1431" s="46"/>
      <c r="H1431" s="46"/>
      <c r="I1431" s="46"/>
      <c r="J1431" s="46"/>
      <c r="K1431" s="46"/>
      <c r="L1431" s="41" t="str">
        <f t="shared" ca="1" si="89"/>
        <v/>
      </c>
      <c r="M1431" s="47" t="str">
        <f t="shared" ca="1" si="90"/>
        <v/>
      </c>
      <c r="R1431" s="48" t="str">
        <f t="shared" si="91"/>
        <v/>
      </c>
      <c r="S1431" s="48" t="str">
        <f t="shared" si="92"/>
        <v/>
      </c>
    </row>
    <row r="1432" spans="5:19" x14ac:dyDescent="0.35">
      <c r="E1432" s="30" t="s">
        <v>42</v>
      </c>
      <c r="F1432" s="46"/>
      <c r="G1432" s="46"/>
      <c r="H1432" s="46"/>
      <c r="I1432" s="46"/>
      <c r="J1432" s="46"/>
      <c r="K1432" s="46"/>
      <c r="L1432" s="41" t="str">
        <f t="shared" ca="1" si="89"/>
        <v/>
      </c>
      <c r="M1432" s="47" t="str">
        <f t="shared" ca="1" si="90"/>
        <v/>
      </c>
      <c r="R1432" s="48" t="str">
        <f t="shared" si="91"/>
        <v/>
      </c>
      <c r="S1432" s="48" t="str">
        <f t="shared" si="92"/>
        <v/>
      </c>
    </row>
    <row r="1433" spans="5:19" x14ac:dyDescent="0.35">
      <c r="E1433" s="30" t="s">
        <v>42</v>
      </c>
      <c r="F1433" s="46"/>
      <c r="G1433" s="46"/>
      <c r="H1433" s="46"/>
      <c r="I1433" s="46"/>
      <c r="J1433" s="46"/>
      <c r="K1433" s="46"/>
      <c r="L1433" s="41" t="str">
        <f t="shared" ca="1" si="89"/>
        <v/>
      </c>
      <c r="M1433" s="47" t="str">
        <f t="shared" ca="1" si="90"/>
        <v/>
      </c>
      <c r="R1433" s="48" t="str">
        <f t="shared" si="91"/>
        <v/>
      </c>
      <c r="S1433" s="48" t="str">
        <f t="shared" si="92"/>
        <v/>
      </c>
    </row>
    <row r="1434" spans="5:19" x14ac:dyDescent="0.35">
      <c r="E1434" s="30" t="s">
        <v>42</v>
      </c>
      <c r="F1434" s="46"/>
      <c r="G1434" s="46"/>
      <c r="H1434" s="46"/>
      <c r="I1434" s="46"/>
      <c r="J1434" s="46"/>
      <c r="K1434" s="46"/>
      <c r="L1434" s="41" t="str">
        <f t="shared" ca="1" si="89"/>
        <v/>
      </c>
      <c r="M1434" s="47" t="str">
        <f t="shared" ca="1" si="90"/>
        <v/>
      </c>
      <c r="R1434" s="48" t="str">
        <f t="shared" si="91"/>
        <v/>
      </c>
      <c r="S1434" s="48" t="str">
        <f t="shared" si="92"/>
        <v/>
      </c>
    </row>
    <row r="1435" spans="5:19" x14ac:dyDescent="0.35">
      <c r="E1435" s="30" t="s">
        <v>42</v>
      </c>
      <c r="F1435" s="46"/>
      <c r="G1435" s="46"/>
      <c r="H1435" s="46"/>
      <c r="I1435" s="46"/>
      <c r="J1435" s="46"/>
      <c r="K1435" s="46"/>
      <c r="L1435" s="41" t="str">
        <f t="shared" ca="1" si="89"/>
        <v/>
      </c>
      <c r="M1435" s="47" t="str">
        <f t="shared" ca="1" si="90"/>
        <v/>
      </c>
      <c r="R1435" s="48" t="str">
        <f t="shared" si="91"/>
        <v/>
      </c>
      <c r="S1435" s="48" t="str">
        <f t="shared" si="92"/>
        <v/>
      </c>
    </row>
    <row r="1436" spans="5:19" x14ac:dyDescent="0.35">
      <c r="E1436" s="30" t="s">
        <v>42</v>
      </c>
      <c r="F1436" s="46"/>
      <c r="G1436" s="46"/>
      <c r="H1436" s="46"/>
      <c r="I1436" s="46"/>
      <c r="J1436" s="46"/>
      <c r="K1436" s="46"/>
      <c r="L1436" s="41" t="str">
        <f t="shared" ca="1" si="89"/>
        <v/>
      </c>
      <c r="M1436" s="47" t="str">
        <f t="shared" ca="1" si="90"/>
        <v/>
      </c>
      <c r="R1436" s="48" t="str">
        <f t="shared" si="91"/>
        <v/>
      </c>
      <c r="S1436" s="48" t="str">
        <f t="shared" si="92"/>
        <v/>
      </c>
    </row>
    <row r="1437" spans="5:19" x14ac:dyDescent="0.35">
      <c r="E1437" s="30" t="s">
        <v>42</v>
      </c>
      <c r="F1437" s="46"/>
      <c r="G1437" s="46"/>
      <c r="H1437" s="46"/>
      <c r="I1437" s="46"/>
      <c r="J1437" s="46"/>
      <c r="K1437" s="46"/>
      <c r="L1437" s="41" t="str">
        <f t="shared" ca="1" si="89"/>
        <v/>
      </c>
      <c r="M1437" s="47" t="str">
        <f t="shared" ca="1" si="90"/>
        <v/>
      </c>
      <c r="R1437" s="48" t="str">
        <f t="shared" si="91"/>
        <v/>
      </c>
      <c r="S1437" s="48" t="str">
        <f t="shared" si="92"/>
        <v/>
      </c>
    </row>
    <row r="1438" spans="5:19" x14ac:dyDescent="0.35">
      <c r="E1438" s="30" t="s">
        <v>42</v>
      </c>
      <c r="F1438" s="46"/>
      <c r="G1438" s="46"/>
      <c r="H1438" s="46"/>
      <c r="I1438" s="46"/>
      <c r="J1438" s="46"/>
      <c r="K1438" s="46"/>
      <c r="L1438" s="41" t="str">
        <f t="shared" ca="1" si="89"/>
        <v/>
      </c>
      <c r="M1438" s="47" t="str">
        <f t="shared" ca="1" si="90"/>
        <v/>
      </c>
      <c r="R1438" s="48" t="str">
        <f t="shared" si="91"/>
        <v/>
      </c>
      <c r="S1438" s="48" t="str">
        <f t="shared" si="92"/>
        <v/>
      </c>
    </row>
    <row r="1439" spans="5:19" x14ac:dyDescent="0.35">
      <c r="E1439" s="30" t="s">
        <v>42</v>
      </c>
      <c r="F1439" s="46"/>
      <c r="G1439" s="46"/>
      <c r="H1439" s="46"/>
      <c r="I1439" s="46"/>
      <c r="J1439" s="46"/>
      <c r="K1439" s="46"/>
      <c r="L1439" s="41" t="str">
        <f t="shared" ca="1" si="89"/>
        <v/>
      </c>
      <c r="M1439" s="47" t="str">
        <f t="shared" ca="1" si="90"/>
        <v/>
      </c>
      <c r="R1439" s="48" t="str">
        <f t="shared" si="91"/>
        <v/>
      </c>
      <c r="S1439" s="48" t="str">
        <f t="shared" si="92"/>
        <v/>
      </c>
    </row>
    <row r="1440" spans="5:19" x14ac:dyDescent="0.35">
      <c r="E1440" s="30" t="s">
        <v>42</v>
      </c>
      <c r="F1440" s="46"/>
      <c r="G1440" s="46"/>
      <c r="H1440" s="46"/>
      <c r="I1440" s="46"/>
      <c r="J1440" s="46"/>
      <c r="K1440" s="46"/>
      <c r="L1440" s="41" t="str">
        <f t="shared" ca="1" si="89"/>
        <v/>
      </c>
      <c r="M1440" s="47" t="str">
        <f t="shared" ca="1" si="90"/>
        <v/>
      </c>
      <c r="R1440" s="48" t="str">
        <f t="shared" si="91"/>
        <v/>
      </c>
      <c r="S1440" s="48" t="str">
        <f t="shared" si="92"/>
        <v/>
      </c>
    </row>
    <row r="1441" spans="5:19" x14ac:dyDescent="0.35">
      <c r="E1441" s="30" t="s">
        <v>42</v>
      </c>
      <c r="F1441" s="46"/>
      <c r="G1441" s="46"/>
      <c r="H1441" s="46"/>
      <c r="I1441" s="46"/>
      <c r="J1441" s="46"/>
      <c r="K1441" s="46"/>
      <c r="L1441" s="41" t="str">
        <f t="shared" ca="1" si="89"/>
        <v/>
      </c>
      <c r="M1441" s="47" t="str">
        <f t="shared" ca="1" si="90"/>
        <v/>
      </c>
      <c r="R1441" s="48" t="str">
        <f t="shared" si="91"/>
        <v/>
      </c>
      <c r="S1441" s="48" t="str">
        <f t="shared" si="92"/>
        <v/>
      </c>
    </row>
    <row r="1442" spans="5:19" x14ac:dyDescent="0.35">
      <c r="E1442" s="30" t="s">
        <v>42</v>
      </c>
      <c r="F1442" s="46"/>
      <c r="G1442" s="46"/>
      <c r="H1442" s="46"/>
      <c r="I1442" s="46"/>
      <c r="J1442" s="46"/>
      <c r="K1442" s="46"/>
      <c r="L1442" s="41" t="str">
        <f t="shared" ca="1" si="89"/>
        <v/>
      </c>
      <c r="M1442" s="47" t="str">
        <f t="shared" ca="1" si="90"/>
        <v/>
      </c>
      <c r="R1442" s="48" t="str">
        <f t="shared" si="91"/>
        <v/>
      </c>
      <c r="S1442" s="48" t="str">
        <f t="shared" si="92"/>
        <v/>
      </c>
    </row>
    <row r="1443" spans="5:19" x14ac:dyDescent="0.35">
      <c r="E1443" s="30" t="s">
        <v>42</v>
      </c>
      <c r="F1443" s="46"/>
      <c r="G1443" s="46"/>
      <c r="H1443" s="46"/>
      <c r="I1443" s="46"/>
      <c r="J1443" s="46"/>
      <c r="K1443" s="46"/>
      <c r="L1443" s="41" t="str">
        <f t="shared" ca="1" si="89"/>
        <v/>
      </c>
      <c r="M1443" s="47" t="str">
        <f t="shared" ca="1" si="90"/>
        <v/>
      </c>
      <c r="R1443" s="48" t="str">
        <f t="shared" si="91"/>
        <v/>
      </c>
      <c r="S1443" s="48" t="str">
        <f t="shared" si="92"/>
        <v/>
      </c>
    </row>
    <row r="1444" spans="5:19" x14ac:dyDescent="0.35">
      <c r="E1444" s="30" t="s">
        <v>42</v>
      </c>
      <c r="F1444" s="46"/>
      <c r="G1444" s="46"/>
      <c r="H1444" s="46"/>
      <c r="I1444" s="46"/>
      <c r="J1444" s="46"/>
      <c r="K1444" s="46"/>
      <c r="L1444" s="41" t="str">
        <f t="shared" ca="1" si="89"/>
        <v/>
      </c>
      <c r="M1444" s="47" t="str">
        <f t="shared" ca="1" si="90"/>
        <v/>
      </c>
      <c r="R1444" s="48" t="str">
        <f t="shared" si="91"/>
        <v/>
      </c>
      <c r="S1444" s="48" t="str">
        <f t="shared" si="92"/>
        <v/>
      </c>
    </row>
    <row r="1445" spans="5:19" x14ac:dyDescent="0.35">
      <c r="E1445" s="30" t="s">
        <v>42</v>
      </c>
      <c r="F1445" s="46"/>
      <c r="G1445" s="46"/>
      <c r="H1445" s="46"/>
      <c r="I1445" s="46"/>
      <c r="J1445" s="46"/>
      <c r="K1445" s="46"/>
      <c r="L1445" s="41" t="str">
        <f t="shared" ca="1" si="89"/>
        <v/>
      </c>
      <c r="M1445" s="47" t="str">
        <f t="shared" ca="1" si="90"/>
        <v/>
      </c>
      <c r="R1445" s="48" t="str">
        <f t="shared" si="91"/>
        <v/>
      </c>
      <c r="S1445" s="48" t="str">
        <f t="shared" si="92"/>
        <v/>
      </c>
    </row>
    <row r="1446" spans="5:19" x14ac:dyDescent="0.35">
      <c r="E1446" s="30" t="s">
        <v>42</v>
      </c>
      <c r="F1446" s="46"/>
      <c r="G1446" s="46"/>
      <c r="H1446" s="46"/>
      <c r="I1446" s="46"/>
      <c r="J1446" s="46"/>
      <c r="K1446" s="46"/>
      <c r="L1446" s="41" t="str">
        <f t="shared" ca="1" si="89"/>
        <v/>
      </c>
      <c r="M1446" s="47" t="str">
        <f t="shared" ca="1" si="90"/>
        <v/>
      </c>
      <c r="R1446" s="48" t="str">
        <f t="shared" si="91"/>
        <v/>
      </c>
      <c r="S1446" s="48" t="str">
        <f t="shared" si="92"/>
        <v/>
      </c>
    </row>
    <row r="1447" spans="5:19" x14ac:dyDescent="0.35">
      <c r="E1447" s="30" t="s">
        <v>42</v>
      </c>
      <c r="F1447" s="46"/>
      <c r="G1447" s="46"/>
      <c r="H1447" s="46"/>
      <c r="I1447" s="46"/>
      <c r="J1447" s="46"/>
      <c r="K1447" s="46"/>
      <c r="L1447" s="41" t="str">
        <f t="shared" ca="1" si="89"/>
        <v/>
      </c>
      <c r="M1447" s="47" t="str">
        <f t="shared" ca="1" si="90"/>
        <v/>
      </c>
      <c r="R1447" s="48" t="str">
        <f t="shared" si="91"/>
        <v/>
      </c>
      <c r="S1447" s="48" t="str">
        <f t="shared" si="92"/>
        <v/>
      </c>
    </row>
    <row r="1448" spans="5:19" x14ac:dyDescent="0.35">
      <c r="E1448" s="30" t="s">
        <v>42</v>
      </c>
      <c r="F1448" s="46"/>
      <c r="G1448" s="46"/>
      <c r="H1448" s="46"/>
      <c r="I1448" s="46"/>
      <c r="J1448" s="46"/>
      <c r="K1448" s="46"/>
      <c r="L1448" s="41" t="str">
        <f t="shared" ca="1" si="89"/>
        <v/>
      </c>
      <c r="M1448" s="47" t="str">
        <f t="shared" ca="1" si="90"/>
        <v/>
      </c>
      <c r="R1448" s="48" t="str">
        <f t="shared" si="91"/>
        <v/>
      </c>
      <c r="S1448" s="48" t="str">
        <f t="shared" si="92"/>
        <v/>
      </c>
    </row>
    <row r="1449" spans="5:19" x14ac:dyDescent="0.35">
      <c r="E1449" s="30" t="s">
        <v>42</v>
      </c>
      <c r="F1449" s="46"/>
      <c r="G1449" s="46"/>
      <c r="H1449" s="46"/>
      <c r="I1449" s="46"/>
      <c r="J1449" s="46"/>
      <c r="K1449" s="46"/>
      <c r="L1449" s="41" t="str">
        <f t="shared" ca="1" si="89"/>
        <v/>
      </c>
      <c r="M1449" s="47" t="str">
        <f t="shared" ca="1" si="90"/>
        <v/>
      </c>
      <c r="R1449" s="48" t="str">
        <f t="shared" si="91"/>
        <v/>
      </c>
      <c r="S1449" s="48" t="str">
        <f t="shared" si="92"/>
        <v/>
      </c>
    </row>
    <row r="1450" spans="5:19" x14ac:dyDescent="0.35">
      <c r="E1450" s="30" t="s">
        <v>42</v>
      </c>
      <c r="F1450" s="46"/>
      <c r="G1450" s="46"/>
      <c r="H1450" s="46"/>
      <c r="I1450" s="46"/>
      <c r="J1450" s="46"/>
      <c r="K1450" s="46"/>
      <c r="L1450" s="41" t="str">
        <f t="shared" ca="1" si="89"/>
        <v/>
      </c>
      <c r="M1450" s="47" t="str">
        <f t="shared" ca="1" si="90"/>
        <v/>
      </c>
      <c r="R1450" s="48" t="str">
        <f t="shared" si="91"/>
        <v/>
      </c>
      <c r="S1450" s="48" t="str">
        <f t="shared" si="92"/>
        <v/>
      </c>
    </row>
    <row r="1451" spans="5:19" x14ac:dyDescent="0.35">
      <c r="E1451" s="30" t="s">
        <v>42</v>
      </c>
      <c r="F1451" s="46"/>
      <c r="G1451" s="46"/>
      <c r="H1451" s="46"/>
      <c r="I1451" s="46"/>
      <c r="J1451" s="46"/>
      <c r="K1451" s="46"/>
      <c r="L1451" s="41" t="str">
        <f t="shared" ca="1" si="89"/>
        <v/>
      </c>
      <c r="M1451" s="47" t="str">
        <f t="shared" ca="1" si="90"/>
        <v/>
      </c>
      <c r="R1451" s="48" t="str">
        <f t="shared" si="91"/>
        <v/>
      </c>
      <c r="S1451" s="48" t="str">
        <f t="shared" si="92"/>
        <v/>
      </c>
    </row>
    <row r="1452" spans="5:19" x14ac:dyDescent="0.35">
      <c r="E1452" s="30" t="s">
        <v>42</v>
      </c>
      <c r="F1452" s="46"/>
      <c r="G1452" s="46"/>
      <c r="H1452" s="46"/>
      <c r="I1452" s="46"/>
      <c r="J1452" s="46"/>
      <c r="K1452" s="46"/>
      <c r="L1452" s="41" t="str">
        <f t="shared" ca="1" si="89"/>
        <v/>
      </c>
      <c r="M1452" s="47" t="str">
        <f t="shared" ca="1" si="90"/>
        <v/>
      </c>
      <c r="R1452" s="48" t="str">
        <f t="shared" si="91"/>
        <v/>
      </c>
      <c r="S1452" s="48" t="str">
        <f t="shared" si="92"/>
        <v/>
      </c>
    </row>
    <row r="1453" spans="5:19" x14ac:dyDescent="0.35">
      <c r="E1453" s="30" t="s">
        <v>42</v>
      </c>
      <c r="F1453" s="46"/>
      <c r="G1453" s="46"/>
      <c r="H1453" s="46"/>
      <c r="I1453" s="46"/>
      <c r="J1453" s="46"/>
      <c r="K1453" s="46"/>
      <c r="L1453" s="41" t="str">
        <f t="shared" ca="1" si="89"/>
        <v/>
      </c>
      <c r="M1453" s="47" t="str">
        <f t="shared" ca="1" si="90"/>
        <v/>
      </c>
      <c r="R1453" s="48" t="str">
        <f t="shared" si="91"/>
        <v/>
      </c>
      <c r="S1453" s="48" t="str">
        <f t="shared" si="92"/>
        <v/>
      </c>
    </row>
    <row r="1454" spans="5:19" x14ac:dyDescent="0.35">
      <c r="E1454" s="30" t="s">
        <v>42</v>
      </c>
      <c r="F1454" s="46"/>
      <c r="G1454" s="46"/>
      <c r="H1454" s="46"/>
      <c r="I1454" s="46"/>
      <c r="J1454" s="46"/>
      <c r="K1454" s="46"/>
      <c r="L1454" s="41" t="str">
        <f t="shared" ca="1" si="89"/>
        <v/>
      </c>
      <c r="M1454" s="47" t="str">
        <f t="shared" ca="1" si="90"/>
        <v/>
      </c>
      <c r="R1454" s="48" t="str">
        <f t="shared" si="91"/>
        <v/>
      </c>
      <c r="S1454" s="48" t="str">
        <f t="shared" si="92"/>
        <v/>
      </c>
    </row>
    <row r="1455" spans="5:19" x14ac:dyDescent="0.35">
      <c r="E1455" s="30" t="s">
        <v>42</v>
      </c>
      <c r="F1455" s="46"/>
      <c r="G1455" s="46"/>
      <c r="H1455" s="46"/>
      <c r="I1455" s="46"/>
      <c r="J1455" s="46"/>
      <c r="K1455" s="46"/>
      <c r="L1455" s="41" t="str">
        <f t="shared" ca="1" si="89"/>
        <v/>
      </c>
      <c r="M1455" s="47" t="str">
        <f t="shared" ca="1" si="90"/>
        <v/>
      </c>
      <c r="R1455" s="48" t="str">
        <f t="shared" si="91"/>
        <v/>
      </c>
      <c r="S1455" s="48" t="str">
        <f t="shared" si="92"/>
        <v/>
      </c>
    </row>
    <row r="1456" spans="5:19" x14ac:dyDescent="0.35">
      <c r="E1456" s="30" t="s">
        <v>42</v>
      </c>
      <c r="F1456" s="46"/>
      <c r="G1456" s="46"/>
      <c r="H1456" s="46"/>
      <c r="I1456" s="46"/>
      <c r="J1456" s="46"/>
      <c r="K1456" s="46"/>
      <c r="L1456" s="41" t="str">
        <f t="shared" ca="1" si="89"/>
        <v/>
      </c>
      <c r="M1456" s="47" t="str">
        <f t="shared" ca="1" si="90"/>
        <v/>
      </c>
      <c r="R1456" s="48" t="str">
        <f t="shared" si="91"/>
        <v/>
      </c>
      <c r="S1456" s="48" t="str">
        <f t="shared" si="92"/>
        <v/>
      </c>
    </row>
    <row r="1457" spans="5:19" x14ac:dyDescent="0.35">
      <c r="E1457" s="30" t="s">
        <v>42</v>
      </c>
      <c r="F1457" s="46"/>
      <c r="G1457" s="46"/>
      <c r="H1457" s="46"/>
      <c r="I1457" s="46"/>
      <c r="J1457" s="46"/>
      <c r="K1457" s="46"/>
      <c r="L1457" s="41" t="str">
        <f t="shared" ca="1" si="89"/>
        <v/>
      </c>
      <c r="M1457" s="47" t="str">
        <f t="shared" ca="1" si="90"/>
        <v/>
      </c>
      <c r="R1457" s="48" t="str">
        <f t="shared" si="91"/>
        <v/>
      </c>
      <c r="S1457" s="48" t="str">
        <f t="shared" si="92"/>
        <v/>
      </c>
    </row>
    <row r="1458" spans="5:19" x14ac:dyDescent="0.35">
      <c r="E1458" s="30" t="s">
        <v>42</v>
      </c>
      <c r="F1458" s="46"/>
      <c r="G1458" s="46"/>
      <c r="H1458" s="46"/>
      <c r="I1458" s="46"/>
      <c r="J1458" s="46"/>
      <c r="K1458" s="46"/>
      <c r="L1458" s="41" t="str">
        <f t="shared" ca="1" si="89"/>
        <v/>
      </c>
      <c r="M1458" s="47" t="str">
        <f t="shared" ca="1" si="90"/>
        <v/>
      </c>
      <c r="R1458" s="48" t="str">
        <f t="shared" si="91"/>
        <v/>
      </c>
      <c r="S1458" s="48" t="str">
        <f t="shared" si="92"/>
        <v/>
      </c>
    </row>
    <row r="1459" spans="5:19" x14ac:dyDescent="0.35">
      <c r="E1459" s="30" t="s">
        <v>42</v>
      </c>
      <c r="F1459" s="46"/>
      <c r="G1459" s="46"/>
      <c r="H1459" s="46"/>
      <c r="I1459" s="46"/>
      <c r="J1459" s="46"/>
      <c r="K1459" s="46"/>
      <c r="L1459" s="41" t="str">
        <f t="shared" ca="1" si="89"/>
        <v/>
      </c>
      <c r="M1459" s="47" t="str">
        <f t="shared" ca="1" si="90"/>
        <v/>
      </c>
      <c r="R1459" s="48" t="str">
        <f t="shared" si="91"/>
        <v/>
      </c>
      <c r="S1459" s="48" t="str">
        <f t="shared" si="92"/>
        <v/>
      </c>
    </row>
    <row r="1460" spans="5:19" x14ac:dyDescent="0.35">
      <c r="E1460" s="30" t="s">
        <v>42</v>
      </c>
      <c r="F1460" s="46"/>
      <c r="G1460" s="46"/>
      <c r="H1460" s="46"/>
      <c r="I1460" s="46"/>
      <c r="J1460" s="46"/>
      <c r="K1460" s="46"/>
      <c r="L1460" s="41" t="str">
        <f t="shared" ca="1" si="89"/>
        <v/>
      </c>
      <c r="M1460" s="47" t="str">
        <f t="shared" ca="1" si="90"/>
        <v/>
      </c>
      <c r="R1460" s="48" t="str">
        <f t="shared" si="91"/>
        <v/>
      </c>
      <c r="S1460" s="48" t="str">
        <f t="shared" si="92"/>
        <v/>
      </c>
    </row>
    <row r="1461" spans="5:19" x14ac:dyDescent="0.35">
      <c r="E1461" s="30" t="s">
        <v>42</v>
      </c>
      <c r="F1461" s="46"/>
      <c r="G1461" s="46"/>
      <c r="H1461" s="46"/>
      <c r="I1461" s="46"/>
      <c r="J1461" s="46"/>
      <c r="K1461" s="46"/>
      <c r="L1461" s="41" t="str">
        <f t="shared" ca="1" si="89"/>
        <v/>
      </c>
      <c r="M1461" s="47" t="str">
        <f t="shared" ca="1" si="90"/>
        <v/>
      </c>
      <c r="R1461" s="48" t="str">
        <f t="shared" si="91"/>
        <v/>
      </c>
      <c r="S1461" s="48" t="str">
        <f t="shared" si="92"/>
        <v/>
      </c>
    </row>
    <row r="1462" spans="5:19" x14ac:dyDescent="0.35">
      <c r="E1462" s="30" t="s">
        <v>42</v>
      </c>
      <c r="F1462" s="46"/>
      <c r="G1462" s="46"/>
      <c r="H1462" s="46"/>
      <c r="I1462" s="46"/>
      <c r="J1462" s="46"/>
      <c r="K1462" s="46"/>
      <c r="L1462" s="41" t="str">
        <f t="shared" ca="1" si="89"/>
        <v/>
      </c>
      <c r="M1462" s="47" t="str">
        <f t="shared" ca="1" si="90"/>
        <v/>
      </c>
      <c r="R1462" s="48" t="str">
        <f t="shared" si="91"/>
        <v/>
      </c>
      <c r="S1462" s="48" t="str">
        <f t="shared" si="92"/>
        <v/>
      </c>
    </row>
    <row r="1463" spans="5:19" x14ac:dyDescent="0.35">
      <c r="E1463" s="30" t="s">
        <v>42</v>
      </c>
      <c r="F1463" s="46"/>
      <c r="G1463" s="46"/>
      <c r="H1463" s="46"/>
      <c r="I1463" s="46"/>
      <c r="J1463" s="46"/>
      <c r="K1463" s="46"/>
      <c r="L1463" s="41" t="str">
        <f t="shared" ca="1" si="89"/>
        <v/>
      </c>
      <c r="M1463" s="47" t="str">
        <f t="shared" ca="1" si="90"/>
        <v/>
      </c>
      <c r="R1463" s="48" t="str">
        <f t="shared" si="91"/>
        <v/>
      </c>
      <c r="S1463" s="48" t="str">
        <f t="shared" si="92"/>
        <v/>
      </c>
    </row>
    <row r="1464" spans="5:19" x14ac:dyDescent="0.35">
      <c r="E1464" s="30" t="s">
        <v>42</v>
      </c>
      <c r="F1464" s="46"/>
      <c r="G1464" s="46"/>
      <c r="H1464" s="46"/>
      <c r="I1464" s="46"/>
      <c r="J1464" s="46"/>
      <c r="K1464" s="46"/>
      <c r="L1464" s="41" t="str">
        <f t="shared" ca="1" si="89"/>
        <v/>
      </c>
      <c r="M1464" s="47" t="str">
        <f t="shared" ca="1" si="90"/>
        <v/>
      </c>
      <c r="R1464" s="48" t="str">
        <f t="shared" si="91"/>
        <v/>
      </c>
      <c r="S1464" s="48" t="str">
        <f t="shared" si="92"/>
        <v/>
      </c>
    </row>
    <row r="1465" spans="5:19" x14ac:dyDescent="0.35">
      <c r="E1465" s="30" t="s">
        <v>42</v>
      </c>
      <c r="F1465" s="46"/>
      <c r="G1465" s="46"/>
      <c r="H1465" s="46"/>
      <c r="I1465" s="46"/>
      <c r="J1465" s="46"/>
      <c r="K1465" s="46"/>
      <c r="L1465" s="41" t="str">
        <f t="shared" ca="1" si="89"/>
        <v/>
      </c>
      <c r="M1465" s="47" t="str">
        <f t="shared" ca="1" si="90"/>
        <v/>
      </c>
      <c r="R1465" s="48" t="str">
        <f t="shared" si="91"/>
        <v/>
      </c>
      <c r="S1465" s="48" t="str">
        <f t="shared" si="92"/>
        <v/>
      </c>
    </row>
    <row r="1466" spans="5:19" x14ac:dyDescent="0.35">
      <c r="E1466" s="30" t="s">
        <v>42</v>
      </c>
      <c r="F1466" s="46"/>
      <c r="G1466" s="46"/>
      <c r="H1466" s="46"/>
      <c r="I1466" s="46"/>
      <c r="J1466" s="46"/>
      <c r="K1466" s="46"/>
      <c r="L1466" s="41" t="str">
        <f t="shared" ca="1" si="89"/>
        <v/>
      </c>
      <c r="M1466" s="47" t="str">
        <f t="shared" ca="1" si="90"/>
        <v/>
      </c>
      <c r="R1466" s="48" t="str">
        <f t="shared" si="91"/>
        <v/>
      </c>
      <c r="S1466" s="48" t="str">
        <f t="shared" si="92"/>
        <v/>
      </c>
    </row>
    <row r="1467" spans="5:19" x14ac:dyDescent="0.35">
      <c r="E1467" s="30" t="s">
        <v>42</v>
      </c>
      <c r="F1467" s="46"/>
      <c r="G1467" s="46"/>
      <c r="H1467" s="46"/>
      <c r="I1467" s="46"/>
      <c r="J1467" s="46"/>
      <c r="K1467" s="46"/>
      <c r="L1467" s="41" t="str">
        <f t="shared" ca="1" si="89"/>
        <v/>
      </c>
      <c r="M1467" s="47" t="str">
        <f t="shared" ca="1" si="90"/>
        <v/>
      </c>
      <c r="R1467" s="48" t="str">
        <f t="shared" si="91"/>
        <v/>
      </c>
      <c r="S1467" s="48" t="str">
        <f t="shared" si="92"/>
        <v/>
      </c>
    </row>
    <row r="1468" spans="5:19" x14ac:dyDescent="0.35">
      <c r="E1468" s="30" t="s">
        <v>42</v>
      </c>
      <c r="F1468" s="46"/>
      <c r="G1468" s="46"/>
      <c r="H1468" s="46"/>
      <c r="I1468" s="46"/>
      <c r="J1468" s="46"/>
      <c r="K1468" s="46"/>
      <c r="L1468" s="41" t="str">
        <f t="shared" ca="1" si="89"/>
        <v/>
      </c>
      <c r="M1468" s="47" t="str">
        <f t="shared" ca="1" si="90"/>
        <v/>
      </c>
      <c r="R1468" s="48" t="str">
        <f t="shared" si="91"/>
        <v/>
      </c>
      <c r="S1468" s="48" t="str">
        <f t="shared" si="92"/>
        <v/>
      </c>
    </row>
    <row r="1469" spans="5:19" x14ac:dyDescent="0.35">
      <c r="E1469" s="30" t="s">
        <v>42</v>
      </c>
      <c r="F1469" s="46"/>
      <c r="G1469" s="46"/>
      <c r="H1469" s="46"/>
      <c r="I1469" s="46"/>
      <c r="J1469" s="46"/>
      <c r="K1469" s="46"/>
      <c r="L1469" s="41" t="str">
        <f t="shared" ca="1" si="89"/>
        <v/>
      </c>
      <c r="M1469" s="47" t="str">
        <f t="shared" ca="1" si="90"/>
        <v/>
      </c>
      <c r="R1469" s="48" t="str">
        <f t="shared" si="91"/>
        <v/>
      </c>
      <c r="S1469" s="48" t="str">
        <f t="shared" si="92"/>
        <v/>
      </c>
    </row>
    <row r="1470" spans="5:19" x14ac:dyDescent="0.35">
      <c r="E1470" s="30" t="s">
        <v>42</v>
      </c>
      <c r="F1470" s="46"/>
      <c r="G1470" s="46"/>
      <c r="H1470" s="46"/>
      <c r="I1470" s="46"/>
      <c r="J1470" s="46"/>
      <c r="K1470" s="46"/>
      <c r="L1470" s="41" t="str">
        <f t="shared" ca="1" si="89"/>
        <v/>
      </c>
      <c r="M1470" s="47" t="str">
        <f t="shared" ca="1" si="90"/>
        <v/>
      </c>
      <c r="R1470" s="48" t="str">
        <f t="shared" si="91"/>
        <v/>
      </c>
      <c r="S1470" s="48" t="str">
        <f t="shared" si="92"/>
        <v/>
      </c>
    </row>
    <row r="1471" spans="5:19" x14ac:dyDescent="0.35">
      <c r="E1471" s="30" t="s">
        <v>42</v>
      </c>
      <c r="F1471" s="46"/>
      <c r="G1471" s="46"/>
      <c r="H1471" s="46"/>
      <c r="I1471" s="46"/>
      <c r="J1471" s="46"/>
      <c r="K1471" s="46"/>
      <c r="L1471" s="41" t="str">
        <f t="shared" ca="1" si="89"/>
        <v/>
      </c>
      <c r="M1471" s="47" t="str">
        <f t="shared" ca="1" si="90"/>
        <v/>
      </c>
      <c r="R1471" s="48" t="str">
        <f t="shared" si="91"/>
        <v/>
      </c>
      <c r="S1471" s="48" t="str">
        <f t="shared" si="92"/>
        <v/>
      </c>
    </row>
    <row r="1472" spans="5:19" x14ac:dyDescent="0.35">
      <c r="E1472" s="30" t="s">
        <v>42</v>
      </c>
      <c r="F1472" s="46"/>
      <c r="G1472" s="46"/>
      <c r="H1472" s="46"/>
      <c r="I1472" s="46"/>
      <c r="J1472" s="46"/>
      <c r="K1472" s="46"/>
      <c r="L1472" s="41" t="str">
        <f t="shared" ca="1" si="89"/>
        <v/>
      </c>
      <c r="M1472" s="47" t="str">
        <f t="shared" ca="1" si="90"/>
        <v/>
      </c>
      <c r="R1472" s="48" t="str">
        <f t="shared" si="91"/>
        <v/>
      </c>
      <c r="S1472" s="48" t="str">
        <f t="shared" si="92"/>
        <v/>
      </c>
    </row>
    <row r="1473" spans="5:19" x14ac:dyDescent="0.35">
      <c r="E1473" s="30" t="s">
        <v>42</v>
      </c>
      <c r="F1473" s="46"/>
      <c r="G1473" s="46"/>
      <c r="H1473" s="46"/>
      <c r="I1473" s="46"/>
      <c r="J1473" s="46"/>
      <c r="K1473" s="46"/>
      <c r="L1473" s="41" t="str">
        <f t="shared" ca="1" si="89"/>
        <v/>
      </c>
      <c r="M1473" s="47" t="str">
        <f t="shared" ca="1" si="90"/>
        <v/>
      </c>
      <c r="R1473" s="48" t="str">
        <f t="shared" si="91"/>
        <v/>
      </c>
      <c r="S1473" s="48" t="str">
        <f t="shared" si="92"/>
        <v/>
      </c>
    </row>
    <row r="1474" spans="5:19" x14ac:dyDescent="0.35">
      <c r="E1474" s="30" t="s">
        <v>42</v>
      </c>
      <c r="F1474" s="46"/>
      <c r="G1474" s="46"/>
      <c r="H1474" s="46"/>
      <c r="I1474" s="46"/>
      <c r="J1474" s="46"/>
      <c r="K1474" s="46"/>
      <c r="L1474" s="41" t="str">
        <f t="shared" ca="1" si="89"/>
        <v/>
      </c>
      <c r="M1474" s="47" t="str">
        <f t="shared" ca="1" si="90"/>
        <v/>
      </c>
      <c r="R1474" s="48" t="str">
        <f t="shared" si="91"/>
        <v/>
      </c>
      <c r="S1474" s="48" t="str">
        <f t="shared" si="92"/>
        <v/>
      </c>
    </row>
    <row r="1475" spans="5:19" x14ac:dyDescent="0.35">
      <c r="E1475" s="30" t="s">
        <v>42</v>
      </c>
      <c r="F1475" s="46"/>
      <c r="G1475" s="46"/>
      <c r="H1475" s="46"/>
      <c r="I1475" s="46"/>
      <c r="J1475" s="46"/>
      <c r="K1475" s="46"/>
      <c r="L1475" s="41" t="str">
        <f t="shared" ca="1" si="89"/>
        <v/>
      </c>
      <c r="M1475" s="47" t="str">
        <f t="shared" ca="1" si="90"/>
        <v/>
      </c>
      <c r="R1475" s="48" t="str">
        <f t="shared" si="91"/>
        <v/>
      </c>
      <c r="S1475" s="48" t="str">
        <f t="shared" si="92"/>
        <v/>
      </c>
    </row>
    <row r="1476" spans="5:19" x14ac:dyDescent="0.35">
      <c r="E1476" s="30" t="s">
        <v>42</v>
      </c>
      <c r="F1476" s="46"/>
      <c r="G1476" s="46"/>
      <c r="H1476" s="46"/>
      <c r="I1476" s="46"/>
      <c r="J1476" s="46"/>
      <c r="K1476" s="46"/>
      <c r="L1476" s="41" t="str">
        <f t="shared" ca="1" si="89"/>
        <v/>
      </c>
      <c r="M1476" s="47" t="str">
        <f t="shared" ca="1" si="90"/>
        <v/>
      </c>
      <c r="R1476" s="48" t="str">
        <f t="shared" si="91"/>
        <v/>
      </c>
      <c r="S1476" s="48" t="str">
        <f t="shared" si="92"/>
        <v/>
      </c>
    </row>
    <row r="1477" spans="5:19" x14ac:dyDescent="0.35">
      <c r="E1477" s="30" t="s">
        <v>42</v>
      </c>
      <c r="F1477" s="46"/>
      <c r="G1477" s="46"/>
      <c r="H1477" s="46"/>
      <c r="I1477" s="46"/>
      <c r="J1477" s="46"/>
      <c r="K1477" s="46"/>
      <c r="L1477" s="41" t="str">
        <f t="shared" ca="1" si="89"/>
        <v/>
      </c>
      <c r="M1477" s="47" t="str">
        <f t="shared" ca="1" si="90"/>
        <v/>
      </c>
      <c r="R1477" s="48" t="str">
        <f t="shared" si="91"/>
        <v/>
      </c>
      <c r="S1477" s="48" t="str">
        <f t="shared" si="92"/>
        <v/>
      </c>
    </row>
    <row r="1478" spans="5:19" x14ac:dyDescent="0.35">
      <c r="E1478" s="30" t="s">
        <v>42</v>
      </c>
      <c r="F1478" s="46"/>
      <c r="G1478" s="46"/>
      <c r="H1478" s="46"/>
      <c r="I1478" s="46"/>
      <c r="J1478" s="46"/>
      <c r="K1478" s="46"/>
      <c r="L1478" s="41" t="str">
        <f t="shared" ref="L1478:L1500" ca="1" si="93">IF(AND(C1478&lt;&gt;"",C1478&lt;&gt;R1478),TODAY(),IF(C1478="","",L1478))</f>
        <v/>
      </c>
      <c r="M1478" s="47" t="str">
        <f t="shared" ref="M1478:M1500" ca="1" si="94">IF(AND(C1478&lt;&gt;"",C1478&lt;&gt;S1478),NOW(),IF(C1478="","",M1478))</f>
        <v/>
      </c>
      <c r="R1478" s="48" t="str">
        <f t="shared" ref="R1478:R1500" si="95">IF(C1478="","",IF(OR(L1478="",AND(ISNUMBER(R1478),C1478=R1478)),R1478,C1478))</f>
        <v/>
      </c>
      <c r="S1478" s="48" t="str">
        <f t="shared" ref="S1478:S1500" si="96">IF(C1478="","",IF(OR(M1478="",AND(ISNUMBER(S1478),C1478=S1478)),S1478,C1478))</f>
        <v/>
      </c>
    </row>
    <row r="1479" spans="5:19" x14ac:dyDescent="0.35">
      <c r="E1479" s="30" t="s">
        <v>42</v>
      </c>
      <c r="F1479" s="46"/>
      <c r="G1479" s="46"/>
      <c r="H1479" s="46"/>
      <c r="I1479" s="46"/>
      <c r="J1479" s="46"/>
      <c r="K1479" s="46"/>
      <c r="L1479" s="41" t="str">
        <f t="shared" ca="1" si="93"/>
        <v/>
      </c>
      <c r="M1479" s="47" t="str">
        <f t="shared" ca="1" si="94"/>
        <v/>
      </c>
      <c r="R1479" s="48" t="str">
        <f t="shared" si="95"/>
        <v/>
      </c>
      <c r="S1479" s="48" t="str">
        <f t="shared" si="96"/>
        <v/>
      </c>
    </row>
    <row r="1480" spans="5:19" x14ac:dyDescent="0.35">
      <c r="E1480" s="30" t="s">
        <v>42</v>
      </c>
      <c r="F1480" s="46"/>
      <c r="G1480" s="46"/>
      <c r="H1480" s="46"/>
      <c r="I1480" s="46"/>
      <c r="J1480" s="46"/>
      <c r="K1480" s="46"/>
      <c r="L1480" s="41" t="str">
        <f t="shared" ca="1" si="93"/>
        <v/>
      </c>
      <c r="M1480" s="47" t="str">
        <f t="shared" ca="1" si="94"/>
        <v/>
      </c>
      <c r="R1480" s="48" t="str">
        <f t="shared" si="95"/>
        <v/>
      </c>
      <c r="S1480" s="48" t="str">
        <f t="shared" si="96"/>
        <v/>
      </c>
    </row>
    <row r="1481" spans="5:19" x14ac:dyDescent="0.35">
      <c r="E1481" s="30" t="s">
        <v>42</v>
      </c>
      <c r="F1481" s="46"/>
      <c r="G1481" s="46"/>
      <c r="H1481" s="46"/>
      <c r="I1481" s="46"/>
      <c r="J1481" s="46"/>
      <c r="K1481" s="46"/>
      <c r="L1481" s="41" t="str">
        <f t="shared" ca="1" si="93"/>
        <v/>
      </c>
      <c r="M1481" s="47" t="str">
        <f t="shared" ca="1" si="94"/>
        <v/>
      </c>
      <c r="R1481" s="48" t="str">
        <f t="shared" si="95"/>
        <v/>
      </c>
      <c r="S1481" s="48" t="str">
        <f t="shared" si="96"/>
        <v/>
      </c>
    </row>
    <row r="1482" spans="5:19" x14ac:dyDescent="0.35">
      <c r="E1482" s="30" t="s">
        <v>42</v>
      </c>
      <c r="F1482" s="46"/>
      <c r="G1482" s="46"/>
      <c r="H1482" s="46"/>
      <c r="I1482" s="46"/>
      <c r="J1482" s="46"/>
      <c r="K1482" s="46"/>
      <c r="L1482" s="41" t="str">
        <f t="shared" ca="1" si="93"/>
        <v/>
      </c>
      <c r="M1482" s="47" t="str">
        <f t="shared" ca="1" si="94"/>
        <v/>
      </c>
      <c r="R1482" s="48" t="str">
        <f t="shared" si="95"/>
        <v/>
      </c>
      <c r="S1482" s="48" t="str">
        <f t="shared" si="96"/>
        <v/>
      </c>
    </row>
    <row r="1483" spans="5:19" x14ac:dyDescent="0.35">
      <c r="E1483" s="30" t="s">
        <v>42</v>
      </c>
      <c r="F1483" s="46"/>
      <c r="G1483" s="46"/>
      <c r="H1483" s="46"/>
      <c r="I1483" s="46"/>
      <c r="J1483" s="46"/>
      <c r="K1483" s="46"/>
      <c r="L1483" s="41" t="str">
        <f t="shared" ca="1" si="93"/>
        <v/>
      </c>
      <c r="M1483" s="47" t="str">
        <f t="shared" ca="1" si="94"/>
        <v/>
      </c>
      <c r="R1483" s="48" t="str">
        <f t="shared" si="95"/>
        <v/>
      </c>
      <c r="S1483" s="48" t="str">
        <f t="shared" si="96"/>
        <v/>
      </c>
    </row>
    <row r="1484" spans="5:19" x14ac:dyDescent="0.35">
      <c r="E1484" s="30" t="s">
        <v>42</v>
      </c>
      <c r="F1484" s="46"/>
      <c r="G1484" s="46"/>
      <c r="H1484" s="46"/>
      <c r="I1484" s="46"/>
      <c r="J1484" s="46"/>
      <c r="K1484" s="46"/>
      <c r="L1484" s="41" t="str">
        <f t="shared" ca="1" si="93"/>
        <v/>
      </c>
      <c r="M1484" s="47" t="str">
        <f t="shared" ca="1" si="94"/>
        <v/>
      </c>
      <c r="R1484" s="48" t="str">
        <f t="shared" si="95"/>
        <v/>
      </c>
      <c r="S1484" s="48" t="str">
        <f t="shared" si="96"/>
        <v/>
      </c>
    </row>
    <row r="1485" spans="5:19" x14ac:dyDescent="0.35">
      <c r="E1485" s="30" t="s">
        <v>42</v>
      </c>
      <c r="F1485" s="46"/>
      <c r="G1485" s="46"/>
      <c r="H1485" s="46"/>
      <c r="I1485" s="46"/>
      <c r="J1485" s="46"/>
      <c r="K1485" s="46"/>
      <c r="L1485" s="41" t="str">
        <f t="shared" ca="1" si="93"/>
        <v/>
      </c>
      <c r="M1485" s="47" t="str">
        <f t="shared" ca="1" si="94"/>
        <v/>
      </c>
      <c r="R1485" s="48" t="str">
        <f t="shared" si="95"/>
        <v/>
      </c>
      <c r="S1485" s="48" t="str">
        <f t="shared" si="96"/>
        <v/>
      </c>
    </row>
    <row r="1486" spans="5:19" x14ac:dyDescent="0.35">
      <c r="E1486" s="30" t="s">
        <v>42</v>
      </c>
      <c r="F1486" s="46"/>
      <c r="G1486" s="46"/>
      <c r="H1486" s="46"/>
      <c r="I1486" s="46"/>
      <c r="J1486" s="46"/>
      <c r="K1486" s="46"/>
      <c r="L1486" s="41" t="str">
        <f t="shared" ca="1" si="93"/>
        <v/>
      </c>
      <c r="M1486" s="47" t="str">
        <f t="shared" ca="1" si="94"/>
        <v/>
      </c>
      <c r="R1486" s="48" t="str">
        <f t="shared" si="95"/>
        <v/>
      </c>
      <c r="S1486" s="48" t="str">
        <f t="shared" si="96"/>
        <v/>
      </c>
    </row>
    <row r="1487" spans="5:19" x14ac:dyDescent="0.35">
      <c r="E1487" s="30" t="s">
        <v>42</v>
      </c>
      <c r="F1487" s="46"/>
      <c r="G1487" s="46"/>
      <c r="H1487" s="46"/>
      <c r="I1487" s="46"/>
      <c r="J1487" s="46"/>
      <c r="K1487" s="46"/>
      <c r="L1487" s="41" t="str">
        <f t="shared" ca="1" si="93"/>
        <v/>
      </c>
      <c r="M1487" s="47" t="str">
        <f t="shared" ca="1" si="94"/>
        <v/>
      </c>
      <c r="R1487" s="48" t="str">
        <f t="shared" si="95"/>
        <v/>
      </c>
      <c r="S1487" s="48" t="str">
        <f t="shared" si="96"/>
        <v/>
      </c>
    </row>
    <row r="1488" spans="5:19" x14ac:dyDescent="0.35">
      <c r="E1488" s="30" t="s">
        <v>42</v>
      </c>
      <c r="F1488" s="46"/>
      <c r="G1488" s="46"/>
      <c r="H1488" s="46"/>
      <c r="I1488" s="46"/>
      <c r="J1488" s="46"/>
      <c r="K1488" s="46"/>
      <c r="L1488" s="41" t="str">
        <f t="shared" ca="1" si="93"/>
        <v/>
      </c>
      <c r="M1488" s="47" t="str">
        <f t="shared" ca="1" si="94"/>
        <v/>
      </c>
      <c r="R1488" s="48" t="str">
        <f t="shared" si="95"/>
        <v/>
      </c>
      <c r="S1488" s="48" t="str">
        <f t="shared" si="96"/>
        <v/>
      </c>
    </row>
    <row r="1489" spans="5:19" x14ac:dyDescent="0.35">
      <c r="E1489" s="30" t="s">
        <v>42</v>
      </c>
      <c r="F1489" s="46"/>
      <c r="G1489" s="46"/>
      <c r="H1489" s="46"/>
      <c r="I1489" s="46"/>
      <c r="J1489" s="46"/>
      <c r="K1489" s="46"/>
      <c r="L1489" s="41" t="str">
        <f t="shared" ca="1" si="93"/>
        <v/>
      </c>
      <c r="M1489" s="47" t="str">
        <f t="shared" ca="1" si="94"/>
        <v/>
      </c>
      <c r="R1489" s="48" t="str">
        <f t="shared" si="95"/>
        <v/>
      </c>
      <c r="S1489" s="48" t="str">
        <f t="shared" si="96"/>
        <v/>
      </c>
    </row>
    <row r="1490" spans="5:19" x14ac:dyDescent="0.35">
      <c r="E1490" s="30" t="s">
        <v>42</v>
      </c>
      <c r="F1490" s="46"/>
      <c r="G1490" s="46"/>
      <c r="H1490" s="46"/>
      <c r="I1490" s="46"/>
      <c r="J1490" s="46"/>
      <c r="K1490" s="46"/>
      <c r="L1490" s="41" t="str">
        <f t="shared" ca="1" si="93"/>
        <v/>
      </c>
      <c r="M1490" s="47" t="str">
        <f t="shared" ca="1" si="94"/>
        <v/>
      </c>
      <c r="R1490" s="48" t="str">
        <f t="shared" si="95"/>
        <v/>
      </c>
      <c r="S1490" s="48" t="str">
        <f t="shared" si="96"/>
        <v/>
      </c>
    </row>
    <row r="1491" spans="5:19" x14ac:dyDescent="0.35">
      <c r="E1491" s="30" t="s">
        <v>42</v>
      </c>
      <c r="F1491" s="46"/>
      <c r="G1491" s="46"/>
      <c r="H1491" s="46"/>
      <c r="I1491" s="46"/>
      <c r="J1491" s="46"/>
      <c r="K1491" s="46"/>
      <c r="L1491" s="41" t="str">
        <f t="shared" ca="1" si="93"/>
        <v/>
      </c>
      <c r="M1491" s="47" t="str">
        <f t="shared" ca="1" si="94"/>
        <v/>
      </c>
      <c r="R1491" s="48" t="str">
        <f t="shared" si="95"/>
        <v/>
      </c>
      <c r="S1491" s="48" t="str">
        <f t="shared" si="96"/>
        <v/>
      </c>
    </row>
    <row r="1492" spans="5:19" x14ac:dyDescent="0.35">
      <c r="E1492" s="30" t="s">
        <v>42</v>
      </c>
      <c r="F1492" s="46"/>
      <c r="G1492" s="46"/>
      <c r="H1492" s="46"/>
      <c r="I1492" s="46"/>
      <c r="J1492" s="46"/>
      <c r="K1492" s="46"/>
      <c r="L1492" s="41" t="str">
        <f t="shared" ca="1" si="93"/>
        <v/>
      </c>
      <c r="M1492" s="47" t="str">
        <f t="shared" ca="1" si="94"/>
        <v/>
      </c>
      <c r="R1492" s="48" t="str">
        <f t="shared" si="95"/>
        <v/>
      </c>
      <c r="S1492" s="48" t="str">
        <f t="shared" si="96"/>
        <v/>
      </c>
    </row>
    <row r="1493" spans="5:19" x14ac:dyDescent="0.35">
      <c r="E1493" s="30" t="s">
        <v>42</v>
      </c>
      <c r="F1493" s="46"/>
      <c r="G1493" s="46"/>
      <c r="H1493" s="46"/>
      <c r="I1493" s="46"/>
      <c r="J1493" s="46"/>
      <c r="K1493" s="46"/>
      <c r="L1493" s="41" t="str">
        <f t="shared" ca="1" si="93"/>
        <v/>
      </c>
      <c r="M1493" s="47" t="str">
        <f t="shared" ca="1" si="94"/>
        <v/>
      </c>
      <c r="R1493" s="48" t="str">
        <f t="shared" si="95"/>
        <v/>
      </c>
      <c r="S1493" s="48" t="str">
        <f t="shared" si="96"/>
        <v/>
      </c>
    </row>
    <row r="1494" spans="5:19" x14ac:dyDescent="0.35">
      <c r="E1494" s="30" t="s">
        <v>42</v>
      </c>
      <c r="F1494" s="46"/>
      <c r="G1494" s="46"/>
      <c r="H1494" s="46"/>
      <c r="I1494" s="46"/>
      <c r="J1494" s="46"/>
      <c r="K1494" s="46"/>
      <c r="L1494" s="41" t="str">
        <f t="shared" ca="1" si="93"/>
        <v/>
      </c>
      <c r="M1494" s="47" t="str">
        <f t="shared" ca="1" si="94"/>
        <v/>
      </c>
      <c r="R1494" s="48" t="str">
        <f t="shared" si="95"/>
        <v/>
      </c>
      <c r="S1494" s="48" t="str">
        <f t="shared" si="96"/>
        <v/>
      </c>
    </row>
    <row r="1495" spans="5:19" x14ac:dyDescent="0.35">
      <c r="E1495" s="30" t="s">
        <v>42</v>
      </c>
      <c r="F1495" s="46"/>
      <c r="G1495" s="46"/>
      <c r="H1495" s="46"/>
      <c r="I1495" s="46"/>
      <c r="J1495" s="46"/>
      <c r="K1495" s="46"/>
      <c r="L1495" s="41" t="str">
        <f t="shared" ca="1" si="93"/>
        <v/>
      </c>
      <c r="M1495" s="47" t="str">
        <f t="shared" ca="1" si="94"/>
        <v/>
      </c>
      <c r="R1495" s="48" t="str">
        <f t="shared" si="95"/>
        <v/>
      </c>
      <c r="S1495" s="48" t="str">
        <f t="shared" si="96"/>
        <v/>
      </c>
    </row>
    <row r="1496" spans="5:19" x14ac:dyDescent="0.35">
      <c r="E1496" s="30" t="s">
        <v>42</v>
      </c>
      <c r="F1496" s="46"/>
      <c r="G1496" s="46"/>
      <c r="H1496" s="46"/>
      <c r="I1496" s="46"/>
      <c r="J1496" s="46"/>
      <c r="K1496" s="46"/>
      <c r="L1496" s="41" t="str">
        <f t="shared" ca="1" si="93"/>
        <v/>
      </c>
      <c r="M1496" s="47" t="str">
        <f t="shared" ca="1" si="94"/>
        <v/>
      </c>
      <c r="R1496" s="48" t="str">
        <f t="shared" si="95"/>
        <v/>
      </c>
      <c r="S1496" s="48" t="str">
        <f t="shared" si="96"/>
        <v/>
      </c>
    </row>
    <row r="1497" spans="5:19" x14ac:dyDescent="0.35">
      <c r="E1497" s="30" t="s">
        <v>42</v>
      </c>
      <c r="F1497" s="46"/>
      <c r="G1497" s="46"/>
      <c r="H1497" s="46"/>
      <c r="I1497" s="46"/>
      <c r="J1497" s="46"/>
      <c r="K1497" s="46"/>
      <c r="L1497" s="41" t="str">
        <f t="shared" ca="1" si="93"/>
        <v/>
      </c>
      <c r="M1497" s="47" t="str">
        <f t="shared" ca="1" si="94"/>
        <v/>
      </c>
      <c r="R1497" s="48" t="str">
        <f t="shared" si="95"/>
        <v/>
      </c>
      <c r="S1497" s="48" t="str">
        <f t="shared" si="96"/>
        <v/>
      </c>
    </row>
    <row r="1498" spans="5:19" x14ac:dyDescent="0.35">
      <c r="E1498" s="30" t="s">
        <v>42</v>
      </c>
      <c r="F1498" s="46"/>
      <c r="G1498" s="46"/>
      <c r="H1498" s="46"/>
      <c r="I1498" s="46"/>
      <c r="J1498" s="46"/>
      <c r="K1498" s="46"/>
      <c r="L1498" s="41" t="str">
        <f t="shared" ca="1" si="93"/>
        <v/>
      </c>
      <c r="M1498" s="47" t="str">
        <f t="shared" ca="1" si="94"/>
        <v/>
      </c>
      <c r="R1498" s="48" t="str">
        <f t="shared" si="95"/>
        <v/>
      </c>
      <c r="S1498" s="48" t="str">
        <f t="shared" si="96"/>
        <v/>
      </c>
    </row>
    <row r="1499" spans="5:19" x14ac:dyDescent="0.35">
      <c r="E1499" s="30" t="s">
        <v>42</v>
      </c>
      <c r="F1499" s="46"/>
      <c r="G1499" s="46"/>
      <c r="H1499" s="46"/>
      <c r="I1499" s="46"/>
      <c r="J1499" s="46"/>
      <c r="K1499" s="46"/>
      <c r="L1499" s="41" t="str">
        <f t="shared" ca="1" si="93"/>
        <v/>
      </c>
      <c r="M1499" s="47" t="str">
        <f t="shared" ca="1" si="94"/>
        <v/>
      </c>
      <c r="R1499" s="48" t="str">
        <f t="shared" si="95"/>
        <v/>
      </c>
      <c r="S1499" s="48" t="str">
        <f t="shared" si="96"/>
        <v/>
      </c>
    </row>
    <row r="1500" spans="5:19" x14ac:dyDescent="0.35">
      <c r="E1500" s="30" t="s">
        <v>42</v>
      </c>
      <c r="G1500" s="46"/>
      <c r="H1500" s="46"/>
      <c r="I1500" s="46"/>
      <c r="J1500" s="46"/>
      <c r="K1500" s="46"/>
      <c r="L1500" s="41" t="str">
        <f t="shared" ca="1" si="93"/>
        <v/>
      </c>
      <c r="M1500" s="47" t="str">
        <f t="shared" ca="1" si="94"/>
        <v/>
      </c>
      <c r="R1500" s="48" t="str">
        <f t="shared" si="95"/>
        <v/>
      </c>
      <c r="S1500" s="48" t="str">
        <f t="shared" si="96"/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E4:E25 E27:E1048576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R999"/>
  <sheetViews>
    <sheetView workbookViewId="0">
      <selection activeCell="C2" sqref="C2"/>
    </sheetView>
  </sheetViews>
  <sheetFormatPr defaultColWidth="8.81640625" defaultRowHeight="14.5" x14ac:dyDescent="0.35"/>
  <cols>
    <col min="1" max="1" width="130.26953125" style="42" customWidth="1"/>
    <col min="2" max="2" width="22.26953125" style="28" bestFit="1" customWidth="1"/>
    <col min="3" max="3" width="18.453125" style="28" bestFit="1" customWidth="1"/>
    <col min="4" max="18" width="9.1796875" style="28"/>
  </cols>
  <sheetData>
    <row r="1" spans="1:15" ht="15.5" x14ac:dyDescent="0.35">
      <c r="A1" s="43" t="s">
        <v>76</v>
      </c>
      <c r="B1" s="43" t="s">
        <v>77</v>
      </c>
      <c r="C1" s="43" t="s">
        <v>78</v>
      </c>
    </row>
    <row r="2" spans="1:15" x14ac:dyDescent="0.35">
      <c r="A2" s="42" t="str">
        <f>IF('Input Sheet'!C4="","",CONCATENATE("Sample ", 'Input Sheet'!B4, "m: ", M2, G2, "% ", "Siltstone, ", O2, 'Input Sheet'!C4, "% ", I2, " Sandstone, ", K2, J2, " FLUOR in SST. ", "TG ", 'Input Sheet'!I4, "U"))</f>
        <v>Sample 1565m: 85% Siltstone, 15% very fine Sandstone, NO FLUOR in SST. TG 5U</v>
      </c>
      <c r="B2" s="28" t="str">
        <f>IF('Input Sheet'!C4="","",CONCATENATE("Sample ", 'Input Sheet'!B4, "m: ", N2, H2, "% ", "Siltstone, ", P2, 'Input Sheet'!C4, "% ", J2, " Sandstone "))</f>
        <v xml:space="preserve">Sample 1565m: veryfine% Siltstone, 15%  Sandstone </v>
      </c>
      <c r="C2" s="28" t="str">
        <f>IF('Input Sheet'!C4="","",CONCATENATE("Sample ", 'Input Sheet'!B4, "m: ", M2,, K2, J2, " FLUOR in SST. ", "TG ", 'Input Sheet'!I4, "U"))</f>
        <v>Sample 1565m: NO FLUOR in SST. TG 5U</v>
      </c>
      <c r="G2" s="31">
        <f>IF('Input Sheet'!C4="","",100-'Input Sheet'!C4)</f>
        <v>85</v>
      </c>
      <c r="H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2" s="31" t="str">
        <f t="shared" ref="I2:I65" si="0">SUBSTITUTE(H2, "veryfine", "very fine")</f>
        <v>very fine</v>
      </c>
      <c r="J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" s="31" t="str">
        <f>IF('Input Sheet'!F4=0, "NO",CONCATENATE('Input Sheet'!F4, IF('Input Sheet'!F4&gt;0,"% ","")))</f>
        <v>NO</v>
      </c>
      <c r="L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" s="31" t="str">
        <f>CONCATENATE(L2, IF('Input Sheet'!J4="",""," siderite in "))</f>
        <v/>
      </c>
      <c r="N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" s="31" t="str">
        <f>CONCATENATE(N2, IF('Input Sheet'!K4="",""," siderite in "))</f>
        <v/>
      </c>
    </row>
    <row r="3" spans="1:15" x14ac:dyDescent="0.35">
      <c r="A3" s="42" t="str">
        <f>IF('Input Sheet'!C5="","",CONCATENATE("Sample ", 'Input Sheet'!B5, "m: ", M3, G3, "% ", "Siltstone, ", O3, 'Input Sheet'!C5, "% ", I3, " Sandstone, ", K3, J3, " FLUOR in SST. ", "TG ", 'Input Sheet'!I5, "U"))</f>
        <v>Sample 1570m: 80% Siltstone, 20% very fine Sandstone, NO FLUOR in SST. TG 7U</v>
      </c>
      <c r="B3" s="28" t="str">
        <f>IF('Input Sheet'!C5="","",CONCATENATE("Sample ", 'Input Sheet'!B5, "m: ", N3, H3, "% ", "Siltstone, ", P3, 'Input Sheet'!C5, "% ", J3, " Sandstone "))</f>
        <v xml:space="preserve">Sample 1570m: veryfine% Siltstone, 20%  Sandstone </v>
      </c>
      <c r="C3" s="28" t="str">
        <f>IF('Input Sheet'!C5="","",CONCATENATE("Sample ", 'Input Sheet'!B5, "m: ", M3,, K3, J3, " FLUOR in SST. ", "TG ", 'Input Sheet'!I5, "U"))</f>
        <v>Sample 1570m: NO FLUOR in SST. TG 7U</v>
      </c>
      <c r="D3" s="32"/>
      <c r="E3" s="33"/>
      <c r="G3" s="31">
        <f>IF('Input Sheet'!C5="","",100-'Input Sheet'!C5)</f>
        <v>80</v>
      </c>
      <c r="H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3" s="31" t="str">
        <f t="shared" si="0"/>
        <v>very fine</v>
      </c>
      <c r="J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" s="31" t="str">
        <f>IF('Input Sheet'!F5=0, "NO",CONCATENATE('Input Sheet'!F5, IF('Input Sheet'!F5&gt;0,"% ","")))</f>
        <v>NO</v>
      </c>
      <c r="L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" s="31" t="str">
        <f>CONCATENATE(L3, IF('Input Sheet'!J5="",""," siderite in "))</f>
        <v/>
      </c>
      <c r="N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" s="31" t="str">
        <f>CONCATENATE(N3, IF('Input Sheet'!K5="",""," siderite in "))</f>
        <v/>
      </c>
    </row>
    <row r="4" spans="1:15" x14ac:dyDescent="0.35">
      <c r="A4" s="42" t="str">
        <f>IF('Input Sheet'!C6="","",CONCATENATE("Sample ", 'Input Sheet'!B6, "m: ", M4, G4, "% ", "Siltstone, ", O4, 'Input Sheet'!C6, "% ", I4, " Sandstone, ", K4, J4, " FLUOR in SST. ", "TG ", 'Input Sheet'!I6, "U"))</f>
        <v>Sample 1575m: 75% Siltstone, 25% very fine Sandstone, NO FLUOR in SST. TG 8U</v>
      </c>
      <c r="B4" s="28" t="str">
        <f>IF('Input Sheet'!C6="","",CONCATENATE("Sample ", 'Input Sheet'!B6, "m: ", N4, H4, "% ", "Siltstone, ", P4, 'Input Sheet'!C6, "% ", J4, " Sandstone "))</f>
        <v xml:space="preserve">Sample 1575m: veryfine% Siltstone, 25%  Sandstone </v>
      </c>
      <c r="C4" s="28" t="str">
        <f>IF('Input Sheet'!C6="","",CONCATENATE("Sample ", 'Input Sheet'!B6, "m: ", M4,, K4, J4, " FLUOR in SST. ", "TG ", 'Input Sheet'!I6, "U"))</f>
        <v>Sample 1575m: NO FLUOR in SST. TG 8U</v>
      </c>
      <c r="D4" s="34" t="s">
        <v>16</v>
      </c>
      <c r="E4" s="35" t="s">
        <v>17</v>
      </c>
      <c r="G4" s="31">
        <f>IF('Input Sheet'!C6="","",100-'Input Sheet'!C6)</f>
        <v>75</v>
      </c>
      <c r="H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4" s="31" t="str">
        <f t="shared" si="0"/>
        <v>very fine</v>
      </c>
      <c r="J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" s="31" t="str">
        <f>IF('Input Sheet'!F6=0, "NO",CONCATENATE('Input Sheet'!F6, IF('Input Sheet'!F6&gt;0,"% ","")))</f>
        <v>NO</v>
      </c>
      <c r="L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" s="31" t="str">
        <f>CONCATENATE(L4, IF('Input Sheet'!J6="",""," siderite in "))</f>
        <v/>
      </c>
      <c r="N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" s="31" t="str">
        <f>CONCATENATE(N4, IF('Input Sheet'!K6="",""," siderite in "))</f>
        <v/>
      </c>
    </row>
    <row r="5" spans="1:15" x14ac:dyDescent="0.35">
      <c r="A5" s="42" t="str">
        <f>IF('Input Sheet'!C7="","",CONCATENATE("Sample ", 'Input Sheet'!B7, "m: ", M5, G5, "% ", "Siltstone, ", O5, 'Input Sheet'!C7, "% ", I5, " Sandstone, ", K5, J5, " FLUOR in SST. ", "TG ", 'Input Sheet'!I7, "U"))</f>
        <v>Sample 1580m: 80% Siltstone, 20% very fine Sandstone, NO FLUOR in SST. TG 5U</v>
      </c>
      <c r="B5" s="28" t="str">
        <f>IF('Input Sheet'!C7="","",CONCATENATE("Sample ", 'Input Sheet'!B7, "m: ", N5, H5, "% ", "Siltstone, ", P5, 'Input Sheet'!C7, "% ", J5, " Sandstone "))</f>
        <v xml:space="preserve">Sample 1580m: veryfine% Siltstone, 20%  Sandstone </v>
      </c>
      <c r="C5" s="28" t="str">
        <f>IF('Input Sheet'!C7="","",CONCATENATE("Sample ", 'Input Sheet'!B7, "m: ", M5,, K5, J5, " FLUOR in SST. ", "TG ", 'Input Sheet'!I7, "U"))</f>
        <v>Sample 1580m: NO FLUOR in SST. TG 5U</v>
      </c>
      <c r="D5" s="34" t="s">
        <v>20</v>
      </c>
      <c r="E5" s="35" t="s">
        <v>21</v>
      </c>
      <c r="G5" s="31">
        <f>IF('Input Sheet'!C7="","",100-'Input Sheet'!C7)</f>
        <v>80</v>
      </c>
      <c r="H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5" s="31" t="str">
        <f t="shared" si="0"/>
        <v>very fine</v>
      </c>
      <c r="J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" s="31" t="str">
        <f>IF('Input Sheet'!F7=0, "NO",CONCATENATE('Input Sheet'!F7, IF('Input Sheet'!F7&gt;0,"% ","")))</f>
        <v>NO</v>
      </c>
      <c r="L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" s="31" t="str">
        <f>CONCATENATE(L5, IF('Input Sheet'!J7="",""," siderite in "))</f>
        <v/>
      </c>
      <c r="N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" s="31" t="str">
        <f>CONCATENATE(N5, IF('Input Sheet'!K7="",""," siderite in "))</f>
        <v/>
      </c>
    </row>
    <row r="6" spans="1:15" x14ac:dyDescent="0.35">
      <c r="A6" s="42" t="str">
        <f>IF('Input Sheet'!C8="","",CONCATENATE("Sample ", 'Input Sheet'!B8, "m: ", M6, G6, "% ", "Siltstone, ", O6, 'Input Sheet'!C8, "% ", I6, " Sandstone, ", K6, J6, " FLUOR in SST. ", "TG ", 'Input Sheet'!I8, "U"))</f>
        <v>Sample 1585m: 85% Siltstone, 15% very fine Sandstone, NO FLUOR in SST. TG 5U</v>
      </c>
      <c r="B6" s="28" t="str">
        <f>IF('Input Sheet'!C8="","",CONCATENATE("Sample ", 'Input Sheet'!B8, "m: ", N6, H6, "% ", "Siltstone, ", P6, 'Input Sheet'!C8, "% ", J6, " Sandstone "))</f>
        <v xml:space="preserve">Sample 1585m: veryfine% Siltstone, 15%  Sandstone </v>
      </c>
      <c r="C6" s="28" t="str">
        <f>IF('Input Sheet'!C8="","",CONCATENATE("Sample ", 'Input Sheet'!B8, "m: ", M6,, K6, J6, " FLUOR in SST. ", "TG ", 'Input Sheet'!I8, "U"))</f>
        <v>Sample 1585m: NO FLUOR in SST. TG 5U</v>
      </c>
      <c r="D6" s="34" t="s">
        <v>22</v>
      </c>
      <c r="E6" s="35" t="s">
        <v>23</v>
      </c>
      <c r="G6" s="31">
        <f>IF('Input Sheet'!C8="","",100-'Input Sheet'!C8)</f>
        <v>85</v>
      </c>
      <c r="H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6" s="31" t="str">
        <f t="shared" si="0"/>
        <v>very fine</v>
      </c>
      <c r="J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" s="31" t="str">
        <f>IF('Input Sheet'!F8=0, "NO",CONCATENATE('Input Sheet'!F8, IF('Input Sheet'!F8&gt;0,"% ","")))</f>
        <v>NO</v>
      </c>
      <c r="L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" s="31" t="str">
        <f>CONCATENATE(L6, IF('Input Sheet'!J8="",""," siderite in "))</f>
        <v/>
      </c>
      <c r="N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" s="31" t="str">
        <f>CONCATENATE(N6, IF('Input Sheet'!K8="",""," siderite in "))</f>
        <v/>
      </c>
    </row>
    <row r="7" spans="1:15" x14ac:dyDescent="0.35">
      <c r="A7" s="42" t="str">
        <f>IF('Input Sheet'!C9="","",CONCATENATE("Sample ", 'Input Sheet'!B9, "m: ", M7, G7, "% ", "Siltstone, ", O7, 'Input Sheet'!C9, "% ", I7, " Sandstone, ", K7, J7, " FLUOR in SST. ", "TG ", 'Input Sheet'!I9, "U"))</f>
        <v>Sample 1590m: 85% Siltstone, 15% very fine Sandstone, NO FLUOR in SST. TG 8U</v>
      </c>
      <c r="B7" s="28" t="str">
        <f>IF('Input Sheet'!C9="","",CONCATENATE("Sample ", 'Input Sheet'!B9, "m: ", N7, H7, "% ", "Siltstone, ", P7, 'Input Sheet'!C9, "% ", J7, " Sandstone "))</f>
        <v xml:space="preserve">Sample 1590m: veryfine% Siltstone, 15%  Sandstone </v>
      </c>
      <c r="C7" s="28" t="str">
        <f>IF('Input Sheet'!C9="","",CONCATENATE("Sample ", 'Input Sheet'!B9, "m: ", M7,, K7, J7, " FLUOR in SST. ", "TG ", 'Input Sheet'!I9, "U"))</f>
        <v>Sample 1590m: NO FLUOR in SST. TG 8U</v>
      </c>
      <c r="D7" s="34" t="s">
        <v>26</v>
      </c>
      <c r="E7" s="35" t="s">
        <v>27</v>
      </c>
      <c r="G7" s="31">
        <f>IF('Input Sheet'!C9="","",100-'Input Sheet'!C9)</f>
        <v>85</v>
      </c>
      <c r="H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7" s="31" t="str">
        <f t="shared" si="0"/>
        <v>very fine</v>
      </c>
      <c r="J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" s="31" t="str">
        <f>IF('Input Sheet'!F9=0, "NO",CONCATENATE('Input Sheet'!F9, IF('Input Sheet'!F9&gt;0,"% ","")))</f>
        <v>NO</v>
      </c>
      <c r="L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" s="31" t="str">
        <f>CONCATENATE(L7, IF('Input Sheet'!J9="",""," siderite in "))</f>
        <v/>
      </c>
      <c r="N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" s="31" t="str">
        <f>CONCATENATE(N7, IF('Input Sheet'!K9="",""," siderite in "))</f>
        <v/>
      </c>
    </row>
    <row r="8" spans="1:15" x14ac:dyDescent="0.35">
      <c r="A8" s="42" t="str">
        <f>IF('Input Sheet'!C10="","",CONCATENATE("Sample ", 'Input Sheet'!B10, "m: ", M8, G8, "% ", "Siltstone, ", O8, 'Input Sheet'!C10, "% ", I8, " Sandstone, ", K8, J8, " FLUOR in SST. ", "TG ", 'Input Sheet'!I10, "U"))</f>
        <v>Sample 1595m: 70% Siltstone, 30% very fine to fine Sandstone, NO FLUOR in SST. TG 9U</v>
      </c>
      <c r="B8" s="28" t="str">
        <f>IF('Input Sheet'!C10="","",CONCATENATE("Sample ", 'Input Sheet'!B10, "m: ", N8, H8, "% ", "Siltstone, ", P8, 'Input Sheet'!C10, "% ", J8, " Sandstone "))</f>
        <v xml:space="preserve">Sample 1595m: veryfine to fine% Siltstone, 30%  Sandstone </v>
      </c>
      <c r="C8" s="28" t="str">
        <f>IF('Input Sheet'!C10="","",CONCATENATE("Sample ", 'Input Sheet'!B10, "m: ", M8,, K8, J8, " FLUOR in SST. ", "TG ", 'Input Sheet'!I10, "U"))</f>
        <v>Sample 1595m: NO FLUOR in SST. TG 9U</v>
      </c>
      <c r="D8" s="34" t="s">
        <v>28</v>
      </c>
      <c r="E8" s="35" t="s">
        <v>29</v>
      </c>
      <c r="G8" s="31">
        <f>IF('Input Sheet'!C10="","",100-'Input Sheet'!C10)</f>
        <v>70</v>
      </c>
      <c r="H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8" s="31" t="str">
        <f t="shared" si="0"/>
        <v>very fine to fine</v>
      </c>
      <c r="J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" s="31" t="str">
        <f>IF('Input Sheet'!F10=0, "NO",CONCATENATE('Input Sheet'!F10, IF('Input Sheet'!F10&gt;0,"% ","")))</f>
        <v>NO</v>
      </c>
      <c r="L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" s="31" t="str">
        <f>CONCATENATE(L8, IF('Input Sheet'!J10="",""," siderite in "))</f>
        <v/>
      </c>
      <c r="N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" s="31" t="str">
        <f>CONCATENATE(N8, IF('Input Sheet'!K10="",""," siderite in "))</f>
        <v/>
      </c>
    </row>
    <row r="9" spans="1:15" x14ac:dyDescent="0.35">
      <c r="A9" s="42" t="str">
        <f>IF('Input Sheet'!C11="","",CONCATENATE("Sample ", 'Input Sheet'!B11, "m: ", M9, G9, "% ", "Siltstone, ", O9, 'Input Sheet'!C11, "% ", I9, " Sandstone, ", K9, J9, " FLUOR in SST. ", "TG ", 'Input Sheet'!I11, "U"))</f>
        <v>Sample 1600m: 50% Siltstone, 50% very fine to fine Sandstone, NO FLUOR in SST. TG 11U</v>
      </c>
      <c r="B9" s="28" t="str">
        <f>IF('Input Sheet'!C11="","",CONCATENATE("Sample ", 'Input Sheet'!B11, "m: ", N9, H9, "% ", "Siltstone, ", P9, 'Input Sheet'!C11, "% ", J9, " Sandstone "))</f>
        <v xml:space="preserve">Sample 1600m: veryfine to fine% Siltstone, 50%  Sandstone </v>
      </c>
      <c r="C9" s="28" t="str">
        <f>IF('Input Sheet'!C11="","",CONCATENATE("Sample ", 'Input Sheet'!B11, "m: ", M9,, K9, J9, " FLUOR in SST. ", "TG ", 'Input Sheet'!I11, "U"))</f>
        <v>Sample 1600m: NO FLUOR in SST. TG 11U</v>
      </c>
      <c r="D9" s="34" t="s">
        <v>31</v>
      </c>
      <c r="E9" s="35" t="s">
        <v>32</v>
      </c>
      <c r="G9" s="31">
        <f>IF('Input Sheet'!C11="","",100-'Input Sheet'!C11)</f>
        <v>50</v>
      </c>
      <c r="H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" s="31" t="str">
        <f t="shared" si="0"/>
        <v>very fine to fine</v>
      </c>
      <c r="J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" s="31" t="str">
        <f>IF('Input Sheet'!F11=0, "NO",CONCATENATE('Input Sheet'!F11, IF('Input Sheet'!F11&gt;0,"% ","")))</f>
        <v>NO</v>
      </c>
      <c r="L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" s="31" t="str">
        <f>CONCATENATE(L9, IF('Input Sheet'!J11="",""," siderite in "))</f>
        <v/>
      </c>
      <c r="N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" s="31" t="str">
        <f>CONCATENATE(N9, IF('Input Sheet'!K11="",""," siderite in "))</f>
        <v/>
      </c>
    </row>
    <row r="10" spans="1:15" x14ac:dyDescent="0.35">
      <c r="A10" s="42" t="str">
        <f>IF('Input Sheet'!C12="","",CONCATENATE("Sample ", 'Input Sheet'!B12, "m: ", M10, G10, "% ", "Siltstone, ", O10, 'Input Sheet'!C12, "% ", I10, " Sandstone, ", K10, J10, " FLUOR in SST. ", "TG ", 'Input Sheet'!I12, "U"))</f>
        <v>Sample 1605m: 55% Siltstone, 45% very fine to fine Sandstone, NO FLUOR in SST. TG 13U</v>
      </c>
      <c r="B10" s="28" t="str">
        <f>IF('Input Sheet'!C12="","",CONCATENATE("Sample ", 'Input Sheet'!B12, "m: ", N10, H10, "% ", "Siltstone, ", P10, 'Input Sheet'!C12, "% ", J10, " Sandstone "))</f>
        <v xml:space="preserve">Sample 1605m: veryfine to fine% Siltstone, 45%  Sandstone </v>
      </c>
      <c r="C10" s="28" t="str">
        <f>IF('Input Sheet'!C12="","",CONCATENATE("Sample ", 'Input Sheet'!B12, "m: ", M10,, K10, J10, " FLUOR in SST. ", "TG ", 'Input Sheet'!I12, "U"))</f>
        <v>Sample 1605m: NO FLUOR in SST. TG 13U</v>
      </c>
      <c r="D10" s="34" t="s">
        <v>15</v>
      </c>
      <c r="E10" s="35" t="s">
        <v>34</v>
      </c>
      <c r="G10" s="31">
        <f>IF('Input Sheet'!C12="","",100-'Input Sheet'!C12)</f>
        <v>55</v>
      </c>
      <c r="H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" s="31" t="str">
        <f t="shared" si="0"/>
        <v>very fine to fine</v>
      </c>
      <c r="J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" s="31" t="str">
        <f>IF('Input Sheet'!F12=0, "NO",CONCATENATE('Input Sheet'!F12, IF('Input Sheet'!F12&gt;0,"% ","")))</f>
        <v>NO</v>
      </c>
      <c r="L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" s="31" t="str">
        <f>CONCATENATE(L10, IF('Input Sheet'!J12="",""," siderite in "))</f>
        <v/>
      </c>
      <c r="N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" s="31" t="str">
        <f>CONCATENATE(N10, IF('Input Sheet'!K12="",""," siderite in "))</f>
        <v/>
      </c>
    </row>
    <row r="11" spans="1:15" x14ac:dyDescent="0.35">
      <c r="A11" s="42" t="str">
        <f>IF('Input Sheet'!C13="","",CONCATENATE("Sample ", 'Input Sheet'!B13, "m: ", M11, G11, "% ", "Siltstone, ", O11, 'Input Sheet'!C13, "% ", I11, " Sandstone, ", K11, J11, " FLUOR in SST. ", "TG ", 'Input Sheet'!I13, "U"))</f>
        <v>Sample 1610m: 55% Siltstone, 45% very fine to fine Sandstone, NO FLUOR in SST. TG 9U</v>
      </c>
      <c r="B11" s="28" t="str">
        <f>IF('Input Sheet'!C13="","",CONCATENATE("Sample ", 'Input Sheet'!B13, "m: ", N11, H11, "% ", "Siltstone, ", P11, 'Input Sheet'!C13, "% ", J11, " Sandstone "))</f>
        <v xml:space="preserve">Sample 1610m: veryfine to fine% Siltstone, 45%  Sandstone </v>
      </c>
      <c r="C11" s="28" t="str">
        <f>IF('Input Sheet'!C13="","",CONCATENATE("Sample ", 'Input Sheet'!B13, "m: ", M11,, K11, J11, " FLUOR in SST. ", "TG ", 'Input Sheet'!I13, "U"))</f>
        <v>Sample 1610m: NO FLUOR in SST. TG 9U</v>
      </c>
      <c r="D11" s="34" t="s">
        <v>35</v>
      </c>
      <c r="E11" s="35" t="s">
        <v>36</v>
      </c>
      <c r="G11" s="31">
        <f>IF('Input Sheet'!C13="","",100-'Input Sheet'!C13)</f>
        <v>55</v>
      </c>
      <c r="H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" s="31" t="str">
        <f t="shared" si="0"/>
        <v>very fine to fine</v>
      </c>
      <c r="J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" s="31" t="str">
        <f>IF('Input Sheet'!F13=0, "NO",CONCATENATE('Input Sheet'!F13, IF('Input Sheet'!F13&gt;0,"% ","")))</f>
        <v>NO</v>
      </c>
      <c r="L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" s="31" t="str">
        <f>CONCATENATE(L11, IF('Input Sheet'!J13="",""," siderite in "))</f>
        <v/>
      </c>
      <c r="N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" s="31" t="str">
        <f>CONCATENATE(N11, IF('Input Sheet'!K13="",""," siderite in "))</f>
        <v/>
      </c>
    </row>
    <row r="12" spans="1:15" x14ac:dyDescent="0.35">
      <c r="A12" s="42" t="str">
        <f>IF('Input Sheet'!C14="","",CONCATENATE("Sample ", 'Input Sheet'!B14, "m: ", M12, G12, "% ", "Siltstone, ", O12, 'Input Sheet'!C14, "% ", I12, " Sandstone, ", K12, J12, " FLUOR in SST. ", "TG ", 'Input Sheet'!I14, "U"))</f>
        <v>Sample 1615m: 35% Siltstone, 65% very fine to fine Sandstone, 15% moderately bright FLUOR in SST. TG 10U</v>
      </c>
      <c r="B12" s="28" t="str">
        <f>IF('Input Sheet'!C14="","",CONCATENATE("Sample ", 'Input Sheet'!B14, "m: ", N12, H12, "% ", "Siltstone, ", P12, 'Input Sheet'!C14, "% ", J12, " Sandstone "))</f>
        <v xml:space="preserve">Sample 1615m: veryfine to fine% Siltstone, 65% moderately bright Sandstone </v>
      </c>
      <c r="C12" s="28" t="str">
        <f>IF('Input Sheet'!C14="","",CONCATENATE("Sample ", 'Input Sheet'!B14, "m: ", M12,, K12, J12, " FLUOR in SST. ", "TG ", 'Input Sheet'!I14, "U"))</f>
        <v>Sample 1615m: 15% moderately bright FLUOR in SST. TG 10U</v>
      </c>
      <c r="D12" s="34" t="s">
        <v>25</v>
      </c>
      <c r="E12" s="35" t="s">
        <v>37</v>
      </c>
      <c r="G12" s="31">
        <f>IF('Input Sheet'!C14="","",100-'Input Sheet'!C14)</f>
        <v>35</v>
      </c>
      <c r="H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" s="31" t="str">
        <f t="shared" si="0"/>
        <v>very fine to fine</v>
      </c>
      <c r="J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2" s="31" t="str">
        <f>IF('Input Sheet'!F14=0, "NO",CONCATENATE('Input Sheet'!F14, IF('Input Sheet'!F14&gt;0,"% ","")))</f>
        <v xml:space="preserve">15% </v>
      </c>
      <c r="L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" s="31" t="str">
        <f>CONCATENATE(L12, IF('Input Sheet'!J14="",""," siderite in "))</f>
        <v/>
      </c>
      <c r="N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" s="31" t="str">
        <f>CONCATENATE(N12, IF('Input Sheet'!K14="",""," siderite in "))</f>
        <v/>
      </c>
    </row>
    <row r="13" spans="1:15" x14ac:dyDescent="0.35">
      <c r="A13" s="42" t="str">
        <f>IF('Input Sheet'!C15="","",CONCATENATE("Sample ", 'Input Sheet'!B15, "m: ", M13, G13, "% ", "Siltstone, ", O13, 'Input Sheet'!C15, "% ", I13, " Sandstone, ", K13, J13, " FLUOR in SST. ", "TG ", 'Input Sheet'!I15, "U"))</f>
        <v>Sample 1620m: 30% Siltstone, 70% very fine to fine Sandstone, 50% moderately bright FLUOR in SST. TG 21U</v>
      </c>
      <c r="B13" s="28" t="str">
        <f>IF('Input Sheet'!C15="","",CONCATENATE("Sample ", 'Input Sheet'!B15, "m: ", N13, H13, "% ", "Siltstone, ", P13, 'Input Sheet'!C15, "% ", J13, " Sandstone "))</f>
        <v xml:space="preserve">Sample 1620m: veryfine to fine% Siltstone, 70% moderately bright Sandstone </v>
      </c>
      <c r="C13" s="28" t="str">
        <f>IF('Input Sheet'!C15="","",CONCATENATE("Sample ", 'Input Sheet'!B15, "m: ", M13,, K13, J13, " FLUOR in SST. ", "TG ", 'Input Sheet'!I15, "U"))</f>
        <v>Sample 1620m: 50% moderately bright FLUOR in SST. TG 21U</v>
      </c>
      <c r="D13" s="34" t="s">
        <v>39</v>
      </c>
      <c r="E13" s="35" t="s">
        <v>40</v>
      </c>
      <c r="G13" s="31">
        <f>IF('Input Sheet'!C15="","",100-'Input Sheet'!C15)</f>
        <v>30</v>
      </c>
      <c r="H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3" s="31" t="str">
        <f t="shared" si="0"/>
        <v>very fine to fine</v>
      </c>
      <c r="J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3" s="31" t="str">
        <f>IF('Input Sheet'!F15=0, "NO",CONCATENATE('Input Sheet'!F15, IF('Input Sheet'!F15&gt;0,"% ","")))</f>
        <v xml:space="preserve">50% </v>
      </c>
      <c r="L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" s="31" t="str">
        <f>CONCATENATE(L13, IF('Input Sheet'!J15="",""," siderite in "))</f>
        <v/>
      </c>
      <c r="N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" s="31" t="str">
        <f>CONCATENATE(N13, IF('Input Sheet'!K15="",""," siderite in "))</f>
        <v/>
      </c>
    </row>
    <row r="14" spans="1:15" x14ac:dyDescent="0.35">
      <c r="A14" s="42" t="str">
        <f>IF('Input Sheet'!C16="","",CONCATENATE("Sample ", 'Input Sheet'!B16, "m: ", M14, G14, "% ", "Siltstone, ", O14, 'Input Sheet'!C16, "% ", I14, " Sandstone, ", K14, J14, " FLUOR in SST. ", "TG ", 'Input Sheet'!I16, "U"))</f>
        <v>Sample 1625m: 30% Siltstone, 70% very fine to fine Sandstone, 70% moderately bright FLUOR in SST. TG 25U</v>
      </c>
      <c r="B14" s="28" t="str">
        <f>IF('Input Sheet'!C16="","",CONCATENATE("Sample ", 'Input Sheet'!B16, "m: ", N14, H14, "% ", "Siltstone, ", P14, 'Input Sheet'!C16, "% ", J14, " Sandstone "))</f>
        <v xml:space="preserve">Sample 1625m: veryfine to fine% Siltstone, 70% moderately bright Sandstone </v>
      </c>
      <c r="C14" s="28" t="str">
        <f>IF('Input Sheet'!C16="","",CONCATENATE("Sample ", 'Input Sheet'!B16, "m: ", M14,, K14, J14, " FLUOR in SST. ", "TG ", 'Input Sheet'!I16, "U"))</f>
        <v>Sample 1625m: 70% moderately bright FLUOR in SST. TG 25U</v>
      </c>
      <c r="D14" s="34" t="s">
        <v>44</v>
      </c>
      <c r="E14" s="35" t="s">
        <v>45</v>
      </c>
      <c r="G14" s="31">
        <f>IF('Input Sheet'!C16="","",100-'Input Sheet'!C16)</f>
        <v>30</v>
      </c>
      <c r="H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4" s="31" t="str">
        <f t="shared" si="0"/>
        <v>very fine to fine</v>
      </c>
      <c r="J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4" s="31" t="str">
        <f>IF('Input Sheet'!F16=0, "NO",CONCATENATE('Input Sheet'!F16, IF('Input Sheet'!F16&gt;0,"% ","")))</f>
        <v xml:space="preserve">70% </v>
      </c>
      <c r="L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" s="31" t="str">
        <f>CONCATENATE(L14, IF('Input Sheet'!J16="",""," siderite in "))</f>
        <v/>
      </c>
      <c r="N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" s="31" t="str">
        <f>CONCATENATE(N14, IF('Input Sheet'!K16="",""," siderite in "))</f>
        <v/>
      </c>
    </row>
    <row r="15" spans="1:15" x14ac:dyDescent="0.35">
      <c r="A15" s="42" t="str">
        <f>IF('Input Sheet'!C17="","",CONCATENATE("Sample ", 'Input Sheet'!B17, "m: ", M15, G15, "% ", "Siltstone, ", O15, 'Input Sheet'!C17, "% ", I15, " Sandstone, ", K15, J15, " FLUOR in SST. ", "TG ", 'Input Sheet'!I17, "U"))</f>
        <v>Sample 1630m: 30% Siltstone, 70% very fine to fine Sandstone, 100% moderately bright FLUOR in SST. TG 22U</v>
      </c>
      <c r="B15" s="28" t="str">
        <f>IF('Input Sheet'!C17="","",CONCATENATE("Sample ", 'Input Sheet'!B17, "m: ", N15, H15, "% ", "Siltstone, ", P15, 'Input Sheet'!C17, "% ", J15, " Sandstone "))</f>
        <v xml:space="preserve">Sample 1630m: veryfine to fine% Siltstone, 70% moderately bright Sandstone </v>
      </c>
      <c r="C15" s="28" t="str">
        <f>IF('Input Sheet'!C17="","",CONCATENATE("Sample ", 'Input Sheet'!B17, "m: ", M15,, K15, J15, " FLUOR in SST. ", "TG ", 'Input Sheet'!I17, "U"))</f>
        <v>Sample 1630m: 100% moderately bright FLUOR in SST. TG 22U</v>
      </c>
      <c r="D15" s="34" t="s">
        <v>48</v>
      </c>
      <c r="E15" s="35" t="s">
        <v>49</v>
      </c>
      <c r="G15" s="31">
        <f>IF('Input Sheet'!C17="","",100-'Input Sheet'!C17)</f>
        <v>30</v>
      </c>
      <c r="H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5" s="31" t="str">
        <f t="shared" si="0"/>
        <v>very fine to fine</v>
      </c>
      <c r="J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" s="31" t="str">
        <f>IF('Input Sheet'!F17=0, "NO",CONCATENATE('Input Sheet'!F17, IF('Input Sheet'!F17&gt;0,"% ","")))</f>
        <v xml:space="preserve">100% </v>
      </c>
      <c r="L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" s="31" t="str">
        <f>CONCATENATE(L15, IF('Input Sheet'!J17="",""," siderite in "))</f>
        <v/>
      </c>
      <c r="N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" s="31" t="str">
        <f>CONCATENATE(N15, IF('Input Sheet'!K17="",""," siderite in "))</f>
        <v/>
      </c>
    </row>
    <row r="16" spans="1:15" x14ac:dyDescent="0.35">
      <c r="A16" s="42" t="str">
        <f>IF('Input Sheet'!C18="","",CONCATENATE("Sample ", 'Input Sheet'!B18, "m: ", M16, G16, "% ", "Siltstone, ", O16, 'Input Sheet'!C18, "% ", I16, " Sandstone, ", K16, J16, " FLUOR in SST. ", "TG ", 'Input Sheet'!I18, "U"))</f>
        <v>Sample 1637m: 30% Siltstone, 70% very fine to fine Sandstone, 100% moderately bright FLUOR in SST. TG 17U</v>
      </c>
      <c r="B16" s="28" t="str">
        <f>IF('Input Sheet'!C18="","",CONCATENATE("Sample ", 'Input Sheet'!B18, "m: ", N16, H16, "% ", "Siltstone, ", P16, 'Input Sheet'!C18, "% ", J16, " Sandstone "))</f>
        <v xml:space="preserve">Sample 1637m: veryfine to fine% Siltstone, 70% moderately bright Sandstone </v>
      </c>
      <c r="C16" s="28" t="str">
        <f>IF('Input Sheet'!C18="","",CONCATENATE("Sample ", 'Input Sheet'!B18, "m: ", M16,, K16, J16, " FLUOR in SST. ", "TG ", 'Input Sheet'!I18, "U"))</f>
        <v>Sample 1637m: 100% moderately bright FLUOR in SST. TG 17U</v>
      </c>
      <c r="D16" s="34" t="s">
        <v>50</v>
      </c>
      <c r="E16" s="35" t="s">
        <v>51</v>
      </c>
      <c r="G16" s="31">
        <f>IF('Input Sheet'!C18="","",100-'Input Sheet'!C18)</f>
        <v>30</v>
      </c>
      <c r="H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" s="31" t="str">
        <f t="shared" si="0"/>
        <v>very fine to fine</v>
      </c>
      <c r="J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" s="31" t="str">
        <f>IF('Input Sheet'!F18=0, "NO",CONCATENATE('Input Sheet'!F18, IF('Input Sheet'!F18&gt;0,"% ","")))</f>
        <v xml:space="preserve">100% </v>
      </c>
      <c r="L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" s="31" t="str">
        <f>CONCATENATE(L16, IF('Input Sheet'!J18="",""," siderite in "))</f>
        <v/>
      </c>
      <c r="N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" s="31" t="str">
        <f>CONCATENATE(N16, IF('Input Sheet'!K18="",""," siderite in "))</f>
        <v/>
      </c>
    </row>
    <row r="17" spans="1:15" x14ac:dyDescent="0.35">
      <c r="A17" s="42" t="str">
        <f>IF('Input Sheet'!C19="","",CONCATENATE("Sample ", 'Input Sheet'!B19, "m: ", M17, G17, "% ", "Siltstone, ", O17, 'Input Sheet'!C19, "% ", I17, " Sandstone, ", K17, J17, " FLUOR in SST. ", "TG ", 'Input Sheet'!I19, "U"))</f>
        <v>Sample 1640m: 40% Siltstone, 60% very fine to fine Sandstone, 50% moderately bright FLUOR in SST. TG 13U</v>
      </c>
      <c r="B17" s="28" t="str">
        <f>IF('Input Sheet'!C19="","",CONCATENATE("Sample ", 'Input Sheet'!B19, "m: ", N17, H17, "% ", "Siltstone, ", P17, 'Input Sheet'!C19, "% ", J17, " Sandstone "))</f>
        <v xml:space="preserve">Sample 1640m: veryfine to fine% Siltstone, 60% moderately bright Sandstone </v>
      </c>
      <c r="C17" s="28" t="str">
        <f>IF('Input Sheet'!C19="","",CONCATENATE("Sample ", 'Input Sheet'!B19, "m: ", M17,, K17, J17, " FLUOR in SST. ", "TG ", 'Input Sheet'!I19, "U"))</f>
        <v>Sample 1640m: 50% moderately bright FLUOR in SST. TG 13U</v>
      </c>
      <c r="D17" s="34" t="s">
        <v>53</v>
      </c>
      <c r="E17" s="35" t="s">
        <v>54</v>
      </c>
      <c r="G17" s="31">
        <f>IF('Input Sheet'!C19="","",100-'Input Sheet'!C19)</f>
        <v>40</v>
      </c>
      <c r="H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7" s="31" t="str">
        <f t="shared" si="0"/>
        <v>very fine to fine</v>
      </c>
      <c r="J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" s="31" t="str">
        <f>IF('Input Sheet'!F19=0, "NO",CONCATENATE('Input Sheet'!F19, IF('Input Sheet'!F19&gt;0,"% ","")))</f>
        <v xml:space="preserve">50% </v>
      </c>
      <c r="L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" s="31" t="str">
        <f>CONCATENATE(L17, IF('Input Sheet'!J19="",""," siderite in "))</f>
        <v/>
      </c>
      <c r="N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" s="31" t="str">
        <f>CONCATENATE(N17, IF('Input Sheet'!K19="",""," siderite in "))</f>
        <v/>
      </c>
    </row>
    <row r="18" spans="1:15" x14ac:dyDescent="0.35">
      <c r="A18" s="42" t="str">
        <f>IF('Input Sheet'!C20="","",CONCATENATE("Sample ", 'Input Sheet'!B20, "m: ", M18, G18, "% ", "Siltstone, ", O18, 'Input Sheet'!C20, "% ", I18, " Sandstone, ", K18, J18, " FLUOR in SST. ", "TG ", 'Input Sheet'!I20, "U"))</f>
        <v>Sample 1645m: 60% Siltstone, 40% very fine to fine Sandstone, 50% moderately bright FLUOR in SST. TG 7U</v>
      </c>
      <c r="B18" s="28" t="str">
        <f>IF('Input Sheet'!C20="","",CONCATENATE("Sample ", 'Input Sheet'!B20, "m: ", N18, H18, "% ", "Siltstone, ", P18, 'Input Sheet'!C20, "% ", J18, " Sandstone "))</f>
        <v xml:space="preserve">Sample 1645m: veryfine to fine% Siltstone, 40% moderately bright Sandstone </v>
      </c>
      <c r="C18" s="28" t="str">
        <f>IF('Input Sheet'!C20="","",CONCATENATE("Sample ", 'Input Sheet'!B20, "m: ", M18,, K18, J18, " FLUOR in SST. ", "TG ", 'Input Sheet'!I20, "U"))</f>
        <v>Sample 1645m: 50% moderately bright FLUOR in SST. TG 7U</v>
      </c>
      <c r="D18" s="34" t="s">
        <v>55</v>
      </c>
      <c r="E18" s="35" t="s">
        <v>56</v>
      </c>
      <c r="G18" s="31">
        <f>IF('Input Sheet'!C20="","",100-'Input Sheet'!C20)</f>
        <v>60</v>
      </c>
      <c r="H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8" s="31" t="str">
        <f t="shared" si="0"/>
        <v>very fine to fine</v>
      </c>
      <c r="J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8" s="31" t="str">
        <f>IF('Input Sheet'!F20=0, "NO",CONCATENATE('Input Sheet'!F20, IF('Input Sheet'!F20&gt;0,"% ","")))</f>
        <v xml:space="preserve">50% </v>
      </c>
      <c r="L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" s="31" t="str">
        <f>CONCATENATE(L18, IF('Input Sheet'!J20="",""," siderite in "))</f>
        <v/>
      </c>
      <c r="N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" s="31" t="str">
        <f>CONCATENATE(N18, IF('Input Sheet'!K20="",""," siderite in "))</f>
        <v/>
      </c>
    </row>
    <row r="19" spans="1:15" x14ac:dyDescent="0.35">
      <c r="A19" s="42" t="str">
        <f>IF('Input Sheet'!C21="","",CONCATENATE("Sample ", 'Input Sheet'!B21, "m: ", M19, G19, "% ", "Siltstone, ", O19, 'Input Sheet'!C21, "% ", I19, " Sandstone, ", K19, J19, " FLUOR in SST. ", "TG ", 'Input Sheet'!I21, "U"))</f>
        <v>Sample 1650m: 70% Siltstone, 30% very fine to fine Sandstone, 30% moderately bright FLUOR in SST. TG 18U</v>
      </c>
      <c r="B19" s="28" t="str">
        <f>IF('Input Sheet'!C21="","",CONCATENATE("Sample ", 'Input Sheet'!B21, "m: ", N19, H19, "% ", "Siltstone, ", P19, 'Input Sheet'!C21, "% ", J19, " Sandstone "))</f>
        <v xml:space="preserve">Sample 1650m: veryfine to fine% Siltstone, 30% moderately bright Sandstone </v>
      </c>
      <c r="C19" s="28" t="str">
        <f>IF('Input Sheet'!C21="","",CONCATENATE("Sample ", 'Input Sheet'!B21, "m: ", M19,, K19, J19, " FLUOR in SST. ", "TG ", 'Input Sheet'!I21, "U"))</f>
        <v>Sample 1650m: 30% moderately bright FLUOR in SST. TG 18U</v>
      </c>
      <c r="D19" s="34" t="s">
        <v>57</v>
      </c>
      <c r="E19" s="35" t="s">
        <v>58</v>
      </c>
      <c r="G19" s="31">
        <f>IF('Input Sheet'!C21="","",100-'Input Sheet'!C21)</f>
        <v>70</v>
      </c>
      <c r="H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9" s="31" t="str">
        <f t="shared" si="0"/>
        <v>very fine to fine</v>
      </c>
      <c r="J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9" s="31" t="str">
        <f>IF('Input Sheet'!F21=0, "NO",CONCATENATE('Input Sheet'!F21, IF('Input Sheet'!F21&gt;0,"% ","")))</f>
        <v xml:space="preserve">30% </v>
      </c>
      <c r="L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" s="31" t="str">
        <f>CONCATENATE(L19, IF('Input Sheet'!J21="",""," siderite in "))</f>
        <v/>
      </c>
      <c r="N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" s="31" t="str">
        <f>CONCATENATE(N19, IF('Input Sheet'!K21="",""," siderite in "))</f>
        <v/>
      </c>
    </row>
    <row r="20" spans="1:15" x14ac:dyDescent="0.35">
      <c r="A20" s="42" t="str">
        <f>IF('Input Sheet'!C22="","",CONCATENATE("Sample ", 'Input Sheet'!B22, "m: ", M20, G20, "% ", "Siltstone, ", O20, 'Input Sheet'!C22, "% ", I20, " Sandstone, ", K20, J20, " FLUOR in SST. ", "TG ", 'Input Sheet'!I22, "U"))</f>
        <v>Sample 1655m: 70% Siltstone, 30% very fine to fine Sandstone, 60% moderately bright FLUOR in SST. TG 24U</v>
      </c>
      <c r="B20" s="28" t="str">
        <f>IF('Input Sheet'!C22="","",CONCATENATE("Sample ", 'Input Sheet'!B22, "m: ", N20, H20, "% ", "Siltstone, ", P20, 'Input Sheet'!C22, "% ", J20, " Sandstone "))</f>
        <v xml:space="preserve">Sample 1655m: veryfine to fine% Siltstone, 30% moderately bright Sandstone </v>
      </c>
      <c r="C20" s="28" t="str">
        <f>IF('Input Sheet'!C22="","",CONCATENATE("Sample ", 'Input Sheet'!B22, "m: ", M20,, K20, J20, " FLUOR in SST. ", "TG ", 'Input Sheet'!I22, "U"))</f>
        <v>Sample 1655m: 60% moderately bright FLUOR in SST. TG 24U</v>
      </c>
      <c r="D20" s="34"/>
      <c r="E20" s="35"/>
      <c r="G20" s="31">
        <f>IF('Input Sheet'!C22="","",100-'Input Sheet'!C22)</f>
        <v>70</v>
      </c>
      <c r="H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0" s="31" t="str">
        <f t="shared" si="0"/>
        <v>very fine to fine</v>
      </c>
      <c r="J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0" s="31" t="str">
        <f>IF('Input Sheet'!F22=0, "NO",CONCATENATE('Input Sheet'!F22, IF('Input Sheet'!F22&gt;0,"% ","")))</f>
        <v xml:space="preserve">60% </v>
      </c>
      <c r="L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" s="31" t="str">
        <f>CONCATENATE(L20, IF('Input Sheet'!J22="",""," siderite in "))</f>
        <v/>
      </c>
      <c r="N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" s="31" t="str">
        <f>CONCATENATE(N20, IF('Input Sheet'!K22="",""," siderite in "))</f>
        <v/>
      </c>
    </row>
    <row r="21" spans="1:15" x14ac:dyDescent="0.35">
      <c r="A21" s="42" t="str">
        <f>IF('Input Sheet'!C23="","",CONCATENATE("Sample ", 'Input Sheet'!B23, "m: ", M21, G21, "% ", "Siltstone, ", O21, 'Input Sheet'!C23, "% ", I21, " Sandstone, ", K21, J21, " FLUOR in SST. ", "TG ", 'Input Sheet'!I23, "U"))</f>
        <v>Sample 1660m: 60% Siltstone, 40% very fine to fine Sandstone, 60% moderately bright FLUOR in SST. TG 28U</v>
      </c>
      <c r="B21" s="28" t="str">
        <f>IF('Input Sheet'!C23="","",CONCATENATE("Sample ", 'Input Sheet'!B23, "m: ", N21, H21, "% ", "Siltstone, ", P21, 'Input Sheet'!C23, "% ", J21, " Sandstone "))</f>
        <v xml:space="preserve">Sample 1660m: veryfine to fine% Siltstone, 40% moderately bright Sandstone </v>
      </c>
      <c r="C21" s="28" t="str">
        <f>IF('Input Sheet'!C23="","",CONCATENATE("Sample ", 'Input Sheet'!B23, "m: ", M21,, K21, J21, " FLUOR in SST. ", "TG ", 'Input Sheet'!I23, "U"))</f>
        <v>Sample 1660m: 60% moderately bright FLUOR in SST. TG 28U</v>
      </c>
      <c r="D21" s="34"/>
      <c r="E21" s="35"/>
      <c r="G21" s="31">
        <f>IF('Input Sheet'!C23="","",100-'Input Sheet'!C23)</f>
        <v>60</v>
      </c>
      <c r="H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1" s="31" t="str">
        <f t="shared" si="0"/>
        <v>very fine to fine</v>
      </c>
      <c r="J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1" s="31" t="str">
        <f>IF('Input Sheet'!F22=0, "NO",CONCATENATE('Input Sheet'!F22, IF('Input Sheet'!F22&gt;0,"% ","")))</f>
        <v xml:space="preserve">60% </v>
      </c>
      <c r="L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" s="31" t="str">
        <f>CONCATENATE(L21, IF('Input Sheet'!J23="",""," siderite in "))</f>
        <v/>
      </c>
      <c r="N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" s="31" t="str">
        <f>CONCATENATE(N21, IF('Input Sheet'!K23="",""," siderite in "))</f>
        <v/>
      </c>
    </row>
    <row r="22" spans="1:15" x14ac:dyDescent="0.35">
      <c r="A22" s="42" t="str">
        <f>IF('Input Sheet'!C24="","",CONCATENATE("Sample ", 'Input Sheet'!B24, "m: ", M22, G22, "% ", "Siltstone, ", O22, 'Input Sheet'!C24, "% ", I22, " Sandstone, ", K22, J22, " FLUOR in SST. ", "TG ", 'Input Sheet'!I24, "U"))</f>
        <v>Sample 1665m: 60% Siltstone, 40% fine to medium Sandstone, 60% moderately bright FLUOR in SST. TG 24U</v>
      </c>
      <c r="B22" s="28" t="str">
        <f>IF('Input Sheet'!C24="","",CONCATENATE("Sample ", 'Input Sheet'!B24, "m: ", N22, H22, "% ", "Siltstone, ", P22, 'Input Sheet'!C24, "% ", J22, " Sandstone "))</f>
        <v xml:space="preserve">Sample 1665m: fine to medium% Siltstone, 40% moderately bright Sandstone </v>
      </c>
      <c r="C22" s="28" t="str">
        <f>IF('Input Sheet'!C24="","",CONCATENATE("Sample ", 'Input Sheet'!B24, "m: ", M22,, K22, J22, " FLUOR in SST. ", "TG ", 'Input Sheet'!I24, "U"))</f>
        <v>Sample 1665m: 60% moderately bright FLUOR in SST. TG 24U</v>
      </c>
      <c r="D22" s="34"/>
      <c r="E22" s="35"/>
      <c r="G22" s="31">
        <f>IF('Input Sheet'!C24="","",100-'Input Sheet'!C24)</f>
        <v>60</v>
      </c>
      <c r="H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2" s="31" t="str">
        <f t="shared" si="0"/>
        <v>fine to medium</v>
      </c>
      <c r="J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2" s="31" t="str">
        <f>IF('Input Sheet'!F23=0, "NO",CONCATENATE('Input Sheet'!F23, IF('Input Sheet'!F23&gt;0,"% ","")))</f>
        <v xml:space="preserve">60% </v>
      </c>
      <c r="L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" s="31" t="str">
        <f>CONCATENATE(L22, IF('Input Sheet'!J24="",""," siderite in "))</f>
        <v/>
      </c>
      <c r="N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" s="31" t="str">
        <f>CONCATENATE(N22, IF('Input Sheet'!K24="",""," siderite in "))</f>
        <v/>
      </c>
    </row>
    <row r="23" spans="1:15" x14ac:dyDescent="0.35">
      <c r="A23" s="42" t="str">
        <f>IF('Input Sheet'!C25="","",CONCATENATE("Sample ", 'Input Sheet'!B25, "m: ", M23, G23, "% ", "Siltstone, ", O23, 'Input Sheet'!C25, "% ", I23, " Sandstone, ", K23, J23, " FLUOR in SST. ", "TG ", 'Input Sheet'!I25, "U"))</f>
        <v>Sample 1670m: 50% Siltstone, 50% fine to medium Sandstone, 60% moderately bright FLUOR in SST. TG 18U</v>
      </c>
      <c r="B23" s="28" t="str">
        <f>IF('Input Sheet'!C25="","",CONCATENATE("Sample ", 'Input Sheet'!B25, "m: ", N23, H23, "% ", "Siltstone, ", P23, 'Input Sheet'!C25, "% ", J23, " Sandstone "))</f>
        <v xml:space="preserve">Sample 1670m: fine to medium% Siltstone, 50% moderately bright Sandstone </v>
      </c>
      <c r="C23" s="28" t="str">
        <f>IF('Input Sheet'!C25="","",CONCATENATE("Sample ", 'Input Sheet'!B25, "m: ", M23,, K23, J23, " FLUOR in SST. ", "TG ", 'Input Sheet'!I25, "U"))</f>
        <v>Sample 1670m: 60% moderately bright FLUOR in SST. TG 18U</v>
      </c>
      <c r="D23" s="34"/>
      <c r="E23" s="35"/>
      <c r="G23" s="31">
        <f>IF('Input Sheet'!C25="","",100-'Input Sheet'!C25)</f>
        <v>50</v>
      </c>
      <c r="H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3" s="31" t="str">
        <f t="shared" si="0"/>
        <v>fine to medium</v>
      </c>
      <c r="J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3" s="31" t="str">
        <f>IF('Input Sheet'!F24=0, "NO",CONCATENATE('Input Sheet'!F24, IF('Input Sheet'!F24&gt;0,"% ","")))</f>
        <v xml:space="preserve">60% </v>
      </c>
      <c r="L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" s="31" t="str">
        <f>CONCATENATE(L23, IF('Input Sheet'!J25="",""," siderite in "))</f>
        <v/>
      </c>
      <c r="N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" s="31" t="str">
        <f>CONCATENATE(N23, IF('Input Sheet'!K25="",""," siderite in "))</f>
        <v/>
      </c>
    </row>
    <row r="24" spans="1:15" x14ac:dyDescent="0.35">
      <c r="A24" s="42" t="str">
        <f>IF('Input Sheet'!C26="","",CONCATENATE("Sample ", 'Input Sheet'!B26, "m: ", M24, G24, "% ", "Siltstone, ", O24, 'Input Sheet'!C26, "% ", I24, " Sandstone, ", K24, J24, " FLUOR in SST. ", "TG ", 'Input Sheet'!I26, "U"))</f>
        <v>Sample 1675m: 65% Siltstone, 35% fine to medium Sandstone, 40% moderately bright FLUOR in SST. TG 16U</v>
      </c>
      <c r="B24" s="28" t="str">
        <f>IF('Input Sheet'!C26="","",CONCATENATE("Sample ", 'Input Sheet'!B26, "m: ", N24, H24, "% ", "Siltstone, ", P24, 'Input Sheet'!C26, "% ", J24, " Sandstone "))</f>
        <v xml:space="preserve">Sample 1675m: fine to medium% Siltstone, 35% moderately bright Sandstone </v>
      </c>
      <c r="C24" s="28" t="str">
        <f>IF('Input Sheet'!C26="","",CONCATENATE("Sample ", 'Input Sheet'!B26, "m: ", M24,, K24, J24, " FLUOR in SST. ", "TG ", 'Input Sheet'!I26, "U"))</f>
        <v>Sample 1675m: 40% moderately bright FLUOR in SST. TG 16U</v>
      </c>
      <c r="D24" s="34"/>
      <c r="E24" s="35"/>
      <c r="G24" s="31">
        <f>IF('Input Sheet'!C26="","",100-'Input Sheet'!C26)</f>
        <v>65</v>
      </c>
      <c r="H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4" s="31" t="str">
        <f t="shared" si="0"/>
        <v>fine to medium</v>
      </c>
      <c r="J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4" s="31" t="str">
        <f>IF('Input Sheet'!F25=0, "NO",CONCATENATE('Input Sheet'!F25, IF('Input Sheet'!F25&gt;0,"% ","")))</f>
        <v xml:space="preserve">40% </v>
      </c>
      <c r="L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" s="31" t="str">
        <f>CONCATENATE(L24, IF('Input Sheet'!J26="",""," siderite in "))</f>
        <v/>
      </c>
      <c r="N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" s="31" t="str">
        <f>CONCATENATE(N24, IF('Input Sheet'!K26="",""," siderite in "))</f>
        <v/>
      </c>
    </row>
    <row r="25" spans="1:15" x14ac:dyDescent="0.35">
      <c r="A25" s="42" t="str">
        <f>IF('Input Sheet'!C27="","",CONCATENATE("Sample ", 'Input Sheet'!B27, "m: ", M25, G25, "% ", "Siltstone, ", O25, 'Input Sheet'!C27, "% ", I25, " Sandstone, ", K25, J25, " FLUOR in SST. ", "TG ", 'Input Sheet'!I27, "U"))</f>
        <v>Sample 1680m: 65% Siltstone, 35% fine to medium Sandstone, 45% moderately bright FLUOR in SST. TG 23U</v>
      </c>
      <c r="B25" s="28" t="str">
        <f>IF('Input Sheet'!C27="","",CONCATENATE("Sample ", 'Input Sheet'!B27, "m: ", N25, H25, "% ", "Siltstone, ", P25, 'Input Sheet'!C27, "% ", J25, " Sandstone "))</f>
        <v xml:space="preserve">Sample 1680m: fine to medium% Siltstone, 35% moderately bright Sandstone </v>
      </c>
      <c r="C25" s="28" t="str">
        <f>IF('Input Sheet'!C27="","",CONCATENATE("Sample ", 'Input Sheet'!B27, "m: ", M25,, K25, J25, " FLUOR in SST. ", "TG ", 'Input Sheet'!I27, "U"))</f>
        <v>Sample 1680m: 45% moderately bright FLUOR in SST. TG 23U</v>
      </c>
      <c r="D25" s="34"/>
      <c r="E25" s="35"/>
      <c r="G25" s="31">
        <f>IF('Input Sheet'!C27="","",100-'Input Sheet'!C27)</f>
        <v>65</v>
      </c>
      <c r="H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5" s="31" t="str">
        <f t="shared" si="0"/>
        <v>fine to medium</v>
      </c>
      <c r="J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5" s="31" t="str">
        <f>IF('Input Sheet'!F26=0, "NO",CONCATENATE('Input Sheet'!F26, IF('Input Sheet'!F26&gt;0,"% ","")))</f>
        <v xml:space="preserve">45% </v>
      </c>
      <c r="L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" s="31" t="str">
        <f>CONCATENATE(L25, IF('Input Sheet'!J27="",""," siderite in "))</f>
        <v/>
      </c>
      <c r="N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" s="31" t="str">
        <f>CONCATENATE(N25, IF('Input Sheet'!K27="",""," siderite in "))</f>
        <v/>
      </c>
    </row>
    <row r="26" spans="1:15" x14ac:dyDescent="0.35">
      <c r="A26" s="42" t="str">
        <f>IF('Input Sheet'!C28="","",CONCATENATE("Sample ", 'Input Sheet'!B28, "m: ", M26, G26, "% ", "Siltstone, ", O26, 'Input Sheet'!C28, "% ", I26, " Sandstone, ", K26, J26, " FLUOR in SST. ", "TG ", 'Input Sheet'!I28, "U"))</f>
        <v>Sample 1685m: 70% Siltstone, 30% fine to medium Sandstone, 50% moderately bright FLUOR in SST. TG 20U</v>
      </c>
      <c r="B26" s="28" t="str">
        <f>IF('Input Sheet'!C28="","",CONCATENATE("Sample ", 'Input Sheet'!B28, "m: ", N26, H26, "% ", "Siltstone, ", P26, 'Input Sheet'!C28, "% ", J26, " Sandstone "))</f>
        <v xml:space="preserve">Sample 1685m: fine to medium% Siltstone, 30% moderately bright Sandstone </v>
      </c>
      <c r="C26" s="28" t="str">
        <f>IF('Input Sheet'!C28="","",CONCATENATE("Sample ", 'Input Sheet'!B28, "m: ", M26,, K26, J26, " FLUOR in SST. ", "TG ", 'Input Sheet'!I28, "U"))</f>
        <v>Sample 1685m: 50% moderately bright FLUOR in SST. TG 20U</v>
      </c>
      <c r="D26" s="34"/>
      <c r="E26" s="35"/>
      <c r="G26" s="31">
        <f>IF('Input Sheet'!C28="","",100-'Input Sheet'!C28)</f>
        <v>70</v>
      </c>
      <c r="H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6" s="31" t="str">
        <f t="shared" si="0"/>
        <v>fine to medium</v>
      </c>
      <c r="J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6" s="31" t="str">
        <f>IF('Input Sheet'!F27=0, "NO",CONCATENATE('Input Sheet'!F27, IF('Input Sheet'!F27&gt;0,"% ","")))</f>
        <v xml:space="preserve">50% </v>
      </c>
      <c r="L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" s="31" t="str">
        <f>CONCATENATE(L26, IF('Input Sheet'!J28="",""," siderite in "))</f>
        <v/>
      </c>
      <c r="N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" s="31" t="str">
        <f>CONCATENATE(N26, IF('Input Sheet'!K28="",""," siderite in "))</f>
        <v/>
      </c>
    </row>
    <row r="27" spans="1:15" x14ac:dyDescent="0.35">
      <c r="A27" s="42" t="str">
        <f>IF('Input Sheet'!C29="","",CONCATENATE("Sample ", 'Input Sheet'!B29, "m: ", M27, G27, "% ", "Siltstone, ", O27, 'Input Sheet'!C29, "% ", I27, " Sandstone, ", K27, J27, " FLUOR in SST. ", "TG ", 'Input Sheet'!I29, "U"))</f>
        <v>Sample 1690m: 70% Siltstone, 30% fine to medium Sandstone, 60% moderately bright FLUOR in SST. TG 25U</v>
      </c>
      <c r="B27" s="28" t="str">
        <f>IF('Input Sheet'!C29="","",CONCATENATE("Sample ", 'Input Sheet'!B29, "m: ", N27, H27, "% ", "Siltstone, ", P27, 'Input Sheet'!C29, "% ", J27, " Sandstone "))</f>
        <v xml:space="preserve">Sample 1690m: fine to medium% Siltstone, 30% moderately bright Sandstone </v>
      </c>
      <c r="C27" s="28" t="str">
        <f>IF('Input Sheet'!C29="","",CONCATENATE("Sample ", 'Input Sheet'!B29, "m: ", M27,, K27, J27, " FLUOR in SST. ", "TG ", 'Input Sheet'!I29, "U"))</f>
        <v>Sample 1690m: 60% moderately bright FLUOR in SST. TG 25U</v>
      </c>
      <c r="D27" s="34"/>
      <c r="E27" s="35"/>
      <c r="G27" s="31">
        <f>IF('Input Sheet'!C29="","",100-'Input Sheet'!C29)</f>
        <v>70</v>
      </c>
      <c r="H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7" s="31" t="str">
        <f t="shared" si="0"/>
        <v>fine to medium</v>
      </c>
      <c r="J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7" s="31" t="str">
        <f>IF('Input Sheet'!F28=0, "NO",CONCATENATE('Input Sheet'!F28, IF('Input Sheet'!F28&gt;0,"% ","")))</f>
        <v xml:space="preserve">60% </v>
      </c>
      <c r="L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" s="31" t="str">
        <f>CONCATENATE(L27, IF('Input Sheet'!J29="",""," siderite in "))</f>
        <v/>
      </c>
      <c r="N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" s="31" t="str">
        <f>CONCATENATE(N27, IF('Input Sheet'!K29="",""," siderite in "))</f>
        <v/>
      </c>
    </row>
    <row r="28" spans="1:15" x14ac:dyDescent="0.35">
      <c r="A28" s="42" t="str">
        <f>IF('Input Sheet'!C30="","",CONCATENATE("Sample ", 'Input Sheet'!B30, "m: ", M28, G28, "% ", "Siltstone, ", O28, 'Input Sheet'!C30, "% ", I28, " Sandstone, ", K28, J28, " FLUOR in SST. ", "TG ", 'Input Sheet'!I30, "U"))</f>
        <v>Sample 1695m: 40% Siltstone, 60% fine to medium Sandstone, 50% moderately bright FLUOR in SST. TG 47U</v>
      </c>
      <c r="B28" s="28" t="str">
        <f>IF('Input Sheet'!C30="","",CONCATENATE("Sample ", 'Input Sheet'!B30, "m: ", N28, H28, "% ", "Siltstone, ", P28, 'Input Sheet'!C30, "% ", J28, " Sandstone "))</f>
        <v xml:space="preserve">Sample 1695m: fine to medium% Siltstone, 60% moderately bright Sandstone </v>
      </c>
      <c r="C28" s="28" t="str">
        <f>IF('Input Sheet'!C30="","",CONCATENATE("Sample ", 'Input Sheet'!B30, "m: ", M28,, K28, J28, " FLUOR in SST. ", "TG ", 'Input Sheet'!I30, "U"))</f>
        <v>Sample 1695m: 50% moderately bright FLUOR in SST. TG 47U</v>
      </c>
      <c r="D28" s="34"/>
      <c r="E28" s="35"/>
      <c r="G28" s="31">
        <f>IF('Input Sheet'!C30="","",100-'Input Sheet'!C30)</f>
        <v>40</v>
      </c>
      <c r="H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28" s="31" t="str">
        <f t="shared" si="0"/>
        <v>fine to medium</v>
      </c>
      <c r="J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8" s="31" t="str">
        <f>IF('Input Sheet'!F29=0, "NO",CONCATENATE('Input Sheet'!F29, IF('Input Sheet'!F29&gt;0,"% ","")))</f>
        <v xml:space="preserve">50% </v>
      </c>
      <c r="L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" s="31" t="str">
        <f>CONCATENATE(L28, IF('Input Sheet'!J30="",""," siderite in "))</f>
        <v/>
      </c>
      <c r="N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" s="31" t="str">
        <f>CONCATENATE(N28, IF('Input Sheet'!K30="",""," siderite in "))</f>
        <v/>
      </c>
    </row>
    <row r="29" spans="1:15" x14ac:dyDescent="0.35">
      <c r="A29" s="42" t="str">
        <f>IF('Input Sheet'!C31="","",CONCATENATE("Sample ", 'Input Sheet'!B31, "m: ", M29, G29, "% ", "Siltstone, ", O29, 'Input Sheet'!C31, "% ", I29, " Sandstone, ", K29, J29, " FLUOR in SST. ", "TG ", 'Input Sheet'!I31, "U"))</f>
        <v>Sample 1700m: 25% Siltstone, 75% very fine to fine Sandstone, 50% moderately bright FLUOR in SST. TG 65U</v>
      </c>
      <c r="B29" s="28" t="str">
        <f>IF('Input Sheet'!C31="","",CONCATENATE("Sample ", 'Input Sheet'!B31, "m: ", N29, H29, "% ", "Siltstone, ", P29, 'Input Sheet'!C31, "% ", J29, " Sandstone "))</f>
        <v xml:space="preserve">Sample 1700m: veryfine to fine% Siltstone, 75% moderately bright Sandstone </v>
      </c>
      <c r="C29" s="28" t="str">
        <f>IF('Input Sheet'!C31="","",CONCATENATE("Sample ", 'Input Sheet'!B31, "m: ", M29,, K29, J29, " FLUOR in SST. ", "TG ", 'Input Sheet'!I31, "U"))</f>
        <v>Sample 1700m: 50% moderately bright FLUOR in SST. TG 65U</v>
      </c>
      <c r="D29" s="34"/>
      <c r="E29" s="35"/>
      <c r="G29" s="31">
        <f>IF('Input Sheet'!C31="","",100-'Input Sheet'!C31)</f>
        <v>25</v>
      </c>
      <c r="H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29" s="31" t="str">
        <f t="shared" si="0"/>
        <v>very fine to fine</v>
      </c>
      <c r="J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9" s="31" t="str">
        <f>IF('Input Sheet'!F30=0, "NO",CONCATENATE('Input Sheet'!F30, IF('Input Sheet'!F30&gt;0,"% ","")))</f>
        <v xml:space="preserve">50% </v>
      </c>
      <c r="L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" s="31" t="str">
        <f>CONCATENATE(L29, IF('Input Sheet'!J31="",""," siderite in "))</f>
        <v/>
      </c>
      <c r="N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" s="31" t="str">
        <f>CONCATENATE(N29, IF('Input Sheet'!K31="",""," siderite in "))</f>
        <v/>
      </c>
    </row>
    <row r="30" spans="1:15" x14ac:dyDescent="0.35">
      <c r="A30" s="42" t="str">
        <f>IF('Input Sheet'!C32="","",CONCATENATE("Sample ", 'Input Sheet'!B32, "m: ", M30, G30, "% ", "Siltstone, ", O30, 'Input Sheet'!C32, "% ", I30, " Sandstone, ", K30, J30, " FLUOR in SST. ", "TG ", 'Input Sheet'!I32, "U"))</f>
        <v>Sample 1705m: 30% Siltstone, 70% very fine to fine Sandstone, 60% moderately bright  to  bright FLUOR in SST. TG 55U</v>
      </c>
      <c r="B30" s="28" t="str">
        <f>IF('Input Sheet'!C32="","",CONCATENATE("Sample ", 'Input Sheet'!B32, "m: ", N30, H30, "% ", "Siltstone, ", P30, 'Input Sheet'!C32, "% ", J30, " Sandstone "))</f>
        <v xml:space="preserve">Sample 1705m: veryfine to fine% Siltstone, 70% moderately bright  to  bright Sandstone </v>
      </c>
      <c r="C30" s="28" t="str">
        <f>IF('Input Sheet'!C32="","",CONCATENATE("Sample ", 'Input Sheet'!B32, "m: ", M30,, K30, J30, " FLUOR in SST. ", "TG ", 'Input Sheet'!I32, "U"))</f>
        <v>Sample 1705m: 60% moderately bright  to  bright FLUOR in SST. TG 55U</v>
      </c>
      <c r="D30" s="34"/>
      <c r="E30" s="35"/>
      <c r="G30" s="31">
        <f>IF('Input Sheet'!C32="","",100-'Input Sheet'!C32)</f>
        <v>30</v>
      </c>
      <c r="H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0" s="31" t="str">
        <f t="shared" si="0"/>
        <v>very fine to fine</v>
      </c>
      <c r="J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30" s="31" t="str">
        <f>IF('Input Sheet'!F31=0, "NO",CONCATENATE('Input Sheet'!F31, IF('Input Sheet'!F31&gt;0,"% ","")))</f>
        <v xml:space="preserve">60% </v>
      </c>
      <c r="L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" s="31" t="str">
        <f>CONCATENATE(L30, IF('Input Sheet'!J32="",""," siderite in "))</f>
        <v/>
      </c>
      <c r="N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" s="31" t="str">
        <f>CONCATENATE(N30, IF('Input Sheet'!K32="",""," siderite in "))</f>
        <v/>
      </c>
    </row>
    <row r="31" spans="1:15" x14ac:dyDescent="0.35">
      <c r="A31" s="42" t="str">
        <f>IF('Input Sheet'!C33="","",CONCATENATE("Sample ", 'Input Sheet'!B33, "m: ", M31, G31, "% ", "Siltstone, ", O31, 'Input Sheet'!C33, "% ", I31, " Sandstone, ", K31, J31, " FLUOR in SST. ", "TG ", 'Input Sheet'!I33, "U"))</f>
        <v>Sample 1710m: 30% Siltstone, 70% very fine to fine Sandstone, 70% bright FLUOR in SST. TG 145U</v>
      </c>
      <c r="B31" s="28" t="str">
        <f>IF('Input Sheet'!C33="","",CONCATENATE("Sample ", 'Input Sheet'!B33, "m: ", N31, H31, "% ", "Siltstone, ", P31, 'Input Sheet'!C33, "% ", J31, " Sandstone "))</f>
        <v xml:space="preserve">Sample 1710m: veryfine to fine% Siltstone, 70% bright Sandstone </v>
      </c>
      <c r="C31" s="28" t="str">
        <f>IF('Input Sheet'!C33="","",CONCATENATE("Sample ", 'Input Sheet'!B33, "m: ", M31,, K31, J31, " FLUOR in SST. ", "TG ", 'Input Sheet'!I33, "U"))</f>
        <v>Sample 1710m: 70% bright FLUOR in SST. TG 145U</v>
      </c>
      <c r="D31" s="34"/>
      <c r="E31" s="35"/>
      <c r="G31" s="31">
        <f>IF('Input Sheet'!C33="","",100-'Input Sheet'!C33)</f>
        <v>30</v>
      </c>
      <c r="H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1" s="31" t="str">
        <f t="shared" si="0"/>
        <v>very fine to fine</v>
      </c>
      <c r="J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1" s="31" t="str">
        <f>IF('Input Sheet'!F32=0, "NO",CONCATENATE('Input Sheet'!F32, IF('Input Sheet'!F32&gt;0,"% ","")))</f>
        <v xml:space="preserve">70% </v>
      </c>
      <c r="L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" s="31" t="str">
        <f>CONCATENATE(L31, IF('Input Sheet'!J33="",""," siderite in "))</f>
        <v/>
      </c>
      <c r="N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" s="31" t="str">
        <f>CONCATENATE(N31, IF('Input Sheet'!K33="",""," siderite in "))</f>
        <v/>
      </c>
    </row>
    <row r="32" spans="1:15" x14ac:dyDescent="0.35">
      <c r="A32" s="42" t="str">
        <f>IF('Input Sheet'!C34="","",CONCATENATE("Sample ", 'Input Sheet'!B34, "m: ", M32, G32, "% ", "Siltstone, ", O32, 'Input Sheet'!C34, "% ", I32, " Sandstone, ", K32, J32, " FLUOR in SST. ", "TG ", 'Input Sheet'!I34, "U"))</f>
        <v>Sample 1715m: 15% Siltstone, 85% very fine to fine Sandstone, 100% bright FLUOR in SST. TG 190U</v>
      </c>
      <c r="B32" s="28" t="str">
        <f>IF('Input Sheet'!C34="","",CONCATENATE("Sample ", 'Input Sheet'!B34, "m: ", N32, H32, "% ", "Siltstone, ", P32, 'Input Sheet'!C34, "% ", J32, " Sandstone "))</f>
        <v xml:space="preserve">Sample 1715m: veryfine to fine% Siltstone, 85% bright Sandstone </v>
      </c>
      <c r="C32" s="28" t="str">
        <f>IF('Input Sheet'!C34="","",CONCATENATE("Sample ", 'Input Sheet'!B34, "m: ", M32,, K32, J32, " FLUOR in SST. ", "TG ", 'Input Sheet'!I34, "U"))</f>
        <v>Sample 1715m: 100% bright FLUOR in SST. TG 190U</v>
      </c>
      <c r="D32" s="34"/>
      <c r="E32" s="35"/>
      <c r="G32" s="31">
        <f>IF('Input Sheet'!C34="","",100-'Input Sheet'!C34)</f>
        <v>15</v>
      </c>
      <c r="H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2" s="31" t="str">
        <f t="shared" si="0"/>
        <v>very fine to fine</v>
      </c>
      <c r="J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2" s="31" t="str">
        <f>IF('Input Sheet'!F33=0, "NO",CONCATENATE('Input Sheet'!F33, IF('Input Sheet'!F33&gt;0,"% ","")))</f>
        <v xml:space="preserve">100% </v>
      </c>
      <c r="L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" s="31" t="str">
        <f>CONCATENATE(L32, IF('Input Sheet'!J34="",""," siderite in "))</f>
        <v/>
      </c>
      <c r="N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" s="31" t="str">
        <f>CONCATENATE(N32, IF('Input Sheet'!K34="",""," siderite in "))</f>
        <v/>
      </c>
    </row>
    <row r="33" spans="1:15" x14ac:dyDescent="0.35">
      <c r="A33" s="42" t="str">
        <f>IF('Input Sheet'!C35="","",CONCATENATE("Sample ", 'Input Sheet'!B35, "m: ", M33, G33, "% ", "Siltstone, ", O33, 'Input Sheet'!C35, "% ", I33, " Sandstone, ", K33, J33, " FLUOR in SST. ", "TG ", 'Input Sheet'!I35, "U"))</f>
        <v>Sample 1720m: 10% Siltstone, 90% very fine to fine Sandstone, 100% bright FLUOR in SST. TG 230U</v>
      </c>
      <c r="B33" s="28" t="str">
        <f>IF('Input Sheet'!C35="","",CONCATENATE("Sample ", 'Input Sheet'!B35, "m: ", N33, H33, "% ", "Siltstone, ", P33, 'Input Sheet'!C35, "% ", J33, " Sandstone "))</f>
        <v xml:space="preserve">Sample 1720m: veryfine to fine% Siltstone, 90% bright Sandstone </v>
      </c>
      <c r="C33" s="28" t="str">
        <f>IF('Input Sheet'!C35="","",CONCATENATE("Sample ", 'Input Sheet'!B35, "m: ", M33,, K33, J33, " FLUOR in SST. ", "TG ", 'Input Sheet'!I35, "U"))</f>
        <v>Sample 1720m: 100% bright FLUOR in SST. TG 230U</v>
      </c>
      <c r="D33" s="36"/>
      <c r="E33" s="37"/>
      <c r="G33" s="31">
        <f>IF('Input Sheet'!C35="","",100-'Input Sheet'!C35)</f>
        <v>10</v>
      </c>
      <c r="H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3" s="31" t="str">
        <f t="shared" si="0"/>
        <v>very fine to fine</v>
      </c>
      <c r="J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3" s="31" t="str">
        <f>IF('Input Sheet'!F34=0, "NO",CONCATENATE('Input Sheet'!F34, IF('Input Sheet'!F34&gt;0,"% ","")))</f>
        <v xml:space="preserve">100% </v>
      </c>
      <c r="L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" s="31" t="str">
        <f>CONCATENATE(L33, IF('Input Sheet'!J35="",""," siderite in "))</f>
        <v/>
      </c>
      <c r="N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" s="31" t="str">
        <f>CONCATENATE(N33, IF('Input Sheet'!K35="",""," siderite in "))</f>
        <v/>
      </c>
    </row>
    <row r="34" spans="1:15" x14ac:dyDescent="0.35">
      <c r="A34" s="42" t="str">
        <f>IF('Input Sheet'!C36="","",CONCATENATE("Sample ", 'Input Sheet'!B36, "m: ", M34, G34, "% ", "Siltstone, ", O34, 'Input Sheet'!C36, "% ", I34, " Sandstone, ", K34, J34, " FLUOR in SST. ", "TG ", 'Input Sheet'!I36, "U"))</f>
        <v>Sample 1725m: 0% Siltstone, 100% very fine to fine Sandstone, 100% bright FLUOR in SST. TG 200U</v>
      </c>
      <c r="B34" s="28" t="str">
        <f>IF('Input Sheet'!C36="","",CONCATENATE("Sample ", 'Input Sheet'!B36, "m: ", N34, H34, "% ", "Siltstone, ", P34, 'Input Sheet'!C36, "% ", J34, " Sandstone "))</f>
        <v xml:space="preserve">Sample 1725m: veryfine to fine% Siltstone, 100% bright Sandstone </v>
      </c>
      <c r="C34" s="28" t="str">
        <f>IF('Input Sheet'!C36="","",CONCATENATE("Sample ", 'Input Sheet'!B36, "m: ", M34,, K34, J34, " FLUOR in SST. ", "TG ", 'Input Sheet'!I36, "U"))</f>
        <v>Sample 1725m: 100% bright FLUOR in SST. TG 200U</v>
      </c>
      <c r="G34" s="31">
        <f>IF('Input Sheet'!C36="","",100-'Input Sheet'!C36)</f>
        <v>0</v>
      </c>
      <c r="H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4" s="31" t="str">
        <f t="shared" si="0"/>
        <v>very fine to fine</v>
      </c>
      <c r="J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4" s="31" t="str">
        <f>IF('Input Sheet'!F35=0, "NO",CONCATENATE('Input Sheet'!F35, IF('Input Sheet'!F35&gt;0,"% ","")))</f>
        <v xml:space="preserve">100% </v>
      </c>
      <c r="L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" s="31" t="str">
        <f>CONCATENATE(L34, IF('Input Sheet'!J36="",""," siderite in "))</f>
        <v/>
      </c>
      <c r="N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" s="31" t="str">
        <f>CONCATENATE(N34, IF('Input Sheet'!K36="",""," siderite in "))</f>
        <v/>
      </c>
    </row>
    <row r="35" spans="1:15" x14ac:dyDescent="0.35">
      <c r="A35" s="42" t="str">
        <f>IF('Input Sheet'!C37="","",CONCATENATE("Sample ", 'Input Sheet'!B37, "m: ", M35, G35, "% ", "Siltstone, ", O35, 'Input Sheet'!C37, "% ", I35, " Sandstone, ", K35, J35, " FLUOR in SST. ", "TG ", 'Input Sheet'!I37, "U"))</f>
        <v>Sample 1730m: 5% Siltstone, 95% very fine to fine Sandstone, 100% bright FLUOR in SST. TG 215U</v>
      </c>
      <c r="B35" s="28" t="str">
        <f>IF('Input Sheet'!C37="","",CONCATENATE("Sample ", 'Input Sheet'!B37, "m: ", N35, H35, "% ", "Siltstone, ", P35, 'Input Sheet'!C37, "% ", J35, " Sandstone "))</f>
        <v xml:space="preserve">Sample 1730m: veryfine to fine% Siltstone, 95% bright Sandstone </v>
      </c>
      <c r="C35" s="28" t="str">
        <f>IF('Input Sheet'!C37="","",CONCATENATE("Sample ", 'Input Sheet'!B37, "m: ", M35,, K35, J35, " FLUOR in SST. ", "TG ", 'Input Sheet'!I37, "U"))</f>
        <v>Sample 1730m: 100% bright FLUOR in SST. TG 215U</v>
      </c>
      <c r="G35" s="31">
        <f>IF('Input Sheet'!C37="","",100-'Input Sheet'!C37)</f>
        <v>5</v>
      </c>
      <c r="H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5" s="31" t="str">
        <f t="shared" si="0"/>
        <v>very fine to fine</v>
      </c>
      <c r="J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5" s="31" t="str">
        <f>IF('Input Sheet'!F36=0, "NO",CONCATENATE('Input Sheet'!F36, IF('Input Sheet'!F36&gt;0,"% ","")))</f>
        <v xml:space="preserve">100% </v>
      </c>
      <c r="L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" s="31" t="str">
        <f>CONCATENATE(L35, IF('Input Sheet'!J37="",""," siderite in "))</f>
        <v/>
      </c>
      <c r="N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" s="31" t="str">
        <f>CONCATENATE(N35, IF('Input Sheet'!K37="",""," siderite in "))</f>
        <v/>
      </c>
    </row>
    <row r="36" spans="1:15" x14ac:dyDescent="0.35">
      <c r="A36" s="42" t="str">
        <f>IF('Input Sheet'!C38="","",CONCATENATE("Sample ", 'Input Sheet'!B38, "m: ", M36, G36, "% ", "Siltstone, ", O36, 'Input Sheet'!C38, "% ", I36, " Sandstone, ", K36, J36, " FLUOR in SST. ", "TG ", 'Input Sheet'!I38, "U"))</f>
        <v>Sample 1735m: 0% Siltstone, 100% very fine to fine Sandstone, 100% bright FLUOR in SST. TG 164U</v>
      </c>
      <c r="B36" s="28" t="str">
        <f>IF('Input Sheet'!C38="","",CONCATENATE("Sample ", 'Input Sheet'!B38, "m: ", N36, H36, "% ", "Siltstone, ", P36, 'Input Sheet'!C38, "% ", J36, " Sandstone "))</f>
        <v xml:space="preserve">Sample 1735m: veryfine to fine% Siltstone, 100% bright Sandstone </v>
      </c>
      <c r="C36" s="28" t="str">
        <f>IF('Input Sheet'!C38="","",CONCATENATE("Sample ", 'Input Sheet'!B38, "m: ", M36,, K36, J36, " FLUOR in SST. ", "TG ", 'Input Sheet'!I38, "U"))</f>
        <v>Sample 1735m: 100% bright FLUOR in SST. TG 164U</v>
      </c>
      <c r="G36" s="31">
        <f>IF('Input Sheet'!C38="","",100-'Input Sheet'!C38)</f>
        <v>0</v>
      </c>
      <c r="H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36" s="31" t="str">
        <f t="shared" si="0"/>
        <v>very fine to fine</v>
      </c>
      <c r="J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6" s="31" t="str">
        <f>IF('Input Sheet'!F37=0, "NO",CONCATENATE('Input Sheet'!F37, IF('Input Sheet'!F37&gt;0,"% ","")))</f>
        <v xml:space="preserve">100% </v>
      </c>
      <c r="L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" s="31" t="str">
        <f>CONCATENATE(L36, IF('Input Sheet'!J38="",""," siderite in "))</f>
        <v/>
      </c>
      <c r="N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" s="31" t="str">
        <f>CONCATENATE(N36, IF('Input Sheet'!K38="",""," siderite in "))</f>
        <v/>
      </c>
    </row>
    <row r="37" spans="1:15" x14ac:dyDescent="0.35">
      <c r="A37" s="42" t="str">
        <f>IF('Input Sheet'!C39="","",CONCATENATE("Sample ", 'Input Sheet'!B39, "m: ", M37, G37, "% ", "Siltstone, ", O37, 'Input Sheet'!C39, "% ", I37, " Sandstone, ", K37, J37, " FLUOR in SST. ", "TG ", 'Input Sheet'!I39, "U"))</f>
        <v>Sample 1740m: 5% Siltstone, 95% fine  Sandstone, 100% bright FLUOR in SST. TG 233U</v>
      </c>
      <c r="B37" s="28" t="str">
        <f>IF('Input Sheet'!C39="","",CONCATENATE("Sample ", 'Input Sheet'!B39, "m: ", N37, H37, "% ", "Siltstone, ", P37, 'Input Sheet'!C39, "% ", J37, " Sandstone "))</f>
        <v xml:space="preserve">Sample 1740m: fine % Siltstone, 95% bright Sandstone </v>
      </c>
      <c r="C37" s="28" t="str">
        <f>IF('Input Sheet'!C39="","",CONCATENATE("Sample ", 'Input Sheet'!B39, "m: ", M37,, K37, J37, " FLUOR in SST. ", "TG ", 'Input Sheet'!I39, "U"))</f>
        <v>Sample 1740m: 100% bright FLUOR in SST. TG 233U</v>
      </c>
      <c r="G37" s="31">
        <f>IF('Input Sheet'!C39="","",100-'Input Sheet'!C39)</f>
        <v>5</v>
      </c>
      <c r="H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fine </v>
      </c>
      <c r="I37" s="31" t="str">
        <f t="shared" si="0"/>
        <v xml:space="preserve">fine </v>
      </c>
      <c r="J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7" s="31" t="str">
        <f>IF('Input Sheet'!F38=0, "NO",CONCATENATE('Input Sheet'!F38, IF('Input Sheet'!F38&gt;0,"% ","")))</f>
        <v xml:space="preserve">100% </v>
      </c>
      <c r="L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" s="31" t="str">
        <f>CONCATENATE(L37, IF('Input Sheet'!J39="",""," siderite in "))</f>
        <v/>
      </c>
      <c r="N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" s="31" t="str">
        <f>CONCATENATE(N37, IF('Input Sheet'!K39="",""," siderite in "))</f>
        <v/>
      </c>
    </row>
    <row r="38" spans="1:15" x14ac:dyDescent="0.35">
      <c r="A38" s="42" t="str">
        <f>IF('Input Sheet'!C40="","",CONCATENATE("Sample ", 'Input Sheet'!B40, "m: ", M38, G38, "% ", "Siltstone, ", O38, 'Input Sheet'!C40, "% ", I38, " Sandstone, ", K38, J38, " FLUOR in SST. ", "TG ", 'Input Sheet'!I40, "U"))</f>
        <v>Sample 1745m: 5% Siltstone, 95% fine Sandstone, 100% bright FLUOR in SST. TG 233U</v>
      </c>
      <c r="B38" s="28" t="str">
        <f>IF('Input Sheet'!C40="","",CONCATENATE("Sample ", 'Input Sheet'!B40, "m: ", N38, H38, "% ", "Siltstone, ", P38, 'Input Sheet'!C40, "% ", J38, " Sandstone "))</f>
        <v xml:space="preserve">Sample 1745m: fine% Siltstone, 95% bright Sandstone </v>
      </c>
      <c r="C38" s="28" t="str">
        <f>IF('Input Sheet'!C40="","",CONCATENATE("Sample ", 'Input Sheet'!B40, "m: ", M38,, K38, J38, " FLUOR in SST. ", "TG ", 'Input Sheet'!I40, "U"))</f>
        <v>Sample 1745m: 100% bright FLUOR in SST. TG 233U</v>
      </c>
      <c r="G38" s="31">
        <f>IF('Input Sheet'!C40="","",100-'Input Sheet'!C40)</f>
        <v>5</v>
      </c>
      <c r="H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38" s="31" t="str">
        <f t="shared" si="0"/>
        <v>fine</v>
      </c>
      <c r="J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8" s="31" t="str">
        <f>IF('Input Sheet'!F39=0, "NO",CONCATENATE('Input Sheet'!F39, IF('Input Sheet'!F39&gt;0,"% ","")))</f>
        <v xml:space="preserve">100% </v>
      </c>
      <c r="L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" s="31" t="str">
        <f>CONCATENATE(L38, IF('Input Sheet'!J40="",""," siderite in "))</f>
        <v/>
      </c>
      <c r="N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" s="31" t="str">
        <f>CONCATENATE(N38, IF('Input Sheet'!K40="",""," siderite in "))</f>
        <v/>
      </c>
    </row>
    <row r="39" spans="1:15" x14ac:dyDescent="0.35">
      <c r="A39" s="42" t="str">
        <f>IF('Input Sheet'!C41="","",CONCATENATE("Sample ", 'Input Sheet'!B41, "m: ", M39, G39, "% ", "Siltstone, ", O39, 'Input Sheet'!C41, "% ", I39, " Sandstone, ", K39, J39, " FLUOR in SST. ", "TG ", 'Input Sheet'!I41, "U"))</f>
        <v>Sample 1750m: 0% Siltstone, 100% fine to medium Sandstone, 100% bright FLUOR in SST. TG 279U</v>
      </c>
      <c r="B39" s="28" t="str">
        <f>IF('Input Sheet'!C41="","",CONCATENATE("Sample ", 'Input Sheet'!B41, "m: ", N39, H39, "% ", "Siltstone, ", P39, 'Input Sheet'!C41, "% ", J39, " Sandstone "))</f>
        <v xml:space="preserve">Sample 1750m: fine to medium% Siltstone, 100% bright Sandstone </v>
      </c>
      <c r="C39" s="28" t="str">
        <f>IF('Input Sheet'!C41="","",CONCATENATE("Sample ", 'Input Sheet'!B41, "m: ", M39,, K39, J39, " FLUOR in SST. ", "TG ", 'Input Sheet'!I41, "U"))</f>
        <v>Sample 1750m: 100% bright FLUOR in SST. TG 279U</v>
      </c>
      <c r="G39" s="31">
        <f>IF('Input Sheet'!C41="","",100-'Input Sheet'!C41)</f>
        <v>0</v>
      </c>
      <c r="H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39" s="31" t="str">
        <f t="shared" si="0"/>
        <v>fine to medium</v>
      </c>
      <c r="J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9" s="31" t="str">
        <f>IF('Input Sheet'!F40=0, "NO",CONCATENATE('Input Sheet'!F40, IF('Input Sheet'!F40&gt;0,"% ","")))</f>
        <v xml:space="preserve">100% </v>
      </c>
      <c r="L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" s="31" t="str">
        <f>CONCATENATE(L39, IF('Input Sheet'!J41="",""," siderite in "))</f>
        <v/>
      </c>
      <c r="N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" s="31" t="str">
        <f>CONCATENATE(N39, IF('Input Sheet'!K41="",""," siderite in "))</f>
        <v/>
      </c>
    </row>
    <row r="40" spans="1:15" x14ac:dyDescent="0.35">
      <c r="A40" s="42" t="str">
        <f>IF('Input Sheet'!C42="","",CONCATENATE("Sample ", 'Input Sheet'!B42, "m: ", M40, G40, "% ", "Siltstone, ", O40, 'Input Sheet'!C42, "% ", I40, " Sandstone, ", K40, J40, " FLUOR in SST. ", "TG ", 'Input Sheet'!I42, "U"))</f>
        <v>Sample 1755m: 10% Siltstone, 90% fine to coarse Sandstone, 100% bright FLUOR in SST. TG 229U</v>
      </c>
      <c r="B40" s="28" t="str">
        <f>IF('Input Sheet'!C42="","",CONCATENATE("Sample ", 'Input Sheet'!B42, "m: ", N40, H40, "% ", "Siltstone, ", P40, 'Input Sheet'!C42, "% ", J40, " Sandstone "))</f>
        <v xml:space="preserve">Sample 1755m: fine to coarse% Siltstone, 90% bright Sandstone </v>
      </c>
      <c r="C40" s="28" t="str">
        <f>IF('Input Sheet'!C42="","",CONCATENATE("Sample ", 'Input Sheet'!B42, "m: ", M40,, K40, J40, " FLUOR in SST. ", "TG ", 'Input Sheet'!I42, "U"))</f>
        <v>Sample 1755m: 100% bright FLUOR in SST. TG 229U</v>
      </c>
      <c r="G40" s="31">
        <f>IF('Input Sheet'!C42="","",100-'Input Sheet'!C42)</f>
        <v>10</v>
      </c>
      <c r="H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40" s="31" t="str">
        <f t="shared" si="0"/>
        <v>fine to coarse</v>
      </c>
      <c r="J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0" s="31" t="str">
        <f>IF('Input Sheet'!F41=0, "NO",CONCATENATE('Input Sheet'!F41, IF('Input Sheet'!F41&gt;0,"% ","")))</f>
        <v xml:space="preserve">100% </v>
      </c>
      <c r="L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" s="31" t="str">
        <f>CONCATENATE(L40, IF('Input Sheet'!J42="",""," siderite in "))</f>
        <v/>
      </c>
      <c r="N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" s="31" t="str">
        <f>CONCATENATE(N40, IF('Input Sheet'!K42="",""," siderite in "))</f>
        <v/>
      </c>
    </row>
    <row r="41" spans="1:15" x14ac:dyDescent="0.35">
      <c r="A41" s="42" t="str">
        <f>IF('Input Sheet'!C43="","",CONCATENATE("Sample ", 'Input Sheet'!B43, "m: ", M41, G41, "% ", "Siltstone, ", O41, 'Input Sheet'!C43, "% ", I41, " Sandstone, ", K41, J41, " FLUOR in SST. ", "TG ", 'Input Sheet'!I43, "U"))</f>
        <v>Sample 1760m: 0% Siltstone, 100% fine to coarse Sandstone, 100% bright FLUOR in SST. TG 265U</v>
      </c>
      <c r="B41" s="28" t="str">
        <f>IF('Input Sheet'!C43="","",CONCATENATE("Sample ", 'Input Sheet'!B43, "m: ", N41, H41, "% ", "Siltstone, ", P41, 'Input Sheet'!C43, "% ", J41, " Sandstone "))</f>
        <v xml:space="preserve">Sample 1760m: fine to coarse% Siltstone, 100% bright Sandstone </v>
      </c>
      <c r="C41" s="28" t="str">
        <f>IF('Input Sheet'!C43="","",CONCATENATE("Sample ", 'Input Sheet'!B43, "m: ", M41,, K41, J41, " FLUOR in SST. ", "TG ", 'Input Sheet'!I43, "U"))</f>
        <v>Sample 1760m: 100% bright FLUOR in SST. TG 265U</v>
      </c>
      <c r="G41" s="31">
        <f>IF('Input Sheet'!C43="","",100-'Input Sheet'!C43)</f>
        <v>0</v>
      </c>
      <c r="H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41" s="31" t="str">
        <f t="shared" si="0"/>
        <v>fine to coarse</v>
      </c>
      <c r="J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1" s="31" t="str">
        <f>IF('Input Sheet'!F42=0, "NO",CONCATENATE('Input Sheet'!F42, IF('Input Sheet'!F42&gt;0,"% ","")))</f>
        <v xml:space="preserve">100% </v>
      </c>
      <c r="L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" s="31" t="str">
        <f>CONCATENATE(L41, IF('Input Sheet'!J43="",""," siderite in "))</f>
        <v/>
      </c>
      <c r="N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" s="31" t="str">
        <f>CONCATENATE(N41, IF('Input Sheet'!K43="",""," siderite in "))</f>
        <v/>
      </c>
    </row>
    <row r="42" spans="1:15" x14ac:dyDescent="0.35">
      <c r="A42" s="42" t="str">
        <f>IF('Input Sheet'!C44="","",CONCATENATE("Sample ", 'Input Sheet'!B44, "m: ", M42, G42, "% ", "Siltstone, ", O42, 'Input Sheet'!C44, "% ", I42, " Sandstone, ", K42, J42, " FLUOR in SST. ", "TG ", 'Input Sheet'!I44, "U"))</f>
        <v>Sample 1770m: 0% Siltstone, 100% fine to medium Sandstone, 100% bright FLUOR in SST. TG 224U</v>
      </c>
      <c r="B42" s="28" t="str">
        <f>IF('Input Sheet'!C44="","",CONCATENATE("Sample ", 'Input Sheet'!B44, "m: ", N42, H42, "% ", "Siltstone, ", P42, 'Input Sheet'!C44, "% ", J42, " Sandstone "))</f>
        <v xml:space="preserve">Sample 1770m: fine to medium% Siltstone, 100% bright Sandstone </v>
      </c>
      <c r="C42" s="28" t="str">
        <f>IF('Input Sheet'!C44="","",CONCATENATE("Sample ", 'Input Sheet'!B44, "m: ", M42,, K42, J42, " FLUOR in SST. ", "TG ", 'Input Sheet'!I44, "U"))</f>
        <v>Sample 1770m: 100% bright FLUOR in SST. TG 224U</v>
      </c>
      <c r="G42" s="31">
        <f>IF('Input Sheet'!C44="","",100-'Input Sheet'!C44)</f>
        <v>0</v>
      </c>
      <c r="H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2" s="31" t="str">
        <f t="shared" si="0"/>
        <v>fine to medium</v>
      </c>
      <c r="J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2" s="31" t="str">
        <f>IF('Input Sheet'!F43=0, "NO",CONCATENATE('Input Sheet'!F43, IF('Input Sheet'!F43&gt;0,"% ","")))</f>
        <v xml:space="preserve">100% </v>
      </c>
      <c r="L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" s="31" t="str">
        <f>CONCATENATE(L42, IF('Input Sheet'!J44="",""," siderite in "))</f>
        <v/>
      </c>
      <c r="N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" s="31" t="str">
        <f>CONCATENATE(N42, IF('Input Sheet'!K44="",""," siderite in "))</f>
        <v/>
      </c>
    </row>
    <row r="43" spans="1:15" x14ac:dyDescent="0.35">
      <c r="A43" s="42" t="str">
        <f>IF('Input Sheet'!C45="","",CONCATENATE("Sample ", 'Input Sheet'!B45, "m: ", M43, G43, "% ", "Siltstone, ", O43, 'Input Sheet'!C45, "% ", I43, " Sandstone, ", K43, J43, " FLUOR in SST. ", "TG ", 'Input Sheet'!I45, "U"))</f>
        <v>Sample 1780m: 0% Siltstone, 100% fine to coarse Sandstone, 100% bright FLUOR in SST. TG 204U</v>
      </c>
      <c r="B43" s="28" t="str">
        <f>IF('Input Sheet'!C45="","",CONCATENATE("Sample ", 'Input Sheet'!B45, "m: ", N43, H43, "% ", "Siltstone, ", P43, 'Input Sheet'!C45, "% ", J43, " Sandstone "))</f>
        <v xml:space="preserve">Sample 1780m: fine to coarse% Siltstone, 100% bright Sandstone </v>
      </c>
      <c r="C43" s="28" t="str">
        <f>IF('Input Sheet'!C45="","",CONCATENATE("Sample ", 'Input Sheet'!B45, "m: ", M43,, K43, J43, " FLUOR in SST. ", "TG ", 'Input Sheet'!I45, "U"))</f>
        <v>Sample 1780m: 100% bright FLUOR in SST. TG 204U</v>
      </c>
      <c r="G43" s="31">
        <f>IF('Input Sheet'!C45="","",100-'Input Sheet'!C45)</f>
        <v>0</v>
      </c>
      <c r="H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43" s="31" t="str">
        <f t="shared" si="0"/>
        <v>fine to coarse</v>
      </c>
      <c r="J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3" s="31" t="str">
        <f>IF('Input Sheet'!F44=0, "NO",CONCATENATE('Input Sheet'!F44, IF('Input Sheet'!F44&gt;0,"% ","")))</f>
        <v xml:space="preserve">100% </v>
      </c>
      <c r="L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" s="31" t="str">
        <f>CONCATENATE(L43, IF('Input Sheet'!J45="",""," siderite in "))</f>
        <v/>
      </c>
      <c r="N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" s="31" t="str">
        <f>CONCATENATE(N43, IF('Input Sheet'!K45="",""," siderite in "))</f>
        <v/>
      </c>
    </row>
    <row r="44" spans="1:15" x14ac:dyDescent="0.35">
      <c r="A44" s="42" t="str">
        <f>IF('Input Sheet'!C46="","",CONCATENATE("Sample ", 'Input Sheet'!B46, "m: ", M44, G44, "% ", "Siltstone, ", O44, 'Input Sheet'!C46, "% ", I44, " Sandstone, ", K44, J44, " FLUOR in SST. ", "TG ", 'Input Sheet'!I46, "U"))</f>
        <v>Sample 1790m: 0% Siltstone, 100% fine to medium Sandstone, 100% moderately bright  to  bright FLUOR in SST. TG 237U</v>
      </c>
      <c r="B44" s="28" t="str">
        <f>IF('Input Sheet'!C46="","",CONCATENATE("Sample ", 'Input Sheet'!B46, "m: ", N44, H44, "% ", "Siltstone, ", P44, 'Input Sheet'!C46, "% ", J44, " Sandstone "))</f>
        <v xml:space="preserve">Sample 1790m: fine to medium% Siltstone, 100% moderately bright  to  bright Sandstone </v>
      </c>
      <c r="C44" s="28" t="str">
        <f>IF('Input Sheet'!C46="","",CONCATENATE("Sample ", 'Input Sheet'!B46, "m: ", M44,, K44, J44, " FLUOR in SST. ", "TG ", 'Input Sheet'!I46, "U"))</f>
        <v>Sample 1790m: 100% moderately bright  to  bright FLUOR in SST. TG 237U</v>
      </c>
      <c r="G44" s="31">
        <f>IF('Input Sheet'!C46="","",100-'Input Sheet'!C46)</f>
        <v>0</v>
      </c>
      <c r="H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4" s="31" t="str">
        <f t="shared" si="0"/>
        <v>fine to medium</v>
      </c>
      <c r="J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4" s="31" t="str">
        <f>IF('Input Sheet'!F45=0, "NO",CONCATENATE('Input Sheet'!F45, IF('Input Sheet'!F45&gt;0,"% ","")))</f>
        <v xml:space="preserve">100% </v>
      </c>
      <c r="L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" s="31" t="str">
        <f>CONCATENATE(L44, IF('Input Sheet'!J46="",""," siderite in "))</f>
        <v/>
      </c>
      <c r="N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" s="31" t="str">
        <f>CONCATENATE(N44, IF('Input Sheet'!K46="",""," siderite in "))</f>
        <v/>
      </c>
    </row>
    <row r="45" spans="1:15" x14ac:dyDescent="0.35">
      <c r="A45" s="42" t="str">
        <f>IF('Input Sheet'!C47="","",CONCATENATE("Sample ", 'Input Sheet'!B47, "m: ", M45, G45, "% ", "Siltstone, ", O45, 'Input Sheet'!C47, "% ", I45, " Sandstone, ", K45, J45, " FLUOR in SST. ", "TG ", 'Input Sheet'!I47, "U"))</f>
        <v>Sample 1800m: 0% Siltstone, 100% fine to medium Sandstone, 100% moderately bright  to  bright FLUOR in SST. TG 258U</v>
      </c>
      <c r="B45" s="28" t="str">
        <f>IF('Input Sheet'!C47="","",CONCATENATE("Sample ", 'Input Sheet'!B47, "m: ", N45, H45, "% ", "Siltstone, ", P45, 'Input Sheet'!C47, "% ", J45, " Sandstone "))</f>
        <v xml:space="preserve">Sample 1800m: fine to medium% Siltstone, 100% moderately bright  to  bright Sandstone </v>
      </c>
      <c r="C45" s="28" t="str">
        <f>IF('Input Sheet'!C47="","",CONCATENATE("Sample ", 'Input Sheet'!B47, "m: ", M45,, K45, J45, " FLUOR in SST. ", "TG ", 'Input Sheet'!I47, "U"))</f>
        <v>Sample 1800m: 100% moderately bright  to  bright FLUOR in SST. TG 258U</v>
      </c>
      <c r="G45" s="31">
        <f>IF('Input Sheet'!C47="","",100-'Input Sheet'!C47)</f>
        <v>0</v>
      </c>
      <c r="H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5" s="31" t="str">
        <f t="shared" si="0"/>
        <v>fine to medium</v>
      </c>
      <c r="J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5" s="31" t="str">
        <f>IF('Input Sheet'!F46=0, "NO",CONCATENATE('Input Sheet'!F46, IF('Input Sheet'!F46&gt;0,"% ","")))</f>
        <v xml:space="preserve">100% </v>
      </c>
      <c r="L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" s="31" t="str">
        <f>CONCATENATE(L45, IF('Input Sheet'!J47="",""," siderite in "))</f>
        <v/>
      </c>
      <c r="N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" s="31" t="str">
        <f>CONCATENATE(N45, IF('Input Sheet'!K47="",""," siderite in "))</f>
        <v/>
      </c>
    </row>
    <row r="46" spans="1:15" x14ac:dyDescent="0.35">
      <c r="A46" s="42" t="str">
        <f>IF('Input Sheet'!C48="","",CONCATENATE("Sample ", 'Input Sheet'!B48, "m: ", M46, G46, "% ", "Siltstone, ", O46, 'Input Sheet'!C48, "% ", I46, " Sandstone, ", K46, J46, " FLUOR in SST. ", "TG ", 'Input Sheet'!I48, "U"))</f>
        <v>Sample 1810m: 0% Siltstone, 100% fine to medium Sandstone, 100% bright FLUOR in SST. TG 215U</v>
      </c>
      <c r="B46" s="28" t="str">
        <f>IF('Input Sheet'!C48="","",CONCATENATE("Sample ", 'Input Sheet'!B48, "m: ", N46, H46, "% ", "Siltstone, ", P46, 'Input Sheet'!C48, "% ", J46, " Sandstone "))</f>
        <v xml:space="preserve">Sample 1810m: fine to medium% Siltstone, 100% bright Sandstone </v>
      </c>
      <c r="C46" s="28" t="str">
        <f>IF('Input Sheet'!C48="","",CONCATENATE("Sample ", 'Input Sheet'!B48, "m: ", M46,, K46, J46, " FLUOR in SST. ", "TG ", 'Input Sheet'!I48, "U"))</f>
        <v>Sample 1810m: 100% bright FLUOR in SST. TG 215U</v>
      </c>
      <c r="G46" s="31">
        <f>IF('Input Sheet'!C48="","",100-'Input Sheet'!C48)</f>
        <v>0</v>
      </c>
      <c r="H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6" s="31" t="str">
        <f t="shared" si="0"/>
        <v>fine to medium</v>
      </c>
      <c r="J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6" s="31" t="str">
        <f>IF('Input Sheet'!F47=0, "NO",CONCATENATE('Input Sheet'!F47, IF('Input Sheet'!F47&gt;0,"% ","")))</f>
        <v xml:space="preserve">100% </v>
      </c>
      <c r="L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" s="31" t="str">
        <f>CONCATENATE(L46, IF('Input Sheet'!J48="",""," siderite in "))</f>
        <v/>
      </c>
      <c r="N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" s="31" t="str">
        <f>CONCATENATE(N46, IF('Input Sheet'!K48="",""," siderite in "))</f>
        <v/>
      </c>
    </row>
    <row r="47" spans="1:15" x14ac:dyDescent="0.35">
      <c r="A47" s="42" t="str">
        <f>IF('Input Sheet'!C49="","",CONCATENATE("Sample ", 'Input Sheet'!B49, "m: ", M47, G47, "% ", "Siltstone, ", O47, 'Input Sheet'!C49, "% ", I47, " Sandstone, ", K47, J47, " FLUOR in SST. ", "TG ", 'Input Sheet'!I49, "U"))</f>
        <v>Sample 1820m: 0% Siltstone, 100% very fine to medium Sandstone, 100% bright FLUOR in SST. TG 259U</v>
      </c>
      <c r="B47" s="28" t="str">
        <f>IF('Input Sheet'!C49="","",CONCATENATE("Sample ", 'Input Sheet'!B49, "m: ", N47, H47, "% ", "Siltstone, ", P47, 'Input Sheet'!C49, "% ", J47, " Sandstone "))</f>
        <v xml:space="preserve">Sample 1820m: veryfine to medium% Siltstone, 100% bright Sandstone </v>
      </c>
      <c r="C47" s="28" t="str">
        <f>IF('Input Sheet'!C49="","",CONCATENATE("Sample ", 'Input Sheet'!B49, "m: ", M47,, K47, J47, " FLUOR in SST. ", "TG ", 'Input Sheet'!I49, "U"))</f>
        <v>Sample 1820m: 100% bright FLUOR in SST. TG 259U</v>
      </c>
      <c r="G47" s="31">
        <f>IF('Input Sheet'!C49="","",100-'Input Sheet'!C49)</f>
        <v>0</v>
      </c>
      <c r="H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47" s="31" t="str">
        <f t="shared" si="0"/>
        <v>very fine to medium</v>
      </c>
      <c r="J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7" s="31" t="str">
        <f>IF('Input Sheet'!F48=0, "NO",CONCATENATE('Input Sheet'!F48, IF('Input Sheet'!F48&gt;0,"% ","")))</f>
        <v xml:space="preserve">100% </v>
      </c>
      <c r="L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" s="31" t="str">
        <f>CONCATENATE(L47, IF('Input Sheet'!J49="",""," siderite in "))</f>
        <v/>
      </c>
      <c r="N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" s="31" t="str">
        <f>CONCATENATE(N47, IF('Input Sheet'!K49="",""," siderite in "))</f>
        <v/>
      </c>
    </row>
    <row r="48" spans="1:15" x14ac:dyDescent="0.35">
      <c r="A48" s="42" t="str">
        <f>IF('Input Sheet'!C50="","",CONCATENATE("Sample ", 'Input Sheet'!B50, "m: ", M48, G48, "% ", "Siltstone, ", O48, 'Input Sheet'!C50, "% ", I48, " Sandstone, ", K48, J48, " FLUOR in SST. ", "TG ", 'Input Sheet'!I50, "U"))</f>
        <v>Sample 1830m: 0% Siltstone, 100% very fine to medium Sandstone, 100% bright FLUOR in SST. TG 232U</v>
      </c>
      <c r="B48" s="28" t="str">
        <f>IF('Input Sheet'!C50="","",CONCATENATE("Sample ", 'Input Sheet'!B50, "m: ", N48, H48, "% ", "Siltstone, ", P48, 'Input Sheet'!C50, "% ", J48, " Sandstone "))</f>
        <v xml:space="preserve">Sample 1830m: veryfine to medium% Siltstone, 100% bright Sandstone </v>
      </c>
      <c r="C48" s="28" t="str">
        <f>IF('Input Sheet'!C50="","",CONCATENATE("Sample ", 'Input Sheet'!B50, "m: ", M48,, K48, J48, " FLUOR in SST. ", "TG ", 'Input Sheet'!I50, "U"))</f>
        <v>Sample 1830m: 100% bright FLUOR in SST. TG 232U</v>
      </c>
      <c r="G48" s="31">
        <f>IF('Input Sheet'!C50="","",100-'Input Sheet'!C50)</f>
        <v>0</v>
      </c>
      <c r="H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48" s="31" t="str">
        <f t="shared" si="0"/>
        <v>very fine to medium</v>
      </c>
      <c r="J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8" s="31" t="str">
        <f>IF('Input Sheet'!F49=0, "NO",CONCATENATE('Input Sheet'!F49, IF('Input Sheet'!F49&gt;0,"% ","")))</f>
        <v xml:space="preserve">100% </v>
      </c>
      <c r="L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" s="31" t="str">
        <f>CONCATENATE(L48, IF('Input Sheet'!J50="",""," siderite in "))</f>
        <v/>
      </c>
      <c r="N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" s="31" t="str">
        <f>CONCATENATE(N48, IF('Input Sheet'!K50="",""," siderite in "))</f>
        <v/>
      </c>
    </row>
    <row r="49" spans="1:15" x14ac:dyDescent="0.35">
      <c r="A49" s="42" t="str">
        <f>IF('Input Sheet'!C51="","",CONCATENATE("Sample ", 'Input Sheet'!B51, "m: ", M49, G49, "% ", "Siltstone, ", O49, 'Input Sheet'!C51, "% ", I49, " Sandstone, ", K49, J49, " FLUOR in SST. ", "TG ", 'Input Sheet'!I51, "U"))</f>
        <v>Sample 1840m: 0% Siltstone, 100% fine to medium Sandstone, 100% bright FLUOR in SST. TG 364U</v>
      </c>
      <c r="B49" s="28" t="str">
        <f>IF('Input Sheet'!C51="","",CONCATENATE("Sample ", 'Input Sheet'!B51, "m: ", N49, H49, "% ", "Siltstone, ", P49, 'Input Sheet'!C51, "% ", J49, " Sandstone "))</f>
        <v xml:space="preserve">Sample 1840m: fine to medium% Siltstone, 100% bright Sandstone </v>
      </c>
      <c r="C49" s="28" t="str">
        <f>IF('Input Sheet'!C51="","",CONCATENATE("Sample ", 'Input Sheet'!B51, "m: ", M49,, K49, J49, " FLUOR in SST. ", "TG ", 'Input Sheet'!I51, "U"))</f>
        <v>Sample 1840m: 100% bright FLUOR in SST. TG 364U</v>
      </c>
      <c r="G49" s="31">
        <f>IF('Input Sheet'!C51="","",100-'Input Sheet'!C51)</f>
        <v>0</v>
      </c>
      <c r="H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49" s="31" t="str">
        <f t="shared" si="0"/>
        <v>fine to medium</v>
      </c>
      <c r="J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9" s="31" t="str">
        <f>IF('Input Sheet'!F50=0, "NO",CONCATENATE('Input Sheet'!F50, IF('Input Sheet'!F50&gt;0,"% ","")))</f>
        <v xml:space="preserve">100% </v>
      </c>
      <c r="L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" s="31" t="str">
        <f>CONCATENATE(L49, IF('Input Sheet'!J51="",""," siderite in "))</f>
        <v/>
      </c>
      <c r="N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" s="31" t="str">
        <f>CONCATENATE(N49, IF('Input Sheet'!K51="",""," siderite in "))</f>
        <v/>
      </c>
    </row>
    <row r="50" spans="1:15" x14ac:dyDescent="0.35">
      <c r="A50" s="42" t="str">
        <f>IF('Input Sheet'!C52="","",CONCATENATE("Sample ", 'Input Sheet'!B52, "m: ", M50, G50, "% ", "Siltstone, ", O50, 'Input Sheet'!C52, "% ", I50, " Sandstone, ", K50, J50, " FLUOR in SST. ", "TG ", 'Input Sheet'!I52, "U"))</f>
        <v>Sample 1850m: 0% Siltstone, 100% very fine to fine Sandstone, 100% bright FLUOR in SST. TG 362U</v>
      </c>
      <c r="B50" s="28" t="str">
        <f>IF('Input Sheet'!C52="","",CONCATENATE("Sample ", 'Input Sheet'!B52, "m: ", N50, H50, "% ", "Siltstone, ", P50, 'Input Sheet'!C52, "% ", J50, " Sandstone "))</f>
        <v xml:space="preserve">Sample 1850m: veryfine to fine% Siltstone, 100% bright Sandstone </v>
      </c>
      <c r="C50" s="28" t="str">
        <f>IF('Input Sheet'!C52="","",CONCATENATE("Sample ", 'Input Sheet'!B52, "m: ", M50,, K50, J50, " FLUOR in SST. ", "TG ", 'Input Sheet'!I52, "U"))</f>
        <v>Sample 1850m: 100% bright FLUOR in SST. TG 362U</v>
      </c>
      <c r="G50" s="31">
        <f>IF('Input Sheet'!C52="","",100-'Input Sheet'!C52)</f>
        <v>0</v>
      </c>
      <c r="H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0" s="31" t="str">
        <f t="shared" si="0"/>
        <v>very fine to fine</v>
      </c>
      <c r="J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0" s="31" t="str">
        <f>IF('Input Sheet'!F51=0, "NO",CONCATENATE('Input Sheet'!F51, IF('Input Sheet'!F51&gt;0,"% ","")))</f>
        <v xml:space="preserve">100% </v>
      </c>
      <c r="L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" s="31" t="str">
        <f>CONCATENATE(L50, IF('Input Sheet'!J52="",""," siderite in "))</f>
        <v/>
      </c>
      <c r="N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" s="31" t="str">
        <f>CONCATENATE(N50, IF('Input Sheet'!K52="",""," siderite in "))</f>
        <v/>
      </c>
    </row>
    <row r="51" spans="1:15" x14ac:dyDescent="0.35">
      <c r="A51" s="42" t="str">
        <f>IF('Input Sheet'!C53="","",CONCATENATE("Sample ", 'Input Sheet'!B53, "m: ", M51, G51, "% ", "Siltstone, ", O51, 'Input Sheet'!C53, "% ", I51, " Sandstone, ", K51, J51, " FLUOR in SST. ", "TG ", 'Input Sheet'!I53, "U"))</f>
        <v>Sample 1860m: 10% Siltstone, 90% fine to coarse Sandstone, 100% moderately bright  to  bright FLUOR in SST. TG 187U</v>
      </c>
      <c r="B51" s="28" t="str">
        <f>IF('Input Sheet'!C53="","",CONCATENATE("Sample ", 'Input Sheet'!B53, "m: ", N51, H51, "% ", "Siltstone, ", P51, 'Input Sheet'!C53, "% ", J51, " Sandstone "))</f>
        <v xml:space="preserve">Sample 1860m: fine to coarse% Siltstone, 90% moderately bright  to  bright Sandstone </v>
      </c>
      <c r="C51" s="28" t="str">
        <f>IF('Input Sheet'!C53="","",CONCATENATE("Sample ", 'Input Sheet'!B53, "m: ", M51,, K51, J51, " FLUOR in SST. ", "TG ", 'Input Sheet'!I53, "U"))</f>
        <v>Sample 1860m: 100% moderately bright  to  bright FLUOR in SST. TG 187U</v>
      </c>
      <c r="G51" s="31">
        <f>IF('Input Sheet'!C53="","",100-'Input Sheet'!C53)</f>
        <v>10</v>
      </c>
      <c r="H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51" s="31" t="str">
        <f t="shared" si="0"/>
        <v>fine to coarse</v>
      </c>
      <c r="J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1" s="31" t="str">
        <f>IF('Input Sheet'!F52=0, "NO",CONCATENATE('Input Sheet'!F52, IF('Input Sheet'!F52&gt;0,"% ","")))</f>
        <v xml:space="preserve">100% </v>
      </c>
      <c r="L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" s="31" t="str">
        <f>CONCATENATE(L51, IF('Input Sheet'!J53="",""," siderite in "))</f>
        <v/>
      </c>
      <c r="N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" s="31" t="str">
        <f>CONCATENATE(N51, IF('Input Sheet'!K53="",""," siderite in "))</f>
        <v/>
      </c>
    </row>
    <row r="52" spans="1:15" x14ac:dyDescent="0.35">
      <c r="A52" s="42" t="str">
        <f>IF('Input Sheet'!C54="","",CONCATENATE("Sample ", 'Input Sheet'!B54, "m: ", M52, G52, "% ", "Siltstone, ", O52, 'Input Sheet'!C54, "% ", I52, " Sandstone, ", K52, J52, " FLUOR in SST. ", "TG ", 'Input Sheet'!I54, "U"))</f>
        <v>Sample 1870m: 0% Siltstone, 100% fine to coarse Sandstone, 70% bright FLUOR in SST. TG 343U</v>
      </c>
      <c r="B52" s="28" t="str">
        <f>IF('Input Sheet'!C54="","",CONCATENATE("Sample ", 'Input Sheet'!B54, "m: ", N52, H52, "% ", "Siltstone, ", P52, 'Input Sheet'!C54, "% ", J52, " Sandstone "))</f>
        <v xml:space="preserve">Sample 1870m: fine to coarse% Siltstone, 100% bright Sandstone </v>
      </c>
      <c r="C52" s="28" t="str">
        <f>IF('Input Sheet'!C54="","",CONCATENATE("Sample ", 'Input Sheet'!B54, "m: ", M52,, K52, J52, " FLUOR in SST. ", "TG ", 'Input Sheet'!I54, "U"))</f>
        <v>Sample 1870m: 70% bright FLUOR in SST. TG 343U</v>
      </c>
      <c r="G52" s="31">
        <f>IF('Input Sheet'!C54="","",100-'Input Sheet'!C54)</f>
        <v>0</v>
      </c>
      <c r="H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52" s="31" t="str">
        <f t="shared" si="0"/>
        <v>fine to coarse</v>
      </c>
      <c r="J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2" s="31" t="str">
        <f>IF('Input Sheet'!F53=0, "NO",CONCATENATE('Input Sheet'!F53, IF('Input Sheet'!F53&gt;0,"% ","")))</f>
        <v xml:space="preserve">70% </v>
      </c>
      <c r="L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" s="31" t="str">
        <f>CONCATENATE(L52, IF('Input Sheet'!J54="",""," siderite in "))</f>
        <v/>
      </c>
      <c r="N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" s="31" t="str">
        <f>CONCATENATE(N52, IF('Input Sheet'!K54="",""," siderite in "))</f>
        <v/>
      </c>
    </row>
    <row r="53" spans="1:15" x14ac:dyDescent="0.35">
      <c r="A53" s="42" t="str">
        <f>IF('Input Sheet'!C55="","",CONCATENATE("Sample ", 'Input Sheet'!B55, "m: ", M53, G53, "% ", "Siltstone, ", O53, 'Input Sheet'!C55, "% ", I53, " Sandstone, ", K53, J53, " FLUOR in SST. ", "TG ", 'Input Sheet'!I55, "U"))</f>
        <v>Sample 1880m: 0% Siltstone, 100% fine to coarse Sandstone, 100% bright FLUOR in SST. TG 272U</v>
      </c>
      <c r="B53" s="28" t="str">
        <f>IF('Input Sheet'!C55="","",CONCATENATE("Sample ", 'Input Sheet'!B55, "m: ", N53, H53, "% ", "Siltstone, ", P53, 'Input Sheet'!C55, "% ", J53, " Sandstone "))</f>
        <v xml:space="preserve">Sample 1880m: fine to coarse% Siltstone, 100% bright Sandstone </v>
      </c>
      <c r="C53" s="28" t="str">
        <f>IF('Input Sheet'!C55="","",CONCATENATE("Sample ", 'Input Sheet'!B55, "m: ", M53,, K53, J53, " FLUOR in SST. ", "TG ", 'Input Sheet'!I55, "U"))</f>
        <v>Sample 1880m: 100% bright FLUOR in SST. TG 272U</v>
      </c>
      <c r="G53" s="31">
        <f>IF('Input Sheet'!C55="","",100-'Input Sheet'!C55)</f>
        <v>0</v>
      </c>
      <c r="H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53" s="31" t="str">
        <f t="shared" si="0"/>
        <v>fine to coarse</v>
      </c>
      <c r="J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3" s="31" t="str">
        <f>IF('Input Sheet'!F54=0, "NO",CONCATENATE('Input Sheet'!F54, IF('Input Sheet'!F54&gt;0,"% ","")))</f>
        <v xml:space="preserve">100% </v>
      </c>
      <c r="L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" s="31" t="str">
        <f>CONCATENATE(L53, IF('Input Sheet'!J55="",""," siderite in "))</f>
        <v/>
      </c>
      <c r="N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" s="31" t="str">
        <f>CONCATENATE(N53, IF('Input Sheet'!K55="",""," siderite in "))</f>
        <v/>
      </c>
    </row>
    <row r="54" spans="1:15" x14ac:dyDescent="0.35">
      <c r="A54" s="42" t="str">
        <f>IF('Input Sheet'!C56="","",CONCATENATE("Sample ", 'Input Sheet'!B56, "m: ", M54, G54, "% ", "Siltstone, ", O54, 'Input Sheet'!C56, "% ", I54, " Sandstone, ", K54, J54, " FLUOR in SST. ", "TG ", 'Input Sheet'!I56, "U"))</f>
        <v>Sample 1890m: 0% Siltstone, 100% fine to medium Sandstone, 100% bright FLUOR in SST. TG 295U</v>
      </c>
      <c r="B54" s="28" t="str">
        <f>IF('Input Sheet'!C56="","",CONCATENATE("Sample ", 'Input Sheet'!B56, "m: ", N54, H54, "% ", "Siltstone, ", P54, 'Input Sheet'!C56, "% ", J54, " Sandstone "))</f>
        <v xml:space="preserve">Sample 1890m: fine to medium% Siltstone, 100% bright Sandstone </v>
      </c>
      <c r="C54" s="28" t="str">
        <f>IF('Input Sheet'!C56="","",CONCATENATE("Sample ", 'Input Sheet'!B56, "m: ", M54,, K54, J54, " FLUOR in SST. ", "TG ", 'Input Sheet'!I56, "U"))</f>
        <v>Sample 1890m: 100% bright FLUOR in SST. TG 295U</v>
      </c>
      <c r="G54" s="31">
        <f>IF('Input Sheet'!C56="","",100-'Input Sheet'!C56)</f>
        <v>0</v>
      </c>
      <c r="H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54" s="31" t="str">
        <f t="shared" si="0"/>
        <v>fine to medium</v>
      </c>
      <c r="J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4" s="31" t="str">
        <f>IF('Input Sheet'!F55=0, "NO",CONCATENATE('Input Sheet'!F55, IF('Input Sheet'!F55&gt;0,"% ","")))</f>
        <v xml:space="preserve">100% </v>
      </c>
      <c r="L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" s="31" t="str">
        <f>CONCATENATE(L54, IF('Input Sheet'!J56="",""," siderite in "))</f>
        <v/>
      </c>
      <c r="N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" s="31" t="str">
        <f>CONCATENATE(N54, IF('Input Sheet'!K56="",""," siderite in "))</f>
        <v/>
      </c>
    </row>
    <row r="55" spans="1:15" x14ac:dyDescent="0.35">
      <c r="A55" s="42" t="str">
        <f>IF('Input Sheet'!C57="","",CONCATENATE("Sample ", 'Input Sheet'!B57, "m: ", M55, G55, "% ", "Siltstone, ", O55, 'Input Sheet'!C57, "% ", I55, " Sandstone, ", K55, J55, " FLUOR in SST. ", "TG ", 'Input Sheet'!I57, "U"))</f>
        <v>Sample 1900m: 5% Siltstone, 95% fine to coarse Sandstone, 100% bright FLUOR in SST. TG 423U</v>
      </c>
      <c r="B55" s="28" t="str">
        <f>IF('Input Sheet'!C57="","",CONCATENATE("Sample ", 'Input Sheet'!B57, "m: ", N55, H55, "% ", "Siltstone, ", P55, 'Input Sheet'!C57, "% ", J55, " Sandstone "))</f>
        <v xml:space="preserve">Sample 1900m: fine to coarse% Siltstone, 95% bright Sandstone </v>
      </c>
      <c r="C55" s="28" t="str">
        <f>IF('Input Sheet'!C57="","",CONCATENATE("Sample ", 'Input Sheet'!B57, "m: ", M55,, K55, J55, " FLUOR in SST. ", "TG ", 'Input Sheet'!I57, "U"))</f>
        <v>Sample 1900m: 100% bright FLUOR in SST. TG 423U</v>
      </c>
      <c r="G55" s="31">
        <f>IF('Input Sheet'!C57="","",100-'Input Sheet'!C57)</f>
        <v>5</v>
      </c>
      <c r="H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55" s="31" t="str">
        <f t="shared" si="0"/>
        <v>fine to coarse</v>
      </c>
      <c r="J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5" s="31" t="str">
        <f>IF('Input Sheet'!F56=0, "NO",CONCATENATE('Input Sheet'!F56, IF('Input Sheet'!F56&gt;0,"% ","")))</f>
        <v xml:space="preserve">100% </v>
      </c>
      <c r="L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" s="31" t="str">
        <f>CONCATENATE(L55, IF('Input Sheet'!J57="",""," siderite in "))</f>
        <v/>
      </c>
      <c r="N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" s="31" t="str">
        <f>CONCATENATE(N55, IF('Input Sheet'!K57="",""," siderite in "))</f>
        <v/>
      </c>
    </row>
    <row r="56" spans="1:15" x14ac:dyDescent="0.35">
      <c r="A56" s="42" t="str">
        <f>IF('Input Sheet'!C58="","",CONCATENATE("Sample ", 'Input Sheet'!B58, "m: ", M56, G56, "% ", "Siltstone, ", O56, 'Input Sheet'!C58, "% ", I56, " Sandstone, ", K56, J56, " FLUOR in SST. ", "TG ", 'Input Sheet'!I58, "U"))</f>
        <v>Sample 1910m: 0% Siltstone, 100% fine to coarse Sandstone, 100% bright FLUOR in SST. TG 274U</v>
      </c>
      <c r="B56" s="28" t="str">
        <f>IF('Input Sheet'!C58="","",CONCATENATE("Sample ", 'Input Sheet'!B58, "m: ", N56, H56, "% ", "Siltstone, ", P56, 'Input Sheet'!C58, "% ", J56, " Sandstone "))</f>
        <v xml:space="preserve">Sample 1910m: fine to coarse% Siltstone, 100% bright Sandstone </v>
      </c>
      <c r="C56" s="28" t="str">
        <f>IF('Input Sheet'!C58="","",CONCATENATE("Sample ", 'Input Sheet'!B58, "m: ", M56,, K56, J56, " FLUOR in SST. ", "TG ", 'Input Sheet'!I58, "U"))</f>
        <v>Sample 1910m: 100% bright FLUOR in SST. TG 274U</v>
      </c>
      <c r="G56" s="31">
        <f>IF('Input Sheet'!C58="","",100-'Input Sheet'!C58)</f>
        <v>0</v>
      </c>
      <c r="H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56" s="31" t="str">
        <f t="shared" si="0"/>
        <v>fine to coarse</v>
      </c>
      <c r="J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6" s="31" t="str">
        <f>IF('Input Sheet'!F57=0, "NO",CONCATENATE('Input Sheet'!F57, IF('Input Sheet'!F57&gt;0,"% ","")))</f>
        <v xml:space="preserve">100% </v>
      </c>
      <c r="L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" s="31" t="str">
        <f>CONCATENATE(L56, IF('Input Sheet'!J58="",""," siderite in "))</f>
        <v/>
      </c>
      <c r="N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" s="31" t="str">
        <f>CONCATENATE(N56, IF('Input Sheet'!K58="",""," siderite in "))</f>
        <v/>
      </c>
    </row>
    <row r="57" spans="1:15" x14ac:dyDescent="0.35">
      <c r="A57" s="42" t="str">
        <f>IF('Input Sheet'!C59="","",CONCATENATE("Sample ", 'Input Sheet'!B59, "m: ", M57, G57, "% ", "Siltstone, ", O57, 'Input Sheet'!C59, "% ", I57, " Sandstone, ", K57, J57, " FLUOR in SST. ", "TG ", 'Input Sheet'!I59, "U"))</f>
        <v>Sample 1920m: 0% Siltstone, 100% fine to coarse Sandstone, 100% bright FLUOR in SST. TG 370U</v>
      </c>
      <c r="B57" s="28" t="str">
        <f>IF('Input Sheet'!C59="","",CONCATENATE("Sample ", 'Input Sheet'!B59, "m: ", N57, H57, "% ", "Siltstone, ", P57, 'Input Sheet'!C59, "% ", J57, " Sandstone "))</f>
        <v xml:space="preserve">Sample 1920m: fine to coarse% Siltstone, 100% bright Sandstone </v>
      </c>
      <c r="C57" s="28" t="str">
        <f>IF('Input Sheet'!C59="","",CONCATENATE("Sample ", 'Input Sheet'!B59, "m: ", M57,, K57, J57, " FLUOR in SST. ", "TG ", 'Input Sheet'!I59, "U"))</f>
        <v>Sample 1920m: 100% bright FLUOR in SST. TG 370U</v>
      </c>
      <c r="G57" s="31">
        <f>IF('Input Sheet'!C59="","",100-'Input Sheet'!C59)</f>
        <v>0</v>
      </c>
      <c r="H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57" s="31" t="str">
        <f t="shared" si="0"/>
        <v>fine to coarse</v>
      </c>
      <c r="J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7" s="31" t="str">
        <f>IF('Input Sheet'!F58=0, "NO",CONCATENATE('Input Sheet'!F58, IF('Input Sheet'!F58&gt;0,"% ","")))</f>
        <v xml:space="preserve">100% </v>
      </c>
      <c r="L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" s="31" t="str">
        <f>CONCATENATE(L57, IF('Input Sheet'!J59="",""," siderite in "))</f>
        <v/>
      </c>
      <c r="N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" s="31" t="str">
        <f>CONCATENATE(N57, IF('Input Sheet'!K59="",""," siderite in "))</f>
        <v/>
      </c>
    </row>
    <row r="58" spans="1:15" x14ac:dyDescent="0.35">
      <c r="A58" s="42" t="str">
        <f>IF('Input Sheet'!C60="","",CONCATENATE("Sample ", 'Input Sheet'!B60, "m: ", M58, G58, "% ", "Siltstone, ", O58, 'Input Sheet'!C60, "% ", I58, " Sandstone, ", K58, J58, " FLUOR in SST. ", "TG ", 'Input Sheet'!I60, "U"))</f>
        <v>Sample 1930m: 0% Siltstone, 100% very fine to coarse Sandstone, 100% bright FLUOR in SST. TG 302U</v>
      </c>
      <c r="B58" s="28" t="str">
        <f>IF('Input Sheet'!C60="","",CONCATENATE("Sample ", 'Input Sheet'!B60, "m: ", N58, H58, "% ", "Siltstone, ", P58, 'Input Sheet'!C60, "% ", J58, " Sandstone "))</f>
        <v xml:space="preserve">Sample 1930m: veryfine to coarse% Siltstone, 100% bright Sandstone </v>
      </c>
      <c r="C58" s="28" t="str">
        <f>IF('Input Sheet'!C60="","",CONCATENATE("Sample ", 'Input Sheet'!B60, "m: ", M58,, K58, J58, " FLUOR in SST. ", "TG ", 'Input Sheet'!I60, "U"))</f>
        <v>Sample 1930m: 100% bright FLUOR in SST. TG 302U</v>
      </c>
      <c r="G58" s="31">
        <f>IF('Input Sheet'!C60="","",100-'Input Sheet'!C60)</f>
        <v>0</v>
      </c>
      <c r="H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58" s="31" t="str">
        <f t="shared" si="0"/>
        <v>very fine to coarse</v>
      </c>
      <c r="J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8" s="31" t="str">
        <f>IF('Input Sheet'!F59=0, "NO",CONCATENATE('Input Sheet'!F59, IF('Input Sheet'!F59&gt;0,"% ","")))</f>
        <v xml:space="preserve">100% </v>
      </c>
      <c r="L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" s="31" t="str">
        <f>CONCATENATE(L58, IF('Input Sheet'!J60="",""," siderite in "))</f>
        <v/>
      </c>
      <c r="N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" s="31" t="str">
        <f>CONCATENATE(N58, IF('Input Sheet'!K60="",""," siderite in "))</f>
        <v/>
      </c>
    </row>
    <row r="59" spans="1:15" x14ac:dyDescent="0.35">
      <c r="A59" s="42" t="str">
        <f>IF('Input Sheet'!C61="","",CONCATENATE("Sample ", 'Input Sheet'!B61, "m: ", M59, G59, "% ", "Siltstone, ", O59, 'Input Sheet'!C61, "% ", I59, " Sandstone, ", K59, J59, " FLUOR in SST. ", "TG ", 'Input Sheet'!I61, "U"))</f>
        <v>Sample 1940m: 0% Siltstone, 100% very fine to coarse Sandstone, 100% bright FLUOR in SST. TG 332U</v>
      </c>
      <c r="B59" s="28" t="str">
        <f>IF('Input Sheet'!C61="","",CONCATENATE("Sample ", 'Input Sheet'!B61, "m: ", N59, H59, "% ", "Siltstone, ", P59, 'Input Sheet'!C61, "% ", J59, " Sandstone "))</f>
        <v xml:space="preserve">Sample 1940m: veryfine to coarse% Siltstone, 100% bright Sandstone </v>
      </c>
      <c r="C59" s="28" t="str">
        <f>IF('Input Sheet'!C61="","",CONCATENATE("Sample ", 'Input Sheet'!B61, "m: ", M59,, K59, J59, " FLUOR in SST. ", "TG ", 'Input Sheet'!I61, "U"))</f>
        <v>Sample 1940m: 100% bright FLUOR in SST. TG 332U</v>
      </c>
      <c r="G59" s="31">
        <f>IF('Input Sheet'!C61="","",100-'Input Sheet'!C61)</f>
        <v>0</v>
      </c>
      <c r="H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59" s="31" t="str">
        <f t="shared" si="0"/>
        <v>very fine to coarse</v>
      </c>
      <c r="J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9" s="31" t="str">
        <f>IF('Input Sheet'!F60=0, "NO",CONCATENATE('Input Sheet'!F60, IF('Input Sheet'!F60&gt;0,"% ","")))</f>
        <v xml:space="preserve">100% </v>
      </c>
      <c r="L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" s="31" t="str">
        <f>CONCATENATE(L59, IF('Input Sheet'!J61="",""," siderite in "))</f>
        <v/>
      </c>
      <c r="N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" s="31" t="str">
        <f>CONCATENATE(N59, IF('Input Sheet'!K61="",""," siderite in "))</f>
        <v/>
      </c>
    </row>
    <row r="60" spans="1:15" x14ac:dyDescent="0.35">
      <c r="A60" s="42" t="str">
        <f>IF('Input Sheet'!C62="","",CONCATENATE("Sample ", 'Input Sheet'!B62, "m: ", M60, G60, "% ", "Siltstone, ", O60, 'Input Sheet'!C62, "% ", I60, " Sandstone, ", K60, J60, " FLUOR in SST. ", "TG ", 'Input Sheet'!I62, "U"))</f>
        <v>Sample 1950m: 0% Siltstone, 100% very fine to coarse Sandstone, 100% moderately bright  to  bright FLUOR in SST. TG 241U</v>
      </c>
      <c r="B60" s="28" t="str">
        <f>IF('Input Sheet'!C62="","",CONCATENATE("Sample ", 'Input Sheet'!B62, "m: ", N60, H60, "% ", "Siltstone, ", P60, 'Input Sheet'!C62, "% ", J60, " Sandstone "))</f>
        <v xml:space="preserve">Sample 1950m: veryfine to coarse% Siltstone, 100% moderately bright  to  bright Sandstone </v>
      </c>
      <c r="C60" s="28" t="str">
        <f>IF('Input Sheet'!C62="","",CONCATENATE("Sample ", 'Input Sheet'!B62, "m: ", M60,, K60, J60, " FLUOR in SST. ", "TG ", 'Input Sheet'!I62, "U"))</f>
        <v>Sample 1950m: 100% moderately bright  to  bright FLUOR in SST. TG 241U</v>
      </c>
      <c r="G60" s="31">
        <f>IF('Input Sheet'!C62="","",100-'Input Sheet'!C62)</f>
        <v>0</v>
      </c>
      <c r="H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60" s="31" t="str">
        <f t="shared" si="0"/>
        <v>very fine to coarse</v>
      </c>
      <c r="J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0" s="31" t="str">
        <f>IF('Input Sheet'!F61=0, "NO",CONCATENATE('Input Sheet'!F61, IF('Input Sheet'!F61&gt;0,"% ","")))</f>
        <v xml:space="preserve">100% </v>
      </c>
      <c r="L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" s="31" t="str">
        <f>CONCATENATE(L60, IF('Input Sheet'!J62="",""," siderite in "))</f>
        <v/>
      </c>
      <c r="N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" s="31" t="str">
        <f>CONCATENATE(N60, IF('Input Sheet'!K62="",""," siderite in "))</f>
        <v/>
      </c>
    </row>
    <row r="61" spans="1:15" x14ac:dyDescent="0.35">
      <c r="A61" s="42" t="str">
        <f>IF('Input Sheet'!C63="","",CONCATENATE("Sample ", 'Input Sheet'!B63, "m: ", M61, G61, "% ", "Siltstone, ", O61, 'Input Sheet'!C63, "% ", I61, " Sandstone, ", K61, J61, " FLUOR in SST. ", "TG ", 'Input Sheet'!I63, "U"))</f>
        <v>Sample 1960m: 0% Siltstone, 100% very fine to coarse Sandstone, 80% moderately bright  to  bright FLUOR in SST. TG 354U</v>
      </c>
      <c r="B61" s="28" t="str">
        <f>IF('Input Sheet'!C63="","",CONCATENATE("Sample ", 'Input Sheet'!B63, "m: ", N61, H61, "% ", "Siltstone, ", P61, 'Input Sheet'!C63, "% ", J61, " Sandstone "))</f>
        <v xml:space="preserve">Sample 1960m: veryfine to coarse% Siltstone, 100% moderately bright  to  bright Sandstone </v>
      </c>
      <c r="C61" s="28" t="str">
        <f>IF('Input Sheet'!C63="","",CONCATENATE("Sample ", 'Input Sheet'!B63, "m: ", M61,, K61, J61, " FLUOR in SST. ", "TG ", 'Input Sheet'!I63, "U"))</f>
        <v>Sample 1960m: 80% moderately bright  to  bright FLUOR in SST. TG 354U</v>
      </c>
      <c r="G61" s="31">
        <f>IF('Input Sheet'!C63="","",100-'Input Sheet'!C63)</f>
        <v>0</v>
      </c>
      <c r="H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61" s="31" t="str">
        <f t="shared" si="0"/>
        <v>very fine to coarse</v>
      </c>
      <c r="J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1" s="31" t="str">
        <f>IF('Input Sheet'!F62=0, "NO",CONCATENATE('Input Sheet'!F62, IF('Input Sheet'!F62&gt;0,"% ","")))</f>
        <v xml:space="preserve">80% </v>
      </c>
      <c r="L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" s="31" t="str">
        <f>CONCATENATE(L61, IF('Input Sheet'!J63="",""," siderite in "))</f>
        <v/>
      </c>
      <c r="N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" s="31" t="str">
        <f>CONCATENATE(N61, IF('Input Sheet'!K63="",""," siderite in "))</f>
        <v/>
      </c>
    </row>
    <row r="62" spans="1:15" x14ac:dyDescent="0.35">
      <c r="A62" s="42" t="str">
        <f>IF('Input Sheet'!C64="","",CONCATENATE("Sample ", 'Input Sheet'!B64, "m: ", M62, G62, "% ", "Siltstone, ", O62, 'Input Sheet'!C64, "% ", I62, " Sandstone, ", K62, J62, " FLUOR in SST. ", "TG ", 'Input Sheet'!I64, "U"))</f>
        <v>Sample 1970m: 0% Siltstone, 100% very fine to coarse Sandstone, 80% moderately bright  to  bright FLUOR in SST. TG 296U</v>
      </c>
      <c r="B62" s="28" t="str">
        <f>IF('Input Sheet'!C64="","",CONCATENATE("Sample ", 'Input Sheet'!B64, "m: ", N62, H62, "% ", "Siltstone, ", P62, 'Input Sheet'!C64, "% ", J62, " Sandstone "))</f>
        <v xml:space="preserve">Sample 1970m: veryfine to coarse% Siltstone, 100% moderately bright  to  bright Sandstone </v>
      </c>
      <c r="C62" s="28" t="str">
        <f>IF('Input Sheet'!C64="","",CONCATENATE("Sample ", 'Input Sheet'!B64, "m: ", M62,, K62, J62, " FLUOR in SST. ", "TG ", 'Input Sheet'!I64, "U"))</f>
        <v>Sample 1970m: 80% moderately bright  to  bright FLUOR in SST. TG 296U</v>
      </c>
      <c r="G62" s="31">
        <f>IF('Input Sheet'!C64="","",100-'Input Sheet'!C64)</f>
        <v>0</v>
      </c>
      <c r="H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62" s="31" t="str">
        <f t="shared" si="0"/>
        <v>very fine to coarse</v>
      </c>
      <c r="J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2" s="31" t="str">
        <f>IF('Input Sheet'!F63=0, "NO",CONCATENATE('Input Sheet'!F63, IF('Input Sheet'!F63&gt;0,"% ","")))</f>
        <v xml:space="preserve">80% </v>
      </c>
      <c r="L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" s="31" t="str">
        <f>CONCATENATE(L62, IF('Input Sheet'!J64="",""," siderite in "))</f>
        <v/>
      </c>
      <c r="N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" s="31" t="str">
        <f>CONCATENATE(N62, IF('Input Sheet'!K64="",""," siderite in "))</f>
        <v/>
      </c>
    </row>
    <row r="63" spans="1:15" x14ac:dyDescent="0.35">
      <c r="A63" s="42" t="str">
        <f>IF('Input Sheet'!C65="","",CONCATENATE("Sample ", 'Input Sheet'!B65, "m: ", M63, G63, "% ", "Siltstone, ", O63, 'Input Sheet'!C65, "% ", I63, " Sandstone, ", K63, J63, " FLUOR in SST. ", "TG ", 'Input Sheet'!I65, "U"))</f>
        <v>Sample 1980m: 0% Siltstone, 100% very fine to coarse Sandstone, 70% moderately bright  to  bright FLUOR in SST. TG 324U</v>
      </c>
      <c r="B63" s="28" t="str">
        <f>IF('Input Sheet'!C65="","",CONCATENATE("Sample ", 'Input Sheet'!B65, "m: ", N63, H63, "% ", "Siltstone, ", P63, 'Input Sheet'!C65, "% ", J63, " Sandstone "))</f>
        <v xml:space="preserve">Sample 1980m: veryfine to coarse% Siltstone, 100% moderately bright  to  bright Sandstone </v>
      </c>
      <c r="C63" s="28" t="str">
        <f>IF('Input Sheet'!C65="","",CONCATENATE("Sample ", 'Input Sheet'!B65, "m: ", M63,, K63, J63, " FLUOR in SST. ", "TG ", 'Input Sheet'!I65, "U"))</f>
        <v>Sample 1980m: 70% moderately bright  to  bright FLUOR in SST. TG 324U</v>
      </c>
      <c r="G63" s="31">
        <f>IF('Input Sheet'!C65="","",100-'Input Sheet'!C65)</f>
        <v>0</v>
      </c>
      <c r="H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63" s="31" t="str">
        <f t="shared" si="0"/>
        <v>very fine to coarse</v>
      </c>
      <c r="J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3" s="31" t="str">
        <f>IF('Input Sheet'!F64=0, "NO",CONCATENATE('Input Sheet'!F64, IF('Input Sheet'!F64&gt;0,"% ","")))</f>
        <v xml:space="preserve">70% </v>
      </c>
      <c r="L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" s="31" t="str">
        <f>CONCATENATE(L63, IF('Input Sheet'!J65="",""," siderite in "))</f>
        <v/>
      </c>
      <c r="N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" s="31" t="str">
        <f>CONCATENATE(N63, IF('Input Sheet'!K65="",""," siderite in "))</f>
        <v/>
      </c>
    </row>
    <row r="64" spans="1:15" x14ac:dyDescent="0.35">
      <c r="A64" s="42" t="str">
        <f>IF('Input Sheet'!C66="","",CONCATENATE("Sample ", 'Input Sheet'!B66, "m: ", M64, G64, "% ", "Siltstone, ", O64, 'Input Sheet'!C66, "% ", I64, " Sandstone, ", K64, J64, " FLUOR in SST. ", "TG ", 'Input Sheet'!I66, "U"))</f>
        <v>Sample 1990m: 0% Siltstone, 100% very fine to medium Sandstone, 90% bright FLUOR in SST. TG 386U</v>
      </c>
      <c r="B64" s="28" t="str">
        <f>IF('Input Sheet'!C66="","",CONCATENATE("Sample ", 'Input Sheet'!B66, "m: ", N64, H64, "% ", "Siltstone, ", P64, 'Input Sheet'!C66, "% ", J64, " Sandstone "))</f>
        <v xml:space="preserve">Sample 1990m: veryfine to medium% Siltstone, 100% bright Sandstone </v>
      </c>
      <c r="C64" s="28" t="str">
        <f>IF('Input Sheet'!C66="","",CONCATENATE("Sample ", 'Input Sheet'!B66, "m: ", M64,, K64, J64, " FLUOR in SST. ", "TG ", 'Input Sheet'!I66, "U"))</f>
        <v>Sample 1990m: 90% bright FLUOR in SST. TG 386U</v>
      </c>
      <c r="G64" s="31">
        <f>IF('Input Sheet'!C66="","",100-'Input Sheet'!C66)</f>
        <v>0</v>
      </c>
      <c r="H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64" s="31" t="str">
        <f t="shared" si="0"/>
        <v>very fine to medium</v>
      </c>
      <c r="J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4" s="31" t="str">
        <f>IF('Input Sheet'!F65=0, "NO",CONCATENATE('Input Sheet'!F65, IF('Input Sheet'!F65&gt;0,"% ","")))</f>
        <v xml:space="preserve">90% </v>
      </c>
      <c r="L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" s="31" t="str">
        <f>CONCATENATE(L64, IF('Input Sheet'!J66="",""," siderite in "))</f>
        <v/>
      </c>
      <c r="N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" s="31" t="str">
        <f>CONCATENATE(N64, IF('Input Sheet'!K66="",""," siderite in "))</f>
        <v/>
      </c>
    </row>
    <row r="65" spans="1:15" x14ac:dyDescent="0.35">
      <c r="A65" s="42" t="str">
        <f>IF('Input Sheet'!C67="","",CONCATENATE("Sample ", 'Input Sheet'!B67, "m: ", M65, G65, "% ", "Siltstone, ", O65, 'Input Sheet'!C67, "% ", I65, " Sandstone, ", K65, J65, " FLUOR in SST. ", "TG ", 'Input Sheet'!I67, "U"))</f>
        <v>Sample 2000m: 0% Siltstone, 100% very fine to fine Sandstone, 100% bright FLUOR in SST. TG 326U</v>
      </c>
      <c r="B65" s="28" t="str">
        <f>IF('Input Sheet'!C67="","",CONCATENATE("Sample ", 'Input Sheet'!B67, "m: ", N65, H65, "% ", "Siltstone, ", P65, 'Input Sheet'!C67, "% ", J65, " Sandstone "))</f>
        <v xml:space="preserve">Sample 2000m: veryfine to fine% Siltstone, 100% bright Sandstone </v>
      </c>
      <c r="C65" s="28" t="str">
        <f>IF('Input Sheet'!C67="","",CONCATENATE("Sample ", 'Input Sheet'!B67, "m: ", M65,, K65, J65, " FLUOR in SST. ", "TG ", 'Input Sheet'!I67, "U"))</f>
        <v>Sample 2000m: 100% bright FLUOR in SST. TG 326U</v>
      </c>
      <c r="G65" s="31">
        <f>IF('Input Sheet'!C67="","",100-'Input Sheet'!C67)</f>
        <v>0</v>
      </c>
      <c r="H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5" s="31" t="str">
        <f t="shared" si="0"/>
        <v>very fine to fine</v>
      </c>
      <c r="J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5" s="31" t="str">
        <f>IF('Input Sheet'!F66=0, "NO",CONCATENATE('Input Sheet'!F66, IF('Input Sheet'!F66&gt;0,"% ","")))</f>
        <v xml:space="preserve">100% </v>
      </c>
      <c r="L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" s="31" t="str">
        <f>CONCATENATE(L65, IF('Input Sheet'!J67="",""," siderite in "))</f>
        <v/>
      </c>
      <c r="N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" s="31" t="str">
        <f>CONCATENATE(N65, IF('Input Sheet'!K67="",""," siderite in "))</f>
        <v/>
      </c>
    </row>
    <row r="66" spans="1:15" x14ac:dyDescent="0.35">
      <c r="A66" s="42" t="str">
        <f>IF('Input Sheet'!C68="","",CONCATENATE("Sample ", 'Input Sheet'!B68, "m: ", M66, G66, "% ", "Siltstone, ", O66, 'Input Sheet'!C68, "% ", I66, " Sandstone, ", K66, J66, " FLUOR in SST. ", "TG ", 'Input Sheet'!I68, "U"))</f>
        <v>Sample 2010m: 0% Siltstone, 100% very fine to fine Sandstone, 100% bright FLUOR in SST. TG 405U</v>
      </c>
      <c r="B66" s="28" t="str">
        <f>IF('Input Sheet'!C68="","",CONCATENATE("Sample ", 'Input Sheet'!B68, "m: ", N66, H66, "% ", "Siltstone, ", P66, 'Input Sheet'!C68, "% ", J66, " Sandstone "))</f>
        <v xml:space="preserve">Sample 2010m: veryfine to fine% Siltstone, 100% bright Sandstone </v>
      </c>
      <c r="C66" s="28" t="str">
        <f>IF('Input Sheet'!C68="","",CONCATENATE("Sample ", 'Input Sheet'!B68, "m: ", M66,, K66, J66, " FLUOR in SST. ", "TG ", 'Input Sheet'!I68, "U"))</f>
        <v>Sample 2010m: 100% bright FLUOR in SST. TG 405U</v>
      </c>
      <c r="G66" s="31">
        <f>IF('Input Sheet'!C68="","",100-'Input Sheet'!C68)</f>
        <v>0</v>
      </c>
      <c r="H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6" s="31" t="str">
        <f t="shared" ref="I66:I129" si="1">SUBSTITUTE(H66, "veryfine", "very fine")</f>
        <v>very fine to fine</v>
      </c>
      <c r="J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6" s="31" t="str">
        <f>IF('Input Sheet'!F67=0, "NO",CONCATENATE('Input Sheet'!F67, IF('Input Sheet'!F67&gt;0,"% ","")))</f>
        <v xml:space="preserve">100% </v>
      </c>
      <c r="L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" s="31" t="str">
        <f>CONCATENATE(L66, IF('Input Sheet'!J68="",""," siderite in "))</f>
        <v/>
      </c>
      <c r="N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" s="31" t="str">
        <f>CONCATENATE(N66, IF('Input Sheet'!K68="",""," siderite in "))</f>
        <v/>
      </c>
    </row>
    <row r="67" spans="1:15" x14ac:dyDescent="0.35">
      <c r="A67" s="42" t="str">
        <f>IF('Input Sheet'!C69="","",CONCATENATE("Sample ", 'Input Sheet'!B69, "m: ", M67, G67, "% ", "Siltstone, ", O67, 'Input Sheet'!C69, "% ", I67, " Sandstone, ", K67, J67, " FLUOR in SST. ", "TG ", 'Input Sheet'!I69, "U"))</f>
        <v>Sample 2020m: 0% Siltstone, 100% very fine to fine Sandstone, 100% bright FLUOR in SST. TG 285U</v>
      </c>
      <c r="B67" s="28" t="str">
        <f>IF('Input Sheet'!C69="","",CONCATENATE("Sample ", 'Input Sheet'!B69, "m: ", N67, H67, "% ", "Siltstone, ", P67, 'Input Sheet'!C69, "% ", J67, " Sandstone "))</f>
        <v xml:space="preserve">Sample 2020m: veryfine to fine% Siltstone, 100% bright Sandstone </v>
      </c>
      <c r="C67" s="28" t="str">
        <f>IF('Input Sheet'!C69="","",CONCATENATE("Sample ", 'Input Sheet'!B69, "m: ", M67,, K67, J67, " FLUOR in SST. ", "TG ", 'Input Sheet'!I69, "U"))</f>
        <v>Sample 2020m: 100% bright FLUOR in SST. TG 285U</v>
      </c>
      <c r="G67" s="31">
        <f>IF('Input Sheet'!C69="","",100-'Input Sheet'!C69)</f>
        <v>0</v>
      </c>
      <c r="H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7" s="31" t="str">
        <f t="shared" si="1"/>
        <v>very fine to fine</v>
      </c>
      <c r="J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7" s="31" t="str">
        <f>IF('Input Sheet'!F68=0, "NO",CONCATENATE('Input Sheet'!F68, IF('Input Sheet'!F68&gt;0,"% ","")))</f>
        <v xml:space="preserve">100% </v>
      </c>
      <c r="L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" s="31" t="str">
        <f>CONCATENATE(L67, IF('Input Sheet'!J69="",""," siderite in "))</f>
        <v/>
      </c>
      <c r="N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" s="31" t="str">
        <f>CONCATENATE(N67, IF('Input Sheet'!K69="",""," siderite in "))</f>
        <v/>
      </c>
    </row>
    <row r="68" spans="1:15" x14ac:dyDescent="0.35">
      <c r="A68" s="42" t="str">
        <f>IF('Input Sheet'!C70="","",CONCATENATE("Sample ", 'Input Sheet'!B70, "m: ", M68, G68, "% ", "Siltstone, ", O68, 'Input Sheet'!C70, "% ", I68, " Sandstone, ", K68, J68, " FLUOR in SST. ", "TG ", 'Input Sheet'!I70, "U"))</f>
        <v>Sample 2030m: 0% Siltstone, 100% very fine to fine Sandstone, 100% bright FLUOR in SST. TG 419U</v>
      </c>
      <c r="B68" s="28" t="str">
        <f>IF('Input Sheet'!C70="","",CONCATENATE("Sample ", 'Input Sheet'!B70, "m: ", N68, H68, "% ", "Siltstone, ", P68, 'Input Sheet'!C70, "% ", J68, " Sandstone "))</f>
        <v xml:space="preserve">Sample 2030m: veryfine to fine% Siltstone, 100% bright Sandstone </v>
      </c>
      <c r="C68" s="28" t="str">
        <f>IF('Input Sheet'!C70="","",CONCATENATE("Sample ", 'Input Sheet'!B70, "m: ", M68,, K68, J68, " FLUOR in SST. ", "TG ", 'Input Sheet'!I70, "U"))</f>
        <v>Sample 2030m: 100% bright FLUOR in SST. TG 419U</v>
      </c>
      <c r="G68" s="31">
        <f>IF('Input Sheet'!C70="","",100-'Input Sheet'!C70)</f>
        <v>0</v>
      </c>
      <c r="H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8" s="31" t="str">
        <f t="shared" si="1"/>
        <v>very fine to fine</v>
      </c>
      <c r="J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8" s="31" t="str">
        <f>IF('Input Sheet'!F69=0, "NO",CONCATENATE('Input Sheet'!F69, IF('Input Sheet'!F69&gt;0,"% ","")))</f>
        <v xml:space="preserve">100% </v>
      </c>
      <c r="L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" s="31" t="str">
        <f>CONCATENATE(L68, IF('Input Sheet'!J70="",""," siderite in "))</f>
        <v/>
      </c>
      <c r="N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" s="31" t="str">
        <f>CONCATENATE(N68, IF('Input Sheet'!K70="",""," siderite in "))</f>
        <v/>
      </c>
    </row>
    <row r="69" spans="1:15" x14ac:dyDescent="0.35">
      <c r="A69" s="42" t="str">
        <f>IF('Input Sheet'!C71="","",CONCATENATE("Sample ", 'Input Sheet'!B71, "m: ", M69, G69, "% ", "Siltstone, ", O69, 'Input Sheet'!C71, "% ", I69, " Sandstone, ", K69, J69, " FLUOR in SST. ", "TG ", 'Input Sheet'!I71, "U"))</f>
        <v>Sample 2040m: 0% Siltstone, 100% very fine to fine Sandstone, 100% bright FLUOR in SST. TG 223U</v>
      </c>
      <c r="B69" s="28" t="str">
        <f>IF('Input Sheet'!C71="","",CONCATENATE("Sample ", 'Input Sheet'!B71, "m: ", N69, H69, "% ", "Siltstone, ", P69, 'Input Sheet'!C71, "% ", J69, " Sandstone "))</f>
        <v xml:space="preserve">Sample 2040m: veryfine to fine% Siltstone, 100% bright Sandstone </v>
      </c>
      <c r="C69" s="28" t="str">
        <f>IF('Input Sheet'!C71="","",CONCATENATE("Sample ", 'Input Sheet'!B71, "m: ", M69,, K69, J69, " FLUOR in SST. ", "TG ", 'Input Sheet'!I71, "U"))</f>
        <v>Sample 2040m: 100% bright FLUOR in SST. TG 223U</v>
      </c>
      <c r="G69" s="31">
        <f>IF('Input Sheet'!C71="","",100-'Input Sheet'!C71)</f>
        <v>0</v>
      </c>
      <c r="H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9" s="31" t="str">
        <f t="shared" si="1"/>
        <v>very fine to fine</v>
      </c>
      <c r="J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9" s="31" t="str">
        <f>IF('Input Sheet'!F70=0, "NO",CONCATENATE('Input Sheet'!F70, IF('Input Sheet'!F70&gt;0,"% ","")))</f>
        <v xml:space="preserve">100% </v>
      </c>
      <c r="L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" s="31" t="str">
        <f>CONCATENATE(L69, IF('Input Sheet'!J71="",""," siderite in "))</f>
        <v/>
      </c>
      <c r="N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" s="31" t="str">
        <f>CONCATENATE(N69, IF('Input Sheet'!K71="",""," siderite in "))</f>
        <v/>
      </c>
    </row>
    <row r="70" spans="1:15" x14ac:dyDescent="0.35">
      <c r="A70" s="42" t="str">
        <f>IF('Input Sheet'!C72="","",CONCATENATE("Sample ", 'Input Sheet'!B72, "m: ", M70, G70, "% ", "Siltstone, ", O70, 'Input Sheet'!C72, "% ", I70, " Sandstone, ", K70, J70, " FLUOR in SST. ", "TG ", 'Input Sheet'!I72, "U"))</f>
        <v>Sample 2050m: 0% Siltstone, 100% very fine to fine Sandstone, 100% bright FLUOR in SST. TG 286U</v>
      </c>
      <c r="B70" s="28" t="str">
        <f>IF('Input Sheet'!C72="","",CONCATENATE("Sample ", 'Input Sheet'!B72, "m: ", N70, H70, "% ", "Siltstone, ", P70, 'Input Sheet'!C72, "% ", J70, " Sandstone "))</f>
        <v xml:space="preserve">Sample 2050m: veryfine to fine% Siltstone, 100% bright Sandstone </v>
      </c>
      <c r="C70" s="28" t="str">
        <f>IF('Input Sheet'!C72="","",CONCATENATE("Sample ", 'Input Sheet'!B72, "m: ", M70,, K70, J70, " FLUOR in SST. ", "TG ", 'Input Sheet'!I72, "U"))</f>
        <v>Sample 2050m: 100% bright FLUOR in SST. TG 286U</v>
      </c>
      <c r="G70" s="31">
        <f>IF('Input Sheet'!C72="","",100-'Input Sheet'!C72)</f>
        <v>0</v>
      </c>
      <c r="H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0" s="31" t="str">
        <f t="shared" si="1"/>
        <v>very fine to fine</v>
      </c>
      <c r="J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0" s="31" t="str">
        <f>IF('Input Sheet'!F71=0, "NO",CONCATENATE('Input Sheet'!F71, IF('Input Sheet'!F71&gt;0,"% ","")))</f>
        <v xml:space="preserve">100% </v>
      </c>
      <c r="L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" s="31" t="str">
        <f>CONCATENATE(L70, IF('Input Sheet'!J72="",""," siderite in "))</f>
        <v/>
      </c>
      <c r="N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" s="31" t="str">
        <f>CONCATENATE(N70, IF('Input Sheet'!K72="",""," siderite in "))</f>
        <v/>
      </c>
    </row>
    <row r="71" spans="1:15" x14ac:dyDescent="0.35">
      <c r="A71" s="42" t="str">
        <f>IF('Input Sheet'!C73="","",CONCATENATE("Sample ", 'Input Sheet'!B73, "m: ", M71, G71, "% ", "Siltstone, ", O71, 'Input Sheet'!C73, "% ", I71, " Sandstone, ", K71, J71, " FLUOR in SST. ", "TG ", 'Input Sheet'!I73, "U"))</f>
        <v>Sample 2060m: 0% Siltstone, 100% very fine to fine Sandstone, 100% bright FLUOR in SST. TG 290U</v>
      </c>
      <c r="B71" s="28" t="str">
        <f>IF('Input Sheet'!C73="","",CONCATENATE("Sample ", 'Input Sheet'!B73, "m: ", N71, H71, "% ", "Siltstone, ", P71, 'Input Sheet'!C73, "% ", J71, " Sandstone "))</f>
        <v xml:space="preserve">Sample 2060m: veryfine to fine% Siltstone, 100% bright Sandstone </v>
      </c>
      <c r="C71" s="28" t="str">
        <f>IF('Input Sheet'!C73="","",CONCATENATE("Sample ", 'Input Sheet'!B73, "m: ", M71,, K71, J71, " FLUOR in SST. ", "TG ", 'Input Sheet'!I73, "U"))</f>
        <v>Sample 2060m: 100% bright FLUOR in SST. TG 290U</v>
      </c>
      <c r="G71" s="31">
        <f>IF('Input Sheet'!C73="","",100-'Input Sheet'!C73)</f>
        <v>0</v>
      </c>
      <c r="H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1" s="31" t="str">
        <f t="shared" si="1"/>
        <v>very fine to fine</v>
      </c>
      <c r="J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1" s="31" t="str">
        <f>IF('Input Sheet'!F72=0, "NO",CONCATENATE('Input Sheet'!F72, IF('Input Sheet'!F72&gt;0,"% ","")))</f>
        <v xml:space="preserve">100% </v>
      </c>
      <c r="L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" s="31" t="str">
        <f>CONCATENATE(L71, IF('Input Sheet'!J73="",""," siderite in "))</f>
        <v/>
      </c>
      <c r="N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" s="31" t="str">
        <f>CONCATENATE(N71, IF('Input Sheet'!K73="",""," siderite in "))</f>
        <v/>
      </c>
    </row>
    <row r="72" spans="1:15" x14ac:dyDescent="0.35">
      <c r="A72" s="42" t="str">
        <f>IF('Input Sheet'!C74="","",CONCATENATE("Sample ", 'Input Sheet'!B74, "m: ", M72, G72, "% ", "Siltstone, ", O72, 'Input Sheet'!C74, "% ", I72, " Sandstone, ", K72, J72, " FLUOR in SST. ", "TG ", 'Input Sheet'!I74, "U"))</f>
        <v>Sample 2070m: 0% Siltstone, 100% very fine to fine Sandstone, 100% bright FLUOR in SST. TG 290U</v>
      </c>
      <c r="B72" s="28" t="str">
        <f>IF('Input Sheet'!C74="","",CONCATENATE("Sample ", 'Input Sheet'!B74, "m: ", N72, H72, "% ", "Siltstone, ", P72, 'Input Sheet'!C74, "% ", J72, " Sandstone "))</f>
        <v xml:space="preserve">Sample 2070m: veryfine to fine% Siltstone, 100% bright Sandstone </v>
      </c>
      <c r="C72" s="28" t="str">
        <f>IF('Input Sheet'!C74="","",CONCATENATE("Sample ", 'Input Sheet'!B74, "m: ", M72,, K72, J72, " FLUOR in SST. ", "TG ", 'Input Sheet'!I74, "U"))</f>
        <v>Sample 2070m: 100% bright FLUOR in SST. TG 290U</v>
      </c>
      <c r="G72" s="31">
        <f>IF('Input Sheet'!C74="","",100-'Input Sheet'!C74)</f>
        <v>0</v>
      </c>
      <c r="H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2" s="31" t="str">
        <f t="shared" si="1"/>
        <v>very fine to fine</v>
      </c>
      <c r="J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2" s="31" t="str">
        <f>IF('Input Sheet'!F73=0, "NO",CONCATENATE('Input Sheet'!F73, IF('Input Sheet'!F73&gt;0,"% ","")))</f>
        <v xml:space="preserve">100% </v>
      </c>
      <c r="L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" s="31" t="str">
        <f>CONCATENATE(L72, IF('Input Sheet'!J74="",""," siderite in "))</f>
        <v/>
      </c>
      <c r="N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" s="31" t="str">
        <f>CONCATENATE(N72, IF('Input Sheet'!K74="",""," siderite in "))</f>
        <v/>
      </c>
    </row>
    <row r="73" spans="1:15" x14ac:dyDescent="0.35">
      <c r="A73" s="42" t="str">
        <f>IF('Input Sheet'!C75="","",CONCATENATE("Sample ", 'Input Sheet'!B75, "m: ", M73, G73, "% ", "Siltstone, ", O73, 'Input Sheet'!C75, "% ", I73, " Sandstone, ", K73, J73, " FLUOR in SST. ", "TG ", 'Input Sheet'!I75, "U"))</f>
        <v>Sample 2080m: 0% Siltstone, 100% very fine to coarse Sandstone, 100% bright FLUOR in SST. TG 307U</v>
      </c>
      <c r="B73" s="28" t="str">
        <f>IF('Input Sheet'!C75="","",CONCATENATE("Sample ", 'Input Sheet'!B75, "m: ", N73, H73, "% ", "Siltstone, ", P73, 'Input Sheet'!C75, "% ", J73, " Sandstone "))</f>
        <v xml:space="preserve">Sample 2080m: veryfine to coarse% Siltstone, 100% bright Sandstone </v>
      </c>
      <c r="C73" s="28" t="str">
        <f>IF('Input Sheet'!C75="","",CONCATENATE("Sample ", 'Input Sheet'!B75, "m: ", M73,, K73, J73, " FLUOR in SST. ", "TG ", 'Input Sheet'!I75, "U"))</f>
        <v>Sample 2080m: 100% bright FLUOR in SST. TG 307U</v>
      </c>
      <c r="G73" s="31">
        <f>IF('Input Sheet'!C75="","",100-'Input Sheet'!C75)</f>
        <v>0</v>
      </c>
      <c r="H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73" s="31" t="str">
        <f t="shared" si="1"/>
        <v>very fine to coarse</v>
      </c>
      <c r="J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3" s="31" t="str">
        <f>IF('Input Sheet'!F74=0, "NO",CONCATENATE('Input Sheet'!F74, IF('Input Sheet'!F74&gt;0,"% ","")))</f>
        <v xml:space="preserve">100% </v>
      </c>
      <c r="L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" s="31" t="str">
        <f>CONCATENATE(L73, IF('Input Sheet'!J75="",""," siderite in "))</f>
        <v/>
      </c>
      <c r="N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" s="31" t="str">
        <f>CONCATENATE(N73, IF('Input Sheet'!K75="",""," siderite in "))</f>
        <v/>
      </c>
    </row>
    <row r="74" spans="1:15" x14ac:dyDescent="0.35">
      <c r="A74" s="42" t="str">
        <f>IF('Input Sheet'!C76="","",CONCATENATE("Sample ", 'Input Sheet'!B76, "m: ", M74, G74, "% ", "Siltstone, ", O74, 'Input Sheet'!C76, "% ", I74, " Sandstone, ", K74, J74, " FLUOR in SST. ", "TG ", 'Input Sheet'!I76, "U"))</f>
        <v>Sample 2090m: 0% Siltstone, 100% very fine to coarse Sandstone, 80% bright FLUOR in SST. TG 395U</v>
      </c>
      <c r="B74" s="28" t="str">
        <f>IF('Input Sheet'!C76="","",CONCATENATE("Sample ", 'Input Sheet'!B76, "m: ", N74, H74, "% ", "Siltstone, ", P74, 'Input Sheet'!C76, "% ", J74, " Sandstone "))</f>
        <v xml:space="preserve">Sample 2090m: veryfine to coarse% Siltstone, 100% bright Sandstone </v>
      </c>
      <c r="C74" s="28" t="str">
        <f>IF('Input Sheet'!C76="","",CONCATENATE("Sample ", 'Input Sheet'!B76, "m: ", M74,, K74, J74, " FLUOR in SST. ", "TG ", 'Input Sheet'!I76, "U"))</f>
        <v>Sample 2090m: 80% bright FLUOR in SST. TG 395U</v>
      </c>
      <c r="G74" s="31">
        <f>IF('Input Sheet'!C76="","",100-'Input Sheet'!C76)</f>
        <v>0</v>
      </c>
      <c r="H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74" s="31" t="str">
        <f t="shared" si="1"/>
        <v>very fine to coarse</v>
      </c>
      <c r="J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4" s="31" t="str">
        <f>IF('Input Sheet'!F75=0, "NO",CONCATENATE('Input Sheet'!F75, IF('Input Sheet'!F75&gt;0,"% ","")))</f>
        <v xml:space="preserve">80% </v>
      </c>
      <c r="L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" s="31" t="str">
        <f>CONCATENATE(L74, IF('Input Sheet'!J76="",""," siderite in "))</f>
        <v/>
      </c>
      <c r="N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" s="31" t="str">
        <f>CONCATENATE(N74, IF('Input Sheet'!K76="",""," siderite in "))</f>
        <v/>
      </c>
    </row>
    <row r="75" spans="1:15" x14ac:dyDescent="0.35">
      <c r="A75" s="42" t="str">
        <f>IF('Input Sheet'!C77="","",CONCATENATE("Sample ", 'Input Sheet'!B77, "m: ", M75, G75, "% ", "Siltstone, ", O75, 'Input Sheet'!C77, "% ", I75, " Sandstone, ", K75, J75, " FLUOR in SST. ", "TG ", 'Input Sheet'!I77, "U"))</f>
        <v>Sample 2100m: 0% Siltstone, 100% very fine to coarse Sandstone, 90% bright FLUOR in SST. TG 410U</v>
      </c>
      <c r="B75" s="28" t="str">
        <f>IF('Input Sheet'!C77="","",CONCATENATE("Sample ", 'Input Sheet'!B77, "m: ", N75, H75, "% ", "Siltstone, ", P75, 'Input Sheet'!C77, "% ", J75, " Sandstone "))</f>
        <v xml:space="preserve">Sample 2100m: veryfine to coarse% Siltstone, 100% bright Sandstone </v>
      </c>
      <c r="C75" s="28" t="str">
        <f>IF('Input Sheet'!C77="","",CONCATENATE("Sample ", 'Input Sheet'!B77, "m: ", M75,, K75, J75, " FLUOR in SST. ", "TG ", 'Input Sheet'!I77, "U"))</f>
        <v>Sample 2100m: 90% bright FLUOR in SST. TG 410U</v>
      </c>
      <c r="G75" s="31">
        <f>IF('Input Sheet'!C77="","",100-'Input Sheet'!C77)</f>
        <v>0</v>
      </c>
      <c r="H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75" s="31" t="str">
        <f t="shared" si="1"/>
        <v>very fine to coarse</v>
      </c>
      <c r="J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5" s="31" t="str">
        <f>IF('Input Sheet'!F76=0, "NO",CONCATENATE('Input Sheet'!F76, IF('Input Sheet'!F76&gt;0,"% ","")))</f>
        <v xml:space="preserve">90% </v>
      </c>
      <c r="L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" s="31" t="str">
        <f>CONCATENATE(L75, IF('Input Sheet'!J77="",""," siderite in "))</f>
        <v/>
      </c>
      <c r="N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" s="31" t="str">
        <f>CONCATENATE(N75, IF('Input Sheet'!K77="",""," siderite in "))</f>
        <v/>
      </c>
    </row>
    <row r="76" spans="1:15" x14ac:dyDescent="0.35">
      <c r="A76" s="42" t="str">
        <f>IF('Input Sheet'!C78="","",CONCATENATE("Sample ", 'Input Sheet'!B78, "m: ", M76, G76, "% ", "Siltstone, ", O76, 'Input Sheet'!C78, "% ", I76, " Sandstone, ", K76, J76, " FLUOR in SST. ", "TG ", 'Input Sheet'!I78, "U"))</f>
        <v>Sample 2110m: 5% Siltstone, 95% very fine to fine Sandstone, 90% bright FLUOR in SST. TG 280U</v>
      </c>
      <c r="B76" s="28" t="str">
        <f>IF('Input Sheet'!C78="","",CONCATENATE("Sample ", 'Input Sheet'!B78, "m: ", N76, H76, "% ", "Siltstone, ", P76, 'Input Sheet'!C78, "% ", J76, " Sandstone "))</f>
        <v xml:space="preserve">Sample 2110m: veryfine to fine% Siltstone, 95% bright Sandstone </v>
      </c>
      <c r="C76" s="28" t="str">
        <f>IF('Input Sheet'!C78="","",CONCATENATE("Sample ", 'Input Sheet'!B78, "m: ", M76,, K76, J76, " FLUOR in SST. ", "TG ", 'Input Sheet'!I78, "U"))</f>
        <v>Sample 2110m: 90% bright FLUOR in SST. TG 280U</v>
      </c>
      <c r="G76" s="31">
        <f>IF('Input Sheet'!C78="","",100-'Input Sheet'!C78)</f>
        <v>5</v>
      </c>
      <c r="H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76" s="31" t="str">
        <f t="shared" si="1"/>
        <v>very fine to fine</v>
      </c>
      <c r="J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6" s="31" t="str">
        <f>IF('Input Sheet'!F77=0, "NO",CONCATENATE('Input Sheet'!F77, IF('Input Sheet'!F77&gt;0,"% ","")))</f>
        <v xml:space="preserve">90% </v>
      </c>
      <c r="L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" s="31" t="str">
        <f>CONCATENATE(L76, IF('Input Sheet'!J78="",""," siderite in "))</f>
        <v/>
      </c>
      <c r="N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" s="31" t="str">
        <f>CONCATENATE(N76, IF('Input Sheet'!K78="",""," siderite in "))</f>
        <v/>
      </c>
    </row>
    <row r="77" spans="1:15" x14ac:dyDescent="0.35">
      <c r="A77" s="42" t="str">
        <f>IF('Input Sheet'!C79="","",CONCATENATE("Sample ", 'Input Sheet'!B79, "m: ", M77, G77, "% ", "Siltstone, ", O77, 'Input Sheet'!C79, "% ", I77, " Sandstone, ", K77, J77, " FLUOR in SST. ", "TG ", 'Input Sheet'!I79, "U"))</f>
        <v>Sample 2120m: 10% Siltstone, 90% very fine to coarse Sandstone, 100% moderately bright  to  bright FLUOR in SST. TG 270U</v>
      </c>
      <c r="B77" s="28" t="str">
        <f>IF('Input Sheet'!C79="","",CONCATENATE("Sample ", 'Input Sheet'!B79, "m: ", N77, H77, "% ", "Siltstone, ", P77, 'Input Sheet'!C79, "% ", J77, " Sandstone "))</f>
        <v xml:space="preserve">Sample 2120m: veryfine to coarse% Siltstone, 90% moderately bright  to  bright Sandstone </v>
      </c>
      <c r="C77" s="28" t="str">
        <f>IF('Input Sheet'!C79="","",CONCATENATE("Sample ", 'Input Sheet'!B79, "m: ", M77,, K77, J77, " FLUOR in SST. ", "TG ", 'Input Sheet'!I79, "U"))</f>
        <v>Sample 2120m: 100% moderately bright  to  bright FLUOR in SST. TG 270U</v>
      </c>
      <c r="G77" s="31">
        <f>IF('Input Sheet'!C79="","",100-'Input Sheet'!C79)</f>
        <v>10</v>
      </c>
      <c r="H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77" s="31" t="str">
        <f t="shared" si="1"/>
        <v>very fine to coarse</v>
      </c>
      <c r="J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7" s="31" t="str">
        <f>IF('Input Sheet'!F78=0, "NO",CONCATENATE('Input Sheet'!F78, IF('Input Sheet'!F78&gt;0,"% ","")))</f>
        <v xml:space="preserve">100% </v>
      </c>
      <c r="L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" s="31" t="str">
        <f>CONCATENATE(L77, IF('Input Sheet'!J79="",""," siderite in "))</f>
        <v/>
      </c>
      <c r="N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" s="31" t="str">
        <f>CONCATENATE(N77, IF('Input Sheet'!K79="",""," siderite in "))</f>
        <v/>
      </c>
    </row>
    <row r="78" spans="1:15" x14ac:dyDescent="0.35">
      <c r="A78" s="42" t="str">
        <f>IF('Input Sheet'!C80="","",CONCATENATE("Sample ", 'Input Sheet'!B80, "m: ", M78, G78, "% ", "Siltstone, ", O78, 'Input Sheet'!C80, "% ", I78, " Sandstone, ", K78, J78, " FLUOR in SST. ", "TG ", 'Input Sheet'!I80, "U"))</f>
        <v>Sample 2130m: 5% Siltstone, 95% very fine to coarse Sandstone, 75% moderately bright  to  bright FLUOR in SST. TG 210U</v>
      </c>
      <c r="B78" s="28" t="str">
        <f>IF('Input Sheet'!C80="","",CONCATENATE("Sample ", 'Input Sheet'!B80, "m: ", N78, H78, "% ", "Siltstone, ", P78, 'Input Sheet'!C80, "% ", J78, " Sandstone "))</f>
        <v xml:space="preserve">Sample 2130m: veryfine to coarse% Siltstone, 95% moderately bright  to  bright Sandstone </v>
      </c>
      <c r="C78" s="28" t="str">
        <f>IF('Input Sheet'!C80="","",CONCATENATE("Sample ", 'Input Sheet'!B80, "m: ", M78,, K78, J78, " FLUOR in SST. ", "TG ", 'Input Sheet'!I80, "U"))</f>
        <v>Sample 2130m: 75% moderately bright  to  bright FLUOR in SST. TG 210U</v>
      </c>
      <c r="G78" s="31">
        <f>IF('Input Sheet'!C80="","",100-'Input Sheet'!C80)</f>
        <v>5</v>
      </c>
      <c r="H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78" s="31" t="str">
        <f t="shared" si="1"/>
        <v>very fine to coarse</v>
      </c>
      <c r="J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8" s="31" t="str">
        <f>IF('Input Sheet'!F79=0, "NO",CONCATENATE('Input Sheet'!F79, IF('Input Sheet'!F79&gt;0,"% ","")))</f>
        <v xml:space="preserve">75% </v>
      </c>
      <c r="L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" s="31" t="str">
        <f>CONCATENATE(L78, IF('Input Sheet'!J80="",""," siderite in "))</f>
        <v/>
      </c>
      <c r="N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" s="31" t="str">
        <f>CONCATENATE(N78, IF('Input Sheet'!K80="",""," siderite in "))</f>
        <v/>
      </c>
    </row>
    <row r="79" spans="1:15" x14ac:dyDescent="0.35">
      <c r="A79" s="42" t="str">
        <f>IF('Input Sheet'!C81="","",CONCATENATE("Sample ", 'Input Sheet'!B81, "m: ", M79, G79, "% ", "Siltstone, ", O79, 'Input Sheet'!C81, "% ", I79, " Sandstone, ", K79, J79, " FLUOR in SST. ", "TG ", 'Input Sheet'!I81, "U"))</f>
        <v>Sample 2140m: 10% Siltstone, 90% fine to coarse Sandstone, 75% moderately bright  to  bright FLUOR in SST. TG 274U</v>
      </c>
      <c r="B79" s="28" t="str">
        <f>IF('Input Sheet'!C81="","",CONCATENATE("Sample ", 'Input Sheet'!B81, "m: ", N79, H79, "% ", "Siltstone, ", P79, 'Input Sheet'!C81, "% ", J79, " Sandstone "))</f>
        <v xml:space="preserve">Sample 2140m: fine to coarse% Siltstone, 90% moderately bright  to  bright Sandstone </v>
      </c>
      <c r="C79" s="28" t="str">
        <f>IF('Input Sheet'!C81="","",CONCATENATE("Sample ", 'Input Sheet'!B81, "m: ", M79,, K79, J79, " FLUOR in SST. ", "TG ", 'Input Sheet'!I81, "U"))</f>
        <v>Sample 2140m: 75% moderately bright  to  bright FLUOR in SST. TG 274U</v>
      </c>
      <c r="G79" s="31">
        <f>IF('Input Sheet'!C81="","",100-'Input Sheet'!C81)</f>
        <v>10</v>
      </c>
      <c r="H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79" s="31" t="str">
        <f t="shared" si="1"/>
        <v>fine to coarse</v>
      </c>
      <c r="J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9" s="31" t="str">
        <f>IF('Input Sheet'!F80=0, "NO",CONCATENATE('Input Sheet'!F80, IF('Input Sheet'!F80&gt;0,"% ","")))</f>
        <v xml:space="preserve">75% </v>
      </c>
      <c r="L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" s="31" t="str">
        <f>CONCATENATE(L79, IF('Input Sheet'!J81="",""," siderite in "))</f>
        <v/>
      </c>
      <c r="N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" s="31" t="str">
        <f>CONCATENATE(N79, IF('Input Sheet'!K81="",""," siderite in "))</f>
        <v/>
      </c>
    </row>
    <row r="80" spans="1:15" x14ac:dyDescent="0.35">
      <c r="A80" s="42" t="str">
        <f>IF('Input Sheet'!C82="","",CONCATENATE("Sample ", 'Input Sheet'!B82, "m: ", M80, G80, "% ", "Siltstone, ", O80, 'Input Sheet'!C82, "% ", I80, " Sandstone, ", K80, J80, " FLUOR in SST. ", "TG ", 'Input Sheet'!I82, "U"))</f>
        <v>Sample 2150m: 10% Siltstone, 90% fine to coarse Sandstone, 75% moderately bright  to  bright FLUOR in SST. TG 263U</v>
      </c>
      <c r="B80" s="28" t="str">
        <f>IF('Input Sheet'!C82="","",CONCATENATE("Sample ", 'Input Sheet'!B82, "m: ", N80, H80, "% ", "Siltstone, ", P80, 'Input Sheet'!C82, "% ", J80, " Sandstone "))</f>
        <v xml:space="preserve">Sample 2150m: fine to coarse% Siltstone, 90% moderately bright  to  bright Sandstone </v>
      </c>
      <c r="C80" s="28" t="str">
        <f>IF('Input Sheet'!C82="","",CONCATENATE("Sample ", 'Input Sheet'!B82, "m: ", M80,, K80, J80, " FLUOR in SST. ", "TG ", 'Input Sheet'!I82, "U"))</f>
        <v>Sample 2150m: 75% moderately bright  to  bright FLUOR in SST. TG 263U</v>
      </c>
      <c r="G80" s="31">
        <f>IF('Input Sheet'!C82="","",100-'Input Sheet'!C82)</f>
        <v>10</v>
      </c>
      <c r="H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0" s="31" t="str">
        <f t="shared" si="1"/>
        <v>fine to coarse</v>
      </c>
      <c r="J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0" s="31" t="str">
        <f>IF('Input Sheet'!F81=0, "NO",CONCATENATE('Input Sheet'!F81, IF('Input Sheet'!F81&gt;0,"% ","")))</f>
        <v xml:space="preserve">75% </v>
      </c>
      <c r="L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" s="31" t="str">
        <f>CONCATENATE(L80, IF('Input Sheet'!J82="",""," siderite in "))</f>
        <v/>
      </c>
      <c r="N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" s="31" t="str">
        <f>CONCATENATE(N80, IF('Input Sheet'!K82="",""," siderite in "))</f>
        <v/>
      </c>
    </row>
    <row r="81" spans="1:15" x14ac:dyDescent="0.35">
      <c r="A81" s="42" t="str">
        <f>IF('Input Sheet'!C83="","",CONCATENATE("Sample ", 'Input Sheet'!B83, "m: ", M81, G81, "% ", "Siltstone, ", O81, 'Input Sheet'!C83, "% ", I81, " Sandstone, ", K81, J81, " FLUOR in SST. ", "TG ", 'Input Sheet'!I83, "U"))</f>
        <v>Sample 2160m: 5% Siltstone, 95% fine to coarse Sandstone, 85% moderately bright  to  bright FLUOR in SST. TG 310U</v>
      </c>
      <c r="B81" s="28" t="str">
        <f>IF('Input Sheet'!C83="","",CONCATENATE("Sample ", 'Input Sheet'!B83, "m: ", N81, H81, "% ", "Siltstone, ", P81, 'Input Sheet'!C83, "% ", J81, " Sandstone "))</f>
        <v xml:space="preserve">Sample 2160m: fine to coarse% Siltstone, 95% moderately bright  to  bright Sandstone </v>
      </c>
      <c r="C81" s="28" t="str">
        <f>IF('Input Sheet'!C83="","",CONCATENATE("Sample ", 'Input Sheet'!B83, "m: ", M81,, K81, J81, " FLUOR in SST. ", "TG ", 'Input Sheet'!I83, "U"))</f>
        <v>Sample 2160m: 85% moderately bright  to  bright FLUOR in SST. TG 310U</v>
      </c>
      <c r="G81" s="31">
        <f>IF('Input Sheet'!C83="","",100-'Input Sheet'!C83)</f>
        <v>5</v>
      </c>
      <c r="H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1" s="31" t="str">
        <f t="shared" si="1"/>
        <v>fine to coarse</v>
      </c>
      <c r="J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1" s="31" t="str">
        <f>IF('Input Sheet'!F82=0, "NO",CONCATENATE('Input Sheet'!F82, IF('Input Sheet'!F82&gt;0,"% ","")))</f>
        <v xml:space="preserve">85% </v>
      </c>
      <c r="L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" s="31" t="str">
        <f>CONCATENATE(L81, IF('Input Sheet'!J83="",""," siderite in "))</f>
        <v/>
      </c>
      <c r="N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" s="31" t="str">
        <f>CONCATENATE(N81, IF('Input Sheet'!K83="",""," siderite in "))</f>
        <v/>
      </c>
    </row>
    <row r="82" spans="1:15" x14ac:dyDescent="0.35">
      <c r="A82" s="42" t="str">
        <f>IF('Input Sheet'!C84="","",CONCATENATE("Sample ", 'Input Sheet'!B84, "m: ", M82, G82, "% ", "Siltstone, ", O82, 'Input Sheet'!C84, "% ", I82, " Sandstone, ", K82, J82, " FLUOR in SST. ", "TG ", 'Input Sheet'!I84, "U"))</f>
        <v>Sample 2170m: 0% Siltstone, 100% fine to coarse Sandstone, 85% moderately bright  to  bright FLUOR in SST. TG 283U</v>
      </c>
      <c r="B82" s="28" t="str">
        <f>IF('Input Sheet'!C84="","",CONCATENATE("Sample ", 'Input Sheet'!B84, "m: ", N82, H82, "% ", "Siltstone, ", P82, 'Input Sheet'!C84, "% ", J82, " Sandstone "))</f>
        <v xml:space="preserve">Sample 2170m: fine to coarse% Siltstone, 100% moderately bright  to  bright Sandstone </v>
      </c>
      <c r="C82" s="28" t="str">
        <f>IF('Input Sheet'!C84="","",CONCATENATE("Sample ", 'Input Sheet'!B84, "m: ", M82,, K82, J82, " FLUOR in SST. ", "TG ", 'Input Sheet'!I84, "U"))</f>
        <v>Sample 2170m: 85% moderately bright  to  bright FLUOR in SST. TG 283U</v>
      </c>
      <c r="G82" s="31">
        <f>IF('Input Sheet'!C84="","",100-'Input Sheet'!C84)</f>
        <v>0</v>
      </c>
      <c r="H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2" s="31" t="str">
        <f t="shared" si="1"/>
        <v>fine to coarse</v>
      </c>
      <c r="J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2" s="31" t="str">
        <f>IF('Input Sheet'!F83=0, "NO",CONCATENATE('Input Sheet'!F83, IF('Input Sheet'!F83&gt;0,"% ","")))</f>
        <v xml:space="preserve">85% </v>
      </c>
      <c r="L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" s="31" t="str">
        <f>CONCATENATE(L82, IF('Input Sheet'!J84="",""," siderite in "))</f>
        <v/>
      </c>
      <c r="N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" s="31" t="str">
        <f>CONCATENATE(N82, IF('Input Sheet'!K84="",""," siderite in "))</f>
        <v/>
      </c>
    </row>
    <row r="83" spans="1:15" x14ac:dyDescent="0.35">
      <c r="A83" s="42" t="str">
        <f>IF('Input Sheet'!C85="","",CONCATENATE("Sample ", 'Input Sheet'!B85, "m: ", M83, G83, "% ", "Siltstone, ", O83, 'Input Sheet'!C85, "% ", I83, " Sandstone, ", K83, J83, " FLUOR in SST. ", "TG ", 'Input Sheet'!I85, "U"))</f>
        <v>Sample 2180m: 0% Siltstone, 100% fine to medium Sandstone, 80% moderately bright  to  bright FLUOR in SST. TG 408U</v>
      </c>
      <c r="B83" s="28" t="str">
        <f>IF('Input Sheet'!C85="","",CONCATENATE("Sample ", 'Input Sheet'!B85, "m: ", N83, H83, "% ", "Siltstone, ", P83, 'Input Sheet'!C85, "% ", J83, " Sandstone "))</f>
        <v xml:space="preserve">Sample 2180m: fine to medium% Siltstone, 100% moderately bright  to  bright Sandstone </v>
      </c>
      <c r="C83" s="28" t="str">
        <f>IF('Input Sheet'!C85="","",CONCATENATE("Sample ", 'Input Sheet'!B85, "m: ", M83,, K83, J83, " FLUOR in SST. ", "TG ", 'Input Sheet'!I85, "U"))</f>
        <v>Sample 2180m: 80% moderately bright  to  bright FLUOR in SST. TG 408U</v>
      </c>
      <c r="G83" s="31">
        <f>IF('Input Sheet'!C85="","",100-'Input Sheet'!C85)</f>
        <v>0</v>
      </c>
      <c r="H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3" s="31" t="str">
        <f t="shared" si="1"/>
        <v>fine to medium</v>
      </c>
      <c r="J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3" s="31" t="str">
        <f>IF('Input Sheet'!F84=0, "NO",CONCATENATE('Input Sheet'!F84, IF('Input Sheet'!F84&gt;0,"% ","")))</f>
        <v xml:space="preserve">80% </v>
      </c>
      <c r="L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" s="31" t="str">
        <f>CONCATENATE(L83, IF('Input Sheet'!J85="",""," siderite in "))</f>
        <v/>
      </c>
      <c r="N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" s="31" t="str">
        <f>CONCATENATE(N83, IF('Input Sheet'!K85="",""," siderite in "))</f>
        <v/>
      </c>
    </row>
    <row r="84" spans="1:15" x14ac:dyDescent="0.35">
      <c r="A84" s="42" t="str">
        <f>IF('Input Sheet'!C86="","",CONCATENATE("Sample ", 'Input Sheet'!B86, "m: ", M84, G84, "% ", "Siltstone, ", O84, 'Input Sheet'!C86, "% ", I84, " Sandstone, ", K84, J84, " FLUOR in SST. ", "TG ", 'Input Sheet'!I86, "U"))</f>
        <v>Sample 2190m: 0% Siltstone, 100% very fine to medium Sandstone, 90% bright FLUOR in SST. TG 285U</v>
      </c>
      <c r="B84" s="28" t="str">
        <f>IF('Input Sheet'!C86="","",CONCATENATE("Sample ", 'Input Sheet'!B86, "m: ", N84, H84, "% ", "Siltstone, ", P84, 'Input Sheet'!C86, "% ", J84, " Sandstone "))</f>
        <v xml:space="preserve">Sample 2190m: veryfine to medium% Siltstone, 100% bright Sandstone </v>
      </c>
      <c r="C84" s="28" t="str">
        <f>IF('Input Sheet'!C86="","",CONCATENATE("Sample ", 'Input Sheet'!B86, "m: ", M84,, K84, J84, " FLUOR in SST. ", "TG ", 'Input Sheet'!I86, "U"))</f>
        <v>Sample 2190m: 90% bright FLUOR in SST. TG 285U</v>
      </c>
      <c r="G84" s="31">
        <f>IF('Input Sheet'!C86="","",100-'Input Sheet'!C86)</f>
        <v>0</v>
      </c>
      <c r="H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84" s="31" t="str">
        <f t="shared" si="1"/>
        <v>very fine to medium</v>
      </c>
      <c r="J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4" s="31" t="str">
        <f>IF('Input Sheet'!F85=0, "NO",CONCATENATE('Input Sheet'!F85, IF('Input Sheet'!F85&gt;0,"% ","")))</f>
        <v xml:space="preserve">90% </v>
      </c>
      <c r="L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" s="31" t="str">
        <f>CONCATENATE(L84, IF('Input Sheet'!J86="",""," siderite in "))</f>
        <v/>
      </c>
      <c r="N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" s="31" t="str">
        <f>CONCATENATE(N84, IF('Input Sheet'!K86="",""," siderite in "))</f>
        <v/>
      </c>
    </row>
    <row r="85" spans="1:15" x14ac:dyDescent="0.35">
      <c r="A85" s="42" t="str">
        <f>IF('Input Sheet'!C87="","",CONCATENATE("Sample ", 'Input Sheet'!B87, "m: ", M85, G85, "% ", "Siltstone, ", O85, 'Input Sheet'!C87, "% ", I85, " Sandstone, ", K85, J85, " FLUOR in SST. ", "TG ", 'Input Sheet'!I87, "U"))</f>
        <v>Sample 2200m: 0% Siltstone, 100% fine to coarse Sandstone, 100% moderately bright  to  bright FLUOR in SST. TG 270U</v>
      </c>
      <c r="B85" s="28" t="str">
        <f>IF('Input Sheet'!C87="","",CONCATENATE("Sample ", 'Input Sheet'!B87, "m: ", N85, H85, "% ", "Siltstone, ", P85, 'Input Sheet'!C87, "% ", J85, " Sandstone "))</f>
        <v xml:space="preserve">Sample 2200m: fine to coarse% Siltstone, 100% moderately bright  to  bright Sandstone </v>
      </c>
      <c r="C85" s="28" t="str">
        <f>IF('Input Sheet'!C87="","",CONCATENATE("Sample ", 'Input Sheet'!B87, "m: ", M85,, K85, J85, " FLUOR in SST. ", "TG ", 'Input Sheet'!I87, "U"))</f>
        <v>Sample 2200m: 100% moderately bright  to  bright FLUOR in SST. TG 270U</v>
      </c>
      <c r="G85" s="31">
        <f>IF('Input Sheet'!C87="","",100-'Input Sheet'!C87)</f>
        <v>0</v>
      </c>
      <c r="H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5" s="31" t="str">
        <f t="shared" si="1"/>
        <v>fine to coarse</v>
      </c>
      <c r="J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5" s="31" t="str">
        <f>IF('Input Sheet'!F86=0, "NO",CONCATENATE('Input Sheet'!F86, IF('Input Sheet'!F86&gt;0,"% ","")))</f>
        <v xml:space="preserve">100% </v>
      </c>
      <c r="L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" s="31" t="str">
        <f>CONCATENATE(L85, IF('Input Sheet'!J87="",""," siderite in "))</f>
        <v/>
      </c>
      <c r="N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" s="31" t="str">
        <f>CONCATENATE(N85, IF('Input Sheet'!K87="",""," siderite in "))</f>
        <v/>
      </c>
    </row>
    <row r="86" spans="1:15" x14ac:dyDescent="0.35">
      <c r="A86" s="42" t="str">
        <f>IF('Input Sheet'!C88="","",CONCATENATE("Sample ", 'Input Sheet'!B88, "m: ", M86, G86, "% ", "Siltstone, ", O86, 'Input Sheet'!C88, "% ", I86, " Sandstone, ", K86, J86, " FLUOR in SST. ", "TG ", 'Input Sheet'!I88, "U"))</f>
        <v>Sample 2210m: 0% Siltstone, 100% fine to medium Sandstone, 100% bright FLUOR in SST. TG 290U</v>
      </c>
      <c r="B86" s="28" t="str">
        <f>IF('Input Sheet'!C88="","",CONCATENATE("Sample ", 'Input Sheet'!B88, "m: ", N86, H86, "% ", "Siltstone, ", P86, 'Input Sheet'!C88, "% ", J86, " Sandstone "))</f>
        <v xml:space="preserve">Sample 2210m: fine to medium% Siltstone, 100% bright Sandstone </v>
      </c>
      <c r="C86" s="28" t="str">
        <f>IF('Input Sheet'!C88="","",CONCATENATE("Sample ", 'Input Sheet'!B88, "m: ", M86,, K86, J86, " FLUOR in SST. ", "TG ", 'Input Sheet'!I88, "U"))</f>
        <v>Sample 2210m: 100% bright FLUOR in SST. TG 290U</v>
      </c>
      <c r="G86" s="31">
        <f>IF('Input Sheet'!C88="","",100-'Input Sheet'!C88)</f>
        <v>0</v>
      </c>
      <c r="H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6" s="31" t="str">
        <f t="shared" si="1"/>
        <v>fine to medium</v>
      </c>
      <c r="J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6" s="31" t="str">
        <f>IF('Input Sheet'!F87=0, "NO",CONCATENATE('Input Sheet'!F87, IF('Input Sheet'!F87&gt;0,"% ","")))</f>
        <v xml:space="preserve">100% </v>
      </c>
      <c r="L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" s="31" t="str">
        <f>CONCATENATE(L86, IF('Input Sheet'!J88="",""," siderite in "))</f>
        <v/>
      </c>
      <c r="N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" s="31" t="str">
        <f>CONCATENATE(N86, IF('Input Sheet'!K88="",""," siderite in "))</f>
        <v/>
      </c>
    </row>
    <row r="87" spans="1:15" x14ac:dyDescent="0.35">
      <c r="A87" s="42" t="str">
        <f>IF('Input Sheet'!C89="","",CONCATENATE("Sample ", 'Input Sheet'!B89, "m: ", M87, G87, "% ", "Siltstone, ", O87, 'Input Sheet'!C89, "% ", I87, " Sandstone, ", K87, J87, " FLUOR in SST. ", "TG ", 'Input Sheet'!I89, "U"))</f>
        <v>Sample 2220m: 0% Siltstone, 100% fine to coarse Sandstone, 100% bright FLUOR in SST. TG 237U</v>
      </c>
      <c r="B87" s="28" t="str">
        <f>IF('Input Sheet'!C89="","",CONCATENATE("Sample ", 'Input Sheet'!B89, "m: ", N87, H87, "% ", "Siltstone, ", P87, 'Input Sheet'!C89, "% ", J87, " Sandstone "))</f>
        <v xml:space="preserve">Sample 2220m: fine to coarse% Siltstone, 100% bright Sandstone </v>
      </c>
      <c r="C87" s="28" t="str">
        <f>IF('Input Sheet'!C89="","",CONCATENATE("Sample ", 'Input Sheet'!B89, "m: ", M87,, K87, J87, " FLUOR in SST. ", "TG ", 'Input Sheet'!I89, "U"))</f>
        <v>Sample 2220m: 100% bright FLUOR in SST. TG 237U</v>
      </c>
      <c r="G87" s="31">
        <f>IF('Input Sheet'!C89="","",100-'Input Sheet'!C89)</f>
        <v>0</v>
      </c>
      <c r="H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7" s="31" t="str">
        <f t="shared" si="1"/>
        <v>fine to coarse</v>
      </c>
      <c r="J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7" s="31" t="str">
        <f>IF('Input Sheet'!F88=0, "NO",CONCATENATE('Input Sheet'!F88, IF('Input Sheet'!F88&gt;0,"% ","")))</f>
        <v xml:space="preserve">100% </v>
      </c>
      <c r="L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" s="31" t="str">
        <f>CONCATENATE(L87, IF('Input Sheet'!J89="",""," siderite in "))</f>
        <v/>
      </c>
      <c r="N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" s="31" t="str">
        <f>CONCATENATE(N87, IF('Input Sheet'!K89="",""," siderite in "))</f>
        <v/>
      </c>
    </row>
    <row r="88" spans="1:15" x14ac:dyDescent="0.35">
      <c r="A88" s="42" t="str">
        <f>IF('Input Sheet'!C90="","",CONCATENATE("Sample ", 'Input Sheet'!B90, "m: ", M88, G88, "% ", "Siltstone, ", O88, 'Input Sheet'!C90, "% ", I88, " Sandstone, ", K88, J88, " FLUOR in SST. ", "TG ", 'Input Sheet'!I90, "U"))</f>
        <v>Sample 2230m: 0% Siltstone, 100% fine to coarse Sandstone, 100% bright FLUOR in SST. TG 260U</v>
      </c>
      <c r="B88" s="28" t="str">
        <f>IF('Input Sheet'!C90="","",CONCATENATE("Sample ", 'Input Sheet'!B90, "m: ", N88, H88, "% ", "Siltstone, ", P88, 'Input Sheet'!C90, "% ", J88, " Sandstone "))</f>
        <v xml:space="preserve">Sample 2230m: fine to coarse% Siltstone, 100% bright Sandstone </v>
      </c>
      <c r="C88" s="28" t="str">
        <f>IF('Input Sheet'!C90="","",CONCATENATE("Sample ", 'Input Sheet'!B90, "m: ", M88,, K88, J88, " FLUOR in SST. ", "TG ", 'Input Sheet'!I90, "U"))</f>
        <v>Sample 2230m: 100% bright FLUOR in SST. TG 260U</v>
      </c>
      <c r="G88" s="31">
        <f>IF('Input Sheet'!C90="","",100-'Input Sheet'!C90)</f>
        <v>0</v>
      </c>
      <c r="H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88" s="31" t="str">
        <f t="shared" si="1"/>
        <v>fine to coarse</v>
      </c>
      <c r="J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8" s="31" t="str">
        <f>IF('Input Sheet'!F89=0, "NO",CONCATENATE('Input Sheet'!F89, IF('Input Sheet'!F89&gt;0,"% ","")))</f>
        <v xml:space="preserve">100% </v>
      </c>
      <c r="L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" s="31" t="str">
        <f>CONCATENATE(L88, IF('Input Sheet'!J90="",""," siderite in "))</f>
        <v/>
      </c>
      <c r="N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" s="31" t="str">
        <f>CONCATENATE(N88, IF('Input Sheet'!K90="",""," siderite in "))</f>
        <v/>
      </c>
    </row>
    <row r="89" spans="1:15" x14ac:dyDescent="0.35">
      <c r="A89" s="42" t="str">
        <f>IF('Input Sheet'!C91="","",CONCATENATE("Sample ", 'Input Sheet'!B91, "m: ", M89, G89, "% ", "Siltstone, ", O89, 'Input Sheet'!C91, "% ", I89, " Sandstone, ", K89, J89, " FLUOR in SST. ", "TG ", 'Input Sheet'!I91, "U"))</f>
        <v>Sample 2240m: 0% Siltstone, 100% fine to medium Sandstone, 100% bright FLUOR in SST. TG 278U</v>
      </c>
      <c r="B89" s="28" t="str">
        <f>IF('Input Sheet'!C91="","",CONCATENATE("Sample ", 'Input Sheet'!B91, "m: ", N89, H89, "% ", "Siltstone, ", P89, 'Input Sheet'!C91, "% ", J89, " Sandstone "))</f>
        <v xml:space="preserve">Sample 2240m: fine to medium% Siltstone, 100% bright Sandstone </v>
      </c>
      <c r="C89" s="28" t="str">
        <f>IF('Input Sheet'!C91="","",CONCATENATE("Sample ", 'Input Sheet'!B91, "m: ", M89,, K89, J89, " FLUOR in SST. ", "TG ", 'Input Sheet'!I91, "U"))</f>
        <v>Sample 2240m: 100% bright FLUOR in SST. TG 278U</v>
      </c>
      <c r="G89" s="31">
        <f>IF('Input Sheet'!C91="","",100-'Input Sheet'!C91)</f>
        <v>0</v>
      </c>
      <c r="H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89" s="31" t="str">
        <f t="shared" si="1"/>
        <v>fine to medium</v>
      </c>
      <c r="J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9" s="31" t="str">
        <f>IF('Input Sheet'!F90=0, "NO",CONCATENATE('Input Sheet'!F90, IF('Input Sheet'!F90&gt;0,"% ","")))</f>
        <v xml:space="preserve">100% </v>
      </c>
      <c r="L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" s="31" t="str">
        <f>CONCATENATE(L89, IF('Input Sheet'!J91="",""," siderite in "))</f>
        <v/>
      </c>
      <c r="N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" s="31" t="str">
        <f>CONCATENATE(N89, IF('Input Sheet'!K91="",""," siderite in "))</f>
        <v/>
      </c>
    </row>
    <row r="90" spans="1:15" x14ac:dyDescent="0.35">
      <c r="A90" s="42" t="str">
        <f>IF('Input Sheet'!C92="","",CONCATENATE("Sample ", 'Input Sheet'!B92, "m: ", M90, G90, "% ", "Siltstone, ", O90, 'Input Sheet'!C92, "% ", I90, " Sandstone, ", K90, J90, " FLUOR in SST. ", "TG ", 'Input Sheet'!I92, "U"))</f>
        <v>Sample 2250m: 5% Siltstone, 95% fine to medium Sandstone, 100% bright FLUOR in SST. TG 252U</v>
      </c>
      <c r="B90" s="28" t="str">
        <f>IF('Input Sheet'!C92="","",CONCATENATE("Sample ", 'Input Sheet'!B92, "m: ", N90, H90, "% ", "Siltstone, ", P90, 'Input Sheet'!C92, "% ", J90, " Sandstone "))</f>
        <v xml:space="preserve">Sample 2250m: fine to medium% Siltstone, 95% bright Sandstone </v>
      </c>
      <c r="C90" s="28" t="str">
        <f>IF('Input Sheet'!C92="","",CONCATENATE("Sample ", 'Input Sheet'!B92, "m: ", M90,, K90, J90, " FLUOR in SST. ", "TG ", 'Input Sheet'!I92, "U"))</f>
        <v>Sample 2250m: 100% bright FLUOR in SST. TG 252U</v>
      </c>
      <c r="G90" s="31">
        <f>IF('Input Sheet'!C92="","",100-'Input Sheet'!C92)</f>
        <v>5</v>
      </c>
      <c r="H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0" s="31" t="str">
        <f t="shared" si="1"/>
        <v>fine to medium</v>
      </c>
      <c r="J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90" s="31" t="str">
        <f>IF('Input Sheet'!F91=0, "NO",CONCATENATE('Input Sheet'!F91, IF('Input Sheet'!F91&gt;0,"% ","")))</f>
        <v xml:space="preserve">100% </v>
      </c>
      <c r="L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" s="31" t="str">
        <f>CONCATENATE(L90, IF('Input Sheet'!J92="",""," siderite in "))</f>
        <v/>
      </c>
      <c r="N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" s="31" t="str">
        <f>CONCATENATE(N90, IF('Input Sheet'!K92="",""," siderite in "))</f>
        <v/>
      </c>
    </row>
    <row r="91" spans="1:15" x14ac:dyDescent="0.35">
      <c r="A91" s="42" t="str">
        <f>IF('Input Sheet'!C93="","",CONCATENATE("Sample ", 'Input Sheet'!B93, "m: ", M91, G91, "% ", "Siltstone, ", O91, 'Input Sheet'!C93, "% ", I91, " Sandstone, ", K91, J91, " FLUOR in SST. ", "TG ", 'Input Sheet'!I93, "U"))</f>
        <v>Sample 2260m: 10% Siltstone, 90% fine to medium Sandstone, 100% moderately bright  to  bright FLUOR in SST. TG 152U</v>
      </c>
      <c r="B91" s="28" t="str">
        <f>IF('Input Sheet'!C93="","",CONCATENATE("Sample ", 'Input Sheet'!B93, "m: ", N91, H91, "% ", "Siltstone, ", P91, 'Input Sheet'!C93, "% ", J91, " Sandstone "))</f>
        <v xml:space="preserve">Sample 2260m: fine to medium% Siltstone, 90% moderately bright  to  bright Sandstone </v>
      </c>
      <c r="C91" s="28" t="str">
        <f>IF('Input Sheet'!C93="","",CONCATENATE("Sample ", 'Input Sheet'!B93, "m: ", M91,, K91, J91, " FLUOR in SST. ", "TG ", 'Input Sheet'!I93, "U"))</f>
        <v>Sample 2260m: 100% moderately bright  to  bright FLUOR in SST. TG 152U</v>
      </c>
      <c r="G91" s="31">
        <f>IF('Input Sheet'!C93="","",100-'Input Sheet'!C93)</f>
        <v>10</v>
      </c>
      <c r="H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1" s="31" t="str">
        <f t="shared" si="1"/>
        <v>fine to medium</v>
      </c>
      <c r="J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1" s="31" t="str">
        <f>IF('Input Sheet'!F92=0, "NO",CONCATENATE('Input Sheet'!F92, IF('Input Sheet'!F92&gt;0,"% ","")))</f>
        <v xml:space="preserve">100% </v>
      </c>
      <c r="L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" s="31" t="str">
        <f>CONCATENATE(L91, IF('Input Sheet'!J93="",""," siderite in "))</f>
        <v/>
      </c>
      <c r="N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" s="31" t="str">
        <f>CONCATENATE(N91, IF('Input Sheet'!K93="",""," siderite in "))</f>
        <v/>
      </c>
    </row>
    <row r="92" spans="1:15" x14ac:dyDescent="0.35">
      <c r="A92" s="42" t="str">
        <f>IF('Input Sheet'!C94="","",CONCATENATE("Sample ", 'Input Sheet'!B94, "m: ", M92, G92, "% ", "Siltstone, ", O92, 'Input Sheet'!C94, "% ", I92, " Sandstone, ", K92, J92, " FLUOR in SST. ", "TG ", 'Input Sheet'!I94, "U"))</f>
        <v>Sample 2270m: 60% Siltstone, 40% very fine to medium Sandstone, 100% moderately bright FLUOR in SST. TG 153U</v>
      </c>
      <c r="B92" s="28" t="str">
        <f>IF('Input Sheet'!C94="","",CONCATENATE("Sample ", 'Input Sheet'!B94, "m: ", N92, H92, "% ", "Siltstone, ", P92, 'Input Sheet'!C94, "% ", J92, " Sandstone "))</f>
        <v xml:space="preserve">Sample 2270m: veryfine to medium% Siltstone, 40% moderately bright Sandstone </v>
      </c>
      <c r="C92" s="28" t="str">
        <f>IF('Input Sheet'!C94="","",CONCATENATE("Sample ", 'Input Sheet'!B94, "m: ", M92,, K92, J92, " FLUOR in SST. ", "TG ", 'Input Sheet'!I94, "U"))</f>
        <v>Sample 2270m: 100% moderately bright FLUOR in SST. TG 153U</v>
      </c>
      <c r="G92" s="31">
        <f>IF('Input Sheet'!C94="","",100-'Input Sheet'!C94)</f>
        <v>60</v>
      </c>
      <c r="H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2" s="31" t="str">
        <f t="shared" si="1"/>
        <v>very fine to medium</v>
      </c>
      <c r="J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2" s="31" t="str">
        <f>IF('Input Sheet'!F93=0, "NO",CONCATENATE('Input Sheet'!F93, IF('Input Sheet'!F93&gt;0,"% ","")))</f>
        <v xml:space="preserve">100% </v>
      </c>
      <c r="L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" s="31" t="str">
        <f>CONCATENATE(L92, IF('Input Sheet'!J94="",""," siderite in "))</f>
        <v/>
      </c>
      <c r="N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" s="31" t="str">
        <f>CONCATENATE(N92, IF('Input Sheet'!K94="",""," siderite in "))</f>
        <v/>
      </c>
    </row>
    <row r="93" spans="1:15" x14ac:dyDescent="0.35">
      <c r="A93" s="42" t="str">
        <f>IF('Input Sheet'!C95="","",CONCATENATE("Sample ", 'Input Sheet'!B95, "m: ", M93, G93, "% ", "Siltstone, ", O93, 'Input Sheet'!C95, "% ", I93, " Sandstone, ", K93, J93, " FLUOR in SST. ", "TG ", 'Input Sheet'!I95, "U"))</f>
        <v>Sample 2280m: 70% Siltstone, 30% very fine to fine Sandstone, 60% dull  to  moderately bright FLUOR in SST. TG 130U</v>
      </c>
      <c r="B93" s="28" t="str">
        <f>IF('Input Sheet'!C95="","",CONCATENATE("Sample ", 'Input Sheet'!B95, "m: ", N93, H93, "% ", "Siltstone, ", P93, 'Input Sheet'!C95, "% ", J93, " Sandstone "))</f>
        <v xml:space="preserve">Sample 2280m: veryfine to fine% Siltstone, 30% dull  to  moderately bright Sandstone </v>
      </c>
      <c r="C93" s="28" t="str">
        <f>IF('Input Sheet'!C95="","",CONCATENATE("Sample ", 'Input Sheet'!B95, "m: ", M93,, K93, J93, " FLUOR in SST. ", "TG ", 'Input Sheet'!I95, "U"))</f>
        <v>Sample 2280m: 60% dull  to  moderately bright FLUOR in SST. TG 130U</v>
      </c>
      <c r="G93" s="31">
        <f>IF('Input Sheet'!C95="","",100-'Input Sheet'!C95)</f>
        <v>70</v>
      </c>
      <c r="H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3" s="31" t="str">
        <f t="shared" si="1"/>
        <v>very fine to fine</v>
      </c>
      <c r="J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3" s="31" t="str">
        <f>IF('Input Sheet'!F94=0, "NO",CONCATENATE('Input Sheet'!F94, IF('Input Sheet'!F94&gt;0,"% ","")))</f>
        <v xml:space="preserve">60% </v>
      </c>
      <c r="L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" s="31" t="str">
        <f>CONCATENATE(L93, IF('Input Sheet'!J95="",""," siderite in "))</f>
        <v/>
      </c>
      <c r="N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" s="31" t="str">
        <f>CONCATENATE(N93, IF('Input Sheet'!K95="",""," siderite in "))</f>
        <v/>
      </c>
    </row>
    <row r="94" spans="1:15" x14ac:dyDescent="0.35">
      <c r="A94" s="42" t="str">
        <f>IF('Input Sheet'!C96="","",CONCATENATE("Sample ", 'Input Sheet'!B96, "m: ", M94, G94, "% ", "Siltstone, ", O94, 'Input Sheet'!C96, "% ", I94, " Sandstone, ", K94, J94, " FLUOR in SST. ", "TG ", 'Input Sheet'!I96, "U"))</f>
        <v>Sample 2290m: 90% Siltstone, 10% very fine to fine Sandstone, 40% dull FLUOR in SST. TG 115U</v>
      </c>
      <c r="B94" s="28" t="str">
        <f>IF('Input Sheet'!C96="","",CONCATENATE("Sample ", 'Input Sheet'!B96, "m: ", N94, H94, "% ", "Siltstone, ", P94, 'Input Sheet'!C96, "% ", J94, " Sandstone "))</f>
        <v xml:space="preserve">Sample 2290m: veryfine to fine% Siltstone, 10% dull Sandstone </v>
      </c>
      <c r="C94" s="28" t="str">
        <f>IF('Input Sheet'!C96="","",CONCATENATE("Sample ", 'Input Sheet'!B96, "m: ", M94,, K94, J94, " FLUOR in SST. ", "TG ", 'Input Sheet'!I96, "U"))</f>
        <v>Sample 2290m: 40% dull FLUOR in SST. TG 115U</v>
      </c>
      <c r="G94" s="31">
        <f>IF('Input Sheet'!C96="","",100-'Input Sheet'!C96)</f>
        <v>90</v>
      </c>
      <c r="H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4" s="31" t="str">
        <f t="shared" si="1"/>
        <v>very fine to fine</v>
      </c>
      <c r="J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94" s="31" t="str">
        <f>IF('Input Sheet'!F95=0, "NO",CONCATENATE('Input Sheet'!F95, IF('Input Sheet'!F95&gt;0,"% ","")))</f>
        <v xml:space="preserve">40% </v>
      </c>
      <c r="L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" s="31" t="str">
        <f>CONCATENATE(L94, IF('Input Sheet'!J96="",""," siderite in "))</f>
        <v/>
      </c>
      <c r="N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" s="31" t="str">
        <f>CONCATENATE(N94, IF('Input Sheet'!K96="",""," siderite in "))</f>
        <v/>
      </c>
    </row>
    <row r="95" spans="1:15" x14ac:dyDescent="0.35">
      <c r="A95" s="42" t="str">
        <f>IF('Input Sheet'!C97="","",CONCATENATE("Sample ", 'Input Sheet'!B97, "m: ", M95, G95, "% ", "Siltstone, ", O95, 'Input Sheet'!C97, "% ", I95, " Sandstone, ", K95, J95, " FLUOR in SST. ", "TG ", 'Input Sheet'!I97, "U"))</f>
        <v>Sample 2300m: 80% Siltstone, 20% very fine Sandstone, NOdull FLUOR in SST. TG 127U</v>
      </c>
      <c r="B95" s="28" t="str">
        <f>IF('Input Sheet'!C97="","",CONCATENATE("Sample ", 'Input Sheet'!B97, "m: ", N95, H95, "% ", "Siltstone, ", P95, 'Input Sheet'!C97, "% ", J95, " Sandstone "))</f>
        <v xml:space="preserve">Sample 2300m: veryfine% Siltstone, 20% dull Sandstone </v>
      </c>
      <c r="C95" s="28" t="str">
        <f>IF('Input Sheet'!C97="","",CONCATENATE("Sample ", 'Input Sheet'!B97, "m: ", M95,, K95, J95, " FLUOR in SST. ", "TG ", 'Input Sheet'!I97, "U"))</f>
        <v>Sample 2300m: NOdull FLUOR in SST. TG 127U</v>
      </c>
      <c r="G95" s="31">
        <f>IF('Input Sheet'!C97="","",100-'Input Sheet'!C97)</f>
        <v>80</v>
      </c>
      <c r="H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95" s="31" t="str">
        <f t="shared" si="1"/>
        <v>very fine</v>
      </c>
      <c r="J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95" s="31" t="str">
        <f>IF('Input Sheet'!F96=0, "NO",CONCATENATE('Input Sheet'!F96, IF('Input Sheet'!F96&gt;0,"% ","")))</f>
        <v>NO</v>
      </c>
      <c r="L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" s="31" t="str">
        <f>CONCATENATE(L95, IF('Input Sheet'!J97="",""," siderite in "))</f>
        <v/>
      </c>
      <c r="N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" s="31" t="str">
        <f>CONCATENATE(N95, IF('Input Sheet'!K97="",""," siderite in "))</f>
        <v/>
      </c>
    </row>
    <row r="96" spans="1:15" x14ac:dyDescent="0.35">
      <c r="A96" s="42" t="str">
        <f>IF('Input Sheet'!C98="","",CONCATENATE("Sample ", 'Input Sheet'!B98, "m: ", M96, G96, "% ", "Siltstone, ", O96, 'Input Sheet'!C98, "% ", I96, " Sandstone, ", K96, J96, " FLUOR in SST. ", "TG ", 'Input Sheet'!I98, "U"))</f>
        <v>Sample 2310m: 20% Siltstone, 80% very fine to fine Sandstone, NOdull  to  moderately bright FLUOR in SST. TG 233U</v>
      </c>
      <c r="B96" s="28" t="str">
        <f>IF('Input Sheet'!C98="","",CONCATENATE("Sample ", 'Input Sheet'!B98, "m: ", N96, H96, "% ", "Siltstone, ", P96, 'Input Sheet'!C98, "% ", J96, " Sandstone "))</f>
        <v xml:space="preserve">Sample 2310m: veryfine to fine% Siltstone, 80% dull  to  moderately bright Sandstone </v>
      </c>
      <c r="C96" s="28" t="str">
        <f>IF('Input Sheet'!C98="","",CONCATENATE("Sample ", 'Input Sheet'!B98, "m: ", M96,, K96, J96, " FLUOR in SST. ", "TG ", 'Input Sheet'!I98, "U"))</f>
        <v>Sample 2310m: NOdull  to  moderately bright FLUOR in SST. TG 233U</v>
      </c>
      <c r="G96" s="31">
        <f>IF('Input Sheet'!C98="","",100-'Input Sheet'!C98)</f>
        <v>20</v>
      </c>
      <c r="H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6" s="31" t="str">
        <f t="shared" si="1"/>
        <v>very fine to fine</v>
      </c>
      <c r="J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6" s="31" t="str">
        <f>IF('Input Sheet'!F97=0, "NO",CONCATENATE('Input Sheet'!F97, IF('Input Sheet'!F97&gt;0,"% ","")))</f>
        <v>NO</v>
      </c>
      <c r="L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" s="31" t="str">
        <f>CONCATENATE(L96, IF('Input Sheet'!J98="",""," siderite in "))</f>
        <v/>
      </c>
      <c r="N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" s="31" t="str">
        <f>CONCATENATE(N96, IF('Input Sheet'!K98="",""," siderite in "))</f>
        <v/>
      </c>
    </row>
    <row r="97" spans="1:15" x14ac:dyDescent="0.35">
      <c r="A97" s="42" t="str">
        <f>IF('Input Sheet'!C99="","",CONCATENATE("Sample ", 'Input Sheet'!B99, "m: ", M97, G97, "% ", "Siltstone, ", O97, 'Input Sheet'!C99, "% ", I97, " Sandstone, ", K97, J97, " FLUOR in SST. ", "TG ", 'Input Sheet'!I99, "U"))</f>
        <v>Sample 2320m: 20% Siltstone, 80% fine to medium Sandstone, 30% moderately bright FLUOR in SST. TG 366U</v>
      </c>
      <c r="B97" s="28" t="str">
        <f>IF('Input Sheet'!C99="","",CONCATENATE("Sample ", 'Input Sheet'!B99, "m: ", N97, H97, "% ", "Siltstone, ", P97, 'Input Sheet'!C99, "% ", J97, " Sandstone "))</f>
        <v xml:space="preserve">Sample 2320m: fine to medium% Siltstone, 80% moderately bright Sandstone </v>
      </c>
      <c r="C97" s="28" t="str">
        <f>IF('Input Sheet'!C99="","",CONCATENATE("Sample ", 'Input Sheet'!B99, "m: ", M97,, K97, J97, " FLUOR in SST. ", "TG ", 'Input Sheet'!I99, "U"))</f>
        <v>Sample 2320m: 30% moderately bright FLUOR in SST. TG 366U</v>
      </c>
      <c r="G97" s="31">
        <f>IF('Input Sheet'!C99="","",100-'Input Sheet'!C99)</f>
        <v>20</v>
      </c>
      <c r="H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7" s="31" t="str">
        <f t="shared" si="1"/>
        <v>fine to medium</v>
      </c>
      <c r="J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7" s="31" t="str">
        <f>IF('Input Sheet'!F98=0, "NO",CONCATENATE('Input Sheet'!F98, IF('Input Sheet'!F98&gt;0,"% ","")))</f>
        <v xml:space="preserve">30% </v>
      </c>
      <c r="L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" s="31" t="str">
        <f>CONCATENATE(L97, IF('Input Sheet'!J99="",""," siderite in "))</f>
        <v/>
      </c>
      <c r="N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" s="31" t="str">
        <f>CONCATENATE(N97, IF('Input Sheet'!K99="",""," siderite in "))</f>
        <v/>
      </c>
    </row>
    <row r="98" spans="1:15" x14ac:dyDescent="0.35">
      <c r="A98" s="42" t="str">
        <f>IF('Input Sheet'!C100="","",CONCATENATE("Sample ", 'Input Sheet'!B100, "m: ", M98, G98, "% ", "Siltstone, ", O98, 'Input Sheet'!C100, "% ", I98, " Sandstone, ", K98, J98, " FLUOR in SST. ", "TG ", 'Input Sheet'!I100, "U"))</f>
        <v>Sample 2330m: 0% Siltstone, 100% fine to medium Sandstone, 60% moderately bright  to  bright FLUOR in SST. TG 292U</v>
      </c>
      <c r="B98" s="28" t="str">
        <f>IF('Input Sheet'!C100="","",CONCATENATE("Sample ", 'Input Sheet'!B100, "m: ", N98, H98, "% ", "Siltstone, ", P98, 'Input Sheet'!C100, "% ", J98, " Sandstone "))</f>
        <v xml:space="preserve">Sample 2330m: fine to medium% Siltstone, 100% moderately bright  to  bright Sandstone </v>
      </c>
      <c r="C98" s="28" t="str">
        <f>IF('Input Sheet'!C100="","",CONCATENATE("Sample ", 'Input Sheet'!B100, "m: ", M98,, K98, J98, " FLUOR in SST. ", "TG ", 'Input Sheet'!I100, "U"))</f>
        <v>Sample 2330m: 60% moderately bright  to  bright FLUOR in SST. TG 292U</v>
      </c>
      <c r="G98" s="31">
        <f>IF('Input Sheet'!C100="","",100-'Input Sheet'!C100)</f>
        <v>0</v>
      </c>
      <c r="H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8" s="31" t="str">
        <f t="shared" si="1"/>
        <v>fine to medium</v>
      </c>
      <c r="J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8" s="31" t="str">
        <f>IF('Input Sheet'!F99=0, "NO",CONCATENATE('Input Sheet'!F99, IF('Input Sheet'!F99&gt;0,"% ","")))</f>
        <v xml:space="preserve">60% </v>
      </c>
      <c r="L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" s="31" t="str">
        <f>CONCATENATE(L98, IF('Input Sheet'!J100="",""," siderite in "))</f>
        <v/>
      </c>
      <c r="N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" s="31" t="str">
        <f>CONCATENATE(N98, IF('Input Sheet'!K100="",""," siderite in "))</f>
        <v/>
      </c>
    </row>
    <row r="99" spans="1:15" x14ac:dyDescent="0.35">
      <c r="A99" s="42" t="str">
        <f>IF('Input Sheet'!C101="","",CONCATENATE("Sample ", 'Input Sheet'!B101, "m: ", M99, G99, "% ", "Siltstone, ", O99, 'Input Sheet'!C101, "% ", I99, " Sandstone, ", K99, J99, " FLUOR in SST. ", "TG ", 'Input Sheet'!I101, "U"))</f>
        <v>Sample 2340m: 0% Siltstone, 100% fine to medium Sandstone, 100% moderately bright  to  bright FLUOR in SST. TG 333U</v>
      </c>
      <c r="B99" s="28" t="str">
        <f>IF('Input Sheet'!C101="","",CONCATENATE("Sample ", 'Input Sheet'!B101, "m: ", N99, H99, "% ", "Siltstone, ", P99, 'Input Sheet'!C101, "% ", J99, " Sandstone "))</f>
        <v xml:space="preserve">Sample 2340m: fine to medium% Siltstone, 100% moderately bright  to  bright Sandstone </v>
      </c>
      <c r="C99" s="28" t="str">
        <f>IF('Input Sheet'!C101="","",CONCATENATE("Sample ", 'Input Sheet'!B101, "m: ", M99,, K99, J99, " FLUOR in SST. ", "TG ", 'Input Sheet'!I101, "U"))</f>
        <v>Sample 2340m: 100% moderately bright  to  bright FLUOR in SST. TG 333U</v>
      </c>
      <c r="G99" s="31">
        <f>IF('Input Sheet'!C101="","",100-'Input Sheet'!C101)</f>
        <v>0</v>
      </c>
      <c r="H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99" s="31" t="str">
        <f t="shared" si="1"/>
        <v>fine to medium</v>
      </c>
      <c r="J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9" s="31" t="str">
        <f>IF('Input Sheet'!F100=0, "NO",CONCATENATE('Input Sheet'!F100, IF('Input Sheet'!F100&gt;0,"% ","")))</f>
        <v xml:space="preserve">100% </v>
      </c>
      <c r="L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" s="31" t="str">
        <f>CONCATENATE(L99, IF('Input Sheet'!J101="",""," siderite in "))</f>
        <v/>
      </c>
      <c r="N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" s="31" t="str">
        <f>CONCATENATE(N99, IF('Input Sheet'!K101="",""," siderite in "))</f>
        <v/>
      </c>
    </row>
    <row r="100" spans="1:15" x14ac:dyDescent="0.35">
      <c r="A100" s="42" t="str">
        <f>IF('Input Sheet'!C102="","",CONCATENATE("Sample ", 'Input Sheet'!B102, "m: ", M100, G100, "% ", "Siltstone, ", O100, 'Input Sheet'!C102, "% ", I100, " Sandstone, ", K100, J100, " FLUOR in SST. ", "TG ", 'Input Sheet'!I102, "U"))</f>
        <v>Sample 2350m: 0% Siltstone, 100% fine to medium Sandstone, 90% bright FLUOR in SST. TG 315U</v>
      </c>
      <c r="B100" s="28" t="str">
        <f>IF('Input Sheet'!C102="","",CONCATENATE("Sample ", 'Input Sheet'!B102, "m: ", N100, H100, "% ", "Siltstone, ", P100, 'Input Sheet'!C102, "% ", J100, " Sandstone "))</f>
        <v xml:space="preserve">Sample 2350m: fine to medium% Siltstone, 100% bright Sandstone </v>
      </c>
      <c r="C100" s="28" t="str">
        <f>IF('Input Sheet'!C102="","",CONCATENATE("Sample ", 'Input Sheet'!B102, "m: ", M100,, K100, J100, " FLUOR in SST. ", "TG ", 'Input Sheet'!I102, "U"))</f>
        <v>Sample 2350m: 90% bright FLUOR in SST. TG 315U</v>
      </c>
      <c r="G100" s="31">
        <f>IF('Input Sheet'!C102="","",100-'Input Sheet'!C102)</f>
        <v>0</v>
      </c>
      <c r="H1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0" s="31" t="str">
        <f t="shared" si="1"/>
        <v>fine to medium</v>
      </c>
      <c r="J1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00" s="31" t="str">
        <f>IF('Input Sheet'!F101=0, "NO",CONCATENATE('Input Sheet'!F101, IF('Input Sheet'!F101&gt;0,"% ","")))</f>
        <v xml:space="preserve">90% </v>
      </c>
      <c r="L1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0" s="31" t="str">
        <f>CONCATENATE(L100, IF('Input Sheet'!J102="",""," siderite in "))</f>
        <v/>
      </c>
      <c r="N1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0" s="31" t="str">
        <f>CONCATENATE(N100, IF('Input Sheet'!K102="",""," siderite in "))</f>
        <v/>
      </c>
    </row>
    <row r="101" spans="1:15" x14ac:dyDescent="0.35">
      <c r="A101" s="42" t="str">
        <f>IF('Input Sheet'!C103="","",CONCATENATE("Sample ", 'Input Sheet'!B103, "m: ", M101, G101, "% ", "Siltstone, ", O101, 'Input Sheet'!C103, "% ", I101, " Sandstone, ", K101, J101, " FLUOR in SST. ", "TG ", 'Input Sheet'!I103, "U"))</f>
        <v>Sample 2360m: 0% Siltstone, 100% fine to medium Sandstone, 100% bright FLUOR in SST. TG 266U</v>
      </c>
      <c r="B101" s="28" t="str">
        <f>IF('Input Sheet'!C103="","",CONCATENATE("Sample ", 'Input Sheet'!B103, "m: ", N101, H101, "% ", "Siltstone, ", P101, 'Input Sheet'!C103, "% ", J101, " Sandstone "))</f>
        <v xml:space="preserve">Sample 2360m: fine to medium% Siltstone, 100% bright Sandstone </v>
      </c>
      <c r="C101" s="28" t="str">
        <f>IF('Input Sheet'!C103="","",CONCATENATE("Sample ", 'Input Sheet'!B103, "m: ", M101,, K101, J101, " FLUOR in SST. ", "TG ", 'Input Sheet'!I103, "U"))</f>
        <v>Sample 2360m: 100% bright FLUOR in SST. TG 266U</v>
      </c>
      <c r="G101" s="31">
        <f>IF('Input Sheet'!C103="","",100-'Input Sheet'!C103)</f>
        <v>0</v>
      </c>
      <c r="H1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1" s="31" t="str">
        <f t="shared" si="1"/>
        <v>fine to medium</v>
      </c>
      <c r="J1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01" s="31" t="str">
        <f>IF('Input Sheet'!F102=0, "NO",CONCATENATE('Input Sheet'!F102, IF('Input Sheet'!F102&gt;0,"% ","")))</f>
        <v xml:space="preserve">100% </v>
      </c>
      <c r="L1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1" s="31" t="str">
        <f>CONCATENATE(L101, IF('Input Sheet'!J103="",""," siderite in "))</f>
        <v/>
      </c>
      <c r="N1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1" s="31" t="str">
        <f>CONCATENATE(N101, IF('Input Sheet'!K103="",""," siderite in "))</f>
        <v/>
      </c>
    </row>
    <row r="102" spans="1:15" x14ac:dyDescent="0.35">
      <c r="A102" s="42" t="str">
        <f>IF('Input Sheet'!C104="","",CONCATENATE("Sample ", 'Input Sheet'!B104, "m: ", M102, G102, "% ", "Siltstone, ", O102, 'Input Sheet'!C104, "% ", I102, " Sandstone, ", K102, J102, " FLUOR in SST. ", "TG ", 'Input Sheet'!I104, "U"))</f>
        <v>Sample 2370m: 0% Siltstone, 100% fine to medium Sandstone, 90% bright FLUOR in SST. TG 263U</v>
      </c>
      <c r="B102" s="28" t="str">
        <f>IF('Input Sheet'!C104="","",CONCATENATE("Sample ", 'Input Sheet'!B104, "m: ", N102, H102, "% ", "Siltstone, ", P102, 'Input Sheet'!C104, "% ", J102, " Sandstone "))</f>
        <v xml:space="preserve">Sample 2370m: fine to medium% Siltstone, 100% bright Sandstone </v>
      </c>
      <c r="C102" s="28" t="str">
        <f>IF('Input Sheet'!C104="","",CONCATENATE("Sample ", 'Input Sheet'!B104, "m: ", M102,, K102, J102, " FLUOR in SST. ", "TG ", 'Input Sheet'!I104, "U"))</f>
        <v>Sample 2370m: 90% bright FLUOR in SST. TG 263U</v>
      </c>
      <c r="G102" s="31">
        <f>IF('Input Sheet'!C104="","",100-'Input Sheet'!C104)</f>
        <v>0</v>
      </c>
      <c r="H1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2" s="31" t="str">
        <f t="shared" si="1"/>
        <v>fine to medium</v>
      </c>
      <c r="J1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02" s="31" t="str">
        <f>IF('Input Sheet'!F103=0, "NO",CONCATENATE('Input Sheet'!F103, IF('Input Sheet'!F103&gt;0,"% ","")))</f>
        <v xml:space="preserve">90% </v>
      </c>
      <c r="L1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2" s="31" t="str">
        <f>CONCATENATE(L102, IF('Input Sheet'!J104="",""," siderite in "))</f>
        <v/>
      </c>
      <c r="N1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2" s="31" t="str">
        <f>CONCATENATE(N102, IF('Input Sheet'!K104="",""," siderite in "))</f>
        <v/>
      </c>
    </row>
    <row r="103" spans="1:15" x14ac:dyDescent="0.35">
      <c r="A103" s="42" t="str">
        <f>IF('Input Sheet'!C105="","",CONCATENATE("Sample ", 'Input Sheet'!B105, "m: ", M103, G103, "% ", "Siltstone, ", O103, 'Input Sheet'!C105, "% ", I103, " Sandstone, ", K103, J103, " FLUOR in SST. ", "TG ", 'Input Sheet'!I105, "U"))</f>
        <v>Sample 2380m: 0% Siltstone, 100% very fine to fine Sandstone, 100% bright FLUOR in SST. TG 341U</v>
      </c>
      <c r="B103" s="28" t="str">
        <f>IF('Input Sheet'!C105="","",CONCATENATE("Sample ", 'Input Sheet'!B105, "m: ", N103, H103, "% ", "Siltstone, ", P103, 'Input Sheet'!C105, "% ", J103, " Sandstone "))</f>
        <v xml:space="preserve">Sample 2380m: veryfine to fine% Siltstone, 100% bright Sandstone </v>
      </c>
      <c r="C103" s="28" t="str">
        <f>IF('Input Sheet'!C105="","",CONCATENATE("Sample ", 'Input Sheet'!B105, "m: ", M103,, K103, J103, " FLUOR in SST. ", "TG ", 'Input Sheet'!I105, "U"))</f>
        <v>Sample 2380m: 100% bright FLUOR in SST. TG 341U</v>
      </c>
      <c r="G103" s="31">
        <f>IF('Input Sheet'!C105="","",100-'Input Sheet'!C105)</f>
        <v>0</v>
      </c>
      <c r="H1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3" s="31" t="str">
        <f t="shared" si="1"/>
        <v>very fine to fine</v>
      </c>
      <c r="J1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03" s="31" t="str">
        <f>IF('Input Sheet'!F104=0, "NO",CONCATENATE('Input Sheet'!F104, IF('Input Sheet'!F104&gt;0,"% ","")))</f>
        <v xml:space="preserve">100% </v>
      </c>
      <c r="L1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3" s="31" t="str">
        <f>CONCATENATE(L103, IF('Input Sheet'!J105="",""," siderite in "))</f>
        <v/>
      </c>
      <c r="N1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3" s="31" t="str">
        <f>CONCATENATE(N103, IF('Input Sheet'!K105="",""," siderite in "))</f>
        <v/>
      </c>
    </row>
    <row r="104" spans="1:15" x14ac:dyDescent="0.35">
      <c r="A104" s="42" t="str">
        <f>IF('Input Sheet'!C106="","",CONCATENATE("Sample ", 'Input Sheet'!B106, "m: ", M104, G104, "% ", "Siltstone, ", O104, 'Input Sheet'!C106, "% ", I104, " Sandstone, ", K104, J104, " FLUOR in SST. ", "TG ", 'Input Sheet'!I106, "U"))</f>
        <v>Sample 2390m: 10% Siltstone, 90% fine to coarse Sandstone, 100% moderately bright  to  bright FLUOR in SST. TG 212U</v>
      </c>
      <c r="B104" s="28" t="str">
        <f>IF('Input Sheet'!C106="","",CONCATENATE("Sample ", 'Input Sheet'!B106, "m: ", N104, H104, "% ", "Siltstone, ", P104, 'Input Sheet'!C106, "% ", J104, " Sandstone "))</f>
        <v xml:space="preserve">Sample 2390m: fine to coarse% Siltstone, 90% moderately bright  to  bright Sandstone </v>
      </c>
      <c r="C104" s="28" t="str">
        <f>IF('Input Sheet'!C106="","",CONCATENATE("Sample ", 'Input Sheet'!B106, "m: ", M104,, K104, J104, " FLUOR in SST. ", "TG ", 'Input Sheet'!I106, "U"))</f>
        <v>Sample 2390m: 100% moderately bright  to  bright FLUOR in SST. TG 212U</v>
      </c>
      <c r="G104" s="31">
        <f>IF('Input Sheet'!C106="","",100-'Input Sheet'!C106)</f>
        <v>10</v>
      </c>
      <c r="H1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coarse</v>
      </c>
      <c r="I104" s="31" t="str">
        <f t="shared" si="1"/>
        <v>fine to coarse</v>
      </c>
      <c r="J1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04" s="31" t="str">
        <f>IF('Input Sheet'!F105=0, "NO",CONCATENATE('Input Sheet'!F105, IF('Input Sheet'!F105&gt;0,"% ","")))</f>
        <v xml:space="preserve">100% </v>
      </c>
      <c r="L1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4" s="31" t="str">
        <f>CONCATENATE(L104, IF('Input Sheet'!J106="",""," siderite in "))</f>
        <v/>
      </c>
      <c r="N1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4" s="31" t="str">
        <f>CONCATENATE(N104, IF('Input Sheet'!K106="",""," siderite in "))</f>
        <v/>
      </c>
    </row>
    <row r="105" spans="1:15" x14ac:dyDescent="0.35">
      <c r="A105" s="42" t="str">
        <f>IF('Input Sheet'!C107="","",CONCATENATE("Sample ", 'Input Sheet'!B107, "m: ", M105, G105, "% ", "Siltstone, ", O105, 'Input Sheet'!C107, "% ", I105, " Sandstone, ", K105, J105, " FLUOR in SST. ", "TG ", 'Input Sheet'!I107, "U"))</f>
        <v>Sample 2400m: 10% Siltstone, 90% fine to medium Sandstone, 100% moderately bright FLUOR in SST. TG 250U</v>
      </c>
      <c r="B105" s="28" t="str">
        <f>IF('Input Sheet'!C107="","",CONCATENATE("Sample ", 'Input Sheet'!B107, "m: ", N105, H105, "% ", "Siltstone, ", P105, 'Input Sheet'!C107, "% ", J105, " Sandstone "))</f>
        <v xml:space="preserve">Sample 2400m: fine to medium% Siltstone, 90% moderately bright Sandstone </v>
      </c>
      <c r="C105" s="28" t="str">
        <f>IF('Input Sheet'!C107="","",CONCATENATE("Sample ", 'Input Sheet'!B107, "m: ", M105,, K105, J105, " FLUOR in SST. ", "TG ", 'Input Sheet'!I107, "U"))</f>
        <v>Sample 2400m: 100% moderately bright FLUOR in SST. TG 250U</v>
      </c>
      <c r="G105" s="31">
        <f>IF('Input Sheet'!C107="","",100-'Input Sheet'!C107)</f>
        <v>10</v>
      </c>
      <c r="H1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5" s="31" t="str">
        <f t="shared" si="1"/>
        <v>fine to medium</v>
      </c>
      <c r="J1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5" s="31" t="str">
        <f>IF('Input Sheet'!F106=0, "NO",CONCATENATE('Input Sheet'!F106, IF('Input Sheet'!F106&gt;0,"% ","")))</f>
        <v xml:space="preserve">100% </v>
      </c>
      <c r="L1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5" s="31" t="str">
        <f>CONCATENATE(L105, IF('Input Sheet'!J107="",""," siderite in "))</f>
        <v/>
      </c>
      <c r="N1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5" s="31" t="str">
        <f>CONCATENATE(N105, IF('Input Sheet'!K107="",""," siderite in "))</f>
        <v/>
      </c>
    </row>
    <row r="106" spans="1:15" x14ac:dyDescent="0.35">
      <c r="A106" s="42" t="str">
        <f>IF('Input Sheet'!C108="","",CONCATENATE("Sample ", 'Input Sheet'!B108, "m: ", M106, G106, "% ", "Siltstone, ", O106, 'Input Sheet'!C108, "% ", I106, " Sandstone, ", K106, J106, " FLUOR in SST. ", "TG ", 'Input Sheet'!I108, "U"))</f>
        <v>Sample 2410m: 0% Siltstone, 100% fine to medium Sandstone, 90% bright FLUOR in SST. TG 238U</v>
      </c>
      <c r="B106" s="28" t="str">
        <f>IF('Input Sheet'!C108="","",CONCATENATE("Sample ", 'Input Sheet'!B108, "m: ", N106, H106, "% ", "Siltstone, ", P106, 'Input Sheet'!C108, "% ", J106, " Sandstone "))</f>
        <v xml:space="preserve">Sample 2410m: fine to medium% Siltstone, 100% bright Sandstone </v>
      </c>
      <c r="C106" s="28" t="str">
        <f>IF('Input Sheet'!C108="","",CONCATENATE("Sample ", 'Input Sheet'!B108, "m: ", M106,, K106, J106, " FLUOR in SST. ", "TG ", 'Input Sheet'!I108, "U"))</f>
        <v>Sample 2410m: 90% bright FLUOR in SST. TG 238U</v>
      </c>
      <c r="G106" s="31">
        <f>IF('Input Sheet'!C108="","",100-'Input Sheet'!C108)</f>
        <v>0</v>
      </c>
      <c r="H1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6" s="31" t="str">
        <f t="shared" si="1"/>
        <v>fine to medium</v>
      </c>
      <c r="J1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06" s="31" t="str">
        <f>IF('Input Sheet'!F107=0, "NO",CONCATENATE('Input Sheet'!F107, IF('Input Sheet'!F107&gt;0,"% ","")))</f>
        <v xml:space="preserve">90% </v>
      </c>
      <c r="L1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6" s="31" t="str">
        <f>CONCATENATE(L106, IF('Input Sheet'!J108="",""," siderite in "))</f>
        <v/>
      </c>
      <c r="N1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6" s="31" t="str">
        <f>CONCATENATE(N106, IF('Input Sheet'!K108="",""," siderite in "))</f>
        <v/>
      </c>
    </row>
    <row r="107" spans="1:15" x14ac:dyDescent="0.35">
      <c r="A107" s="42" t="str">
        <f>IF('Input Sheet'!C109="","",CONCATENATE("Sample ", 'Input Sheet'!B109, "m: ", M107, G107, "% ", "Siltstone, ", O107, 'Input Sheet'!C109, "% ", I107, " Sandstone, ", K107, J107, " FLUOR in SST. ", "TG ", 'Input Sheet'!I109, "U"))</f>
        <v>Sample 2420m: 0% Siltstone, 100% fine to medium Sandstone, 100% bright FLUOR in SST. TG 198U</v>
      </c>
      <c r="B107" s="28" t="str">
        <f>IF('Input Sheet'!C109="","",CONCATENATE("Sample ", 'Input Sheet'!B109, "m: ", N107, H107, "% ", "Siltstone, ", P107, 'Input Sheet'!C109, "% ", J107, " Sandstone "))</f>
        <v xml:space="preserve">Sample 2420m: fine to medium% Siltstone, 100% bright Sandstone </v>
      </c>
      <c r="C107" s="28" t="str">
        <f>IF('Input Sheet'!C109="","",CONCATENATE("Sample ", 'Input Sheet'!B109, "m: ", M107,, K107, J107, " FLUOR in SST. ", "TG ", 'Input Sheet'!I109, "U"))</f>
        <v>Sample 2420m: 100% bright FLUOR in SST. TG 198U</v>
      </c>
      <c r="G107" s="31">
        <f>IF('Input Sheet'!C109="","",100-'Input Sheet'!C109)</f>
        <v>0</v>
      </c>
      <c r="H1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7" s="31" t="str">
        <f t="shared" si="1"/>
        <v>fine to medium</v>
      </c>
      <c r="J1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07" s="31" t="str">
        <f>IF('Input Sheet'!F108=0, "NO",CONCATENATE('Input Sheet'!F108, IF('Input Sheet'!F108&gt;0,"% ","")))</f>
        <v xml:space="preserve">100% </v>
      </c>
      <c r="L1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7" s="31" t="str">
        <f>CONCATENATE(L107, IF('Input Sheet'!J109="",""," siderite in "))</f>
        <v/>
      </c>
      <c r="N1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7" s="31" t="str">
        <f>CONCATENATE(N107, IF('Input Sheet'!K109="",""," siderite in "))</f>
        <v/>
      </c>
    </row>
    <row r="108" spans="1:15" x14ac:dyDescent="0.35">
      <c r="A108" s="42" t="str">
        <f>IF('Input Sheet'!C110="","",CONCATENATE("Sample ", 'Input Sheet'!B110, "m: ", M108, G108, "% ", "Siltstone, ", O108, 'Input Sheet'!C110, "% ", I108, " Sandstone, ", K108, J108, " FLUOR in SST. ", "TG ", 'Input Sheet'!I110, "U"))</f>
        <v>Sample 2430m: 0% Siltstone, 100% fine to medium Sandstone, 100% bright FLUOR in SST. TG 275U</v>
      </c>
      <c r="B108" s="28" t="str">
        <f>IF('Input Sheet'!C110="","",CONCATENATE("Sample ", 'Input Sheet'!B110, "m: ", N108, H108, "% ", "Siltstone, ", P108, 'Input Sheet'!C110, "% ", J108, " Sandstone "))</f>
        <v xml:space="preserve">Sample 2430m: fine to medium% Siltstone, 100% bright Sandstone </v>
      </c>
      <c r="C108" s="28" t="str">
        <f>IF('Input Sheet'!C110="","",CONCATENATE("Sample ", 'Input Sheet'!B110, "m: ", M108,, K108, J108, " FLUOR in SST. ", "TG ", 'Input Sheet'!I110, "U"))</f>
        <v>Sample 2430m: 100% bright FLUOR in SST. TG 275U</v>
      </c>
      <c r="G108" s="31">
        <f>IF('Input Sheet'!C110="","",100-'Input Sheet'!C110)</f>
        <v>0</v>
      </c>
      <c r="H1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08" s="31" t="str">
        <f t="shared" si="1"/>
        <v>fine to medium</v>
      </c>
      <c r="J1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08" s="31" t="str">
        <f>IF('Input Sheet'!F109=0, "NO",CONCATENATE('Input Sheet'!F109, IF('Input Sheet'!F109&gt;0,"% ","")))</f>
        <v xml:space="preserve">100% </v>
      </c>
      <c r="L1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8" s="31" t="str">
        <f>CONCATENATE(L108, IF('Input Sheet'!J110="",""," siderite in "))</f>
        <v/>
      </c>
      <c r="N1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8" s="31" t="str">
        <f>CONCATENATE(N108, IF('Input Sheet'!K110="",""," siderite in "))</f>
        <v/>
      </c>
    </row>
    <row r="109" spans="1:15" x14ac:dyDescent="0.35">
      <c r="A109" s="42" t="str">
        <f>IF('Input Sheet'!C111="","",CONCATENATE("Sample ", 'Input Sheet'!B111, "m: ", M109, G109, "% ", "Siltstone, ", O109, 'Input Sheet'!C111, "% ", I109, " Sandstone, ", K109, J109, " FLUOR in SST. ", "TG ", 'Input Sheet'!I111, "U"))</f>
        <v>Sample 2440m: 20% Siltstone, 80% very fine to fine Sandstone, 100% moderately bright FLUOR in SST. TG 201U</v>
      </c>
      <c r="B109" s="28" t="str">
        <f>IF('Input Sheet'!C111="","",CONCATENATE("Sample ", 'Input Sheet'!B111, "m: ", N109, H109, "% ", "Siltstone, ", P109, 'Input Sheet'!C111, "% ", J109, " Sandstone "))</f>
        <v xml:space="preserve">Sample 2440m: veryfine to fine% Siltstone, 80% moderately bright Sandstone </v>
      </c>
      <c r="C109" s="28" t="str">
        <f>IF('Input Sheet'!C111="","",CONCATENATE("Sample ", 'Input Sheet'!B111, "m: ", M109,, K109, J109, " FLUOR in SST. ", "TG ", 'Input Sheet'!I111, "U"))</f>
        <v>Sample 2440m: 100% moderately bright FLUOR in SST. TG 201U</v>
      </c>
      <c r="G109" s="31">
        <f>IF('Input Sheet'!C111="","",100-'Input Sheet'!C111)</f>
        <v>20</v>
      </c>
      <c r="H1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9" s="31" t="str">
        <f t="shared" si="1"/>
        <v>very fine to fine</v>
      </c>
      <c r="J1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9" s="31" t="str">
        <f>IF('Input Sheet'!F110=0, "NO",CONCATENATE('Input Sheet'!F110, IF('Input Sheet'!F110&gt;0,"% ","")))</f>
        <v xml:space="preserve">100% </v>
      </c>
      <c r="L1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9" s="31" t="str">
        <f>CONCATENATE(L109, IF('Input Sheet'!J111="",""," siderite in "))</f>
        <v/>
      </c>
      <c r="N1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9" s="31" t="str">
        <f>CONCATENATE(N109, IF('Input Sheet'!K111="",""," siderite in "))</f>
        <v/>
      </c>
    </row>
    <row r="110" spans="1:15" x14ac:dyDescent="0.35">
      <c r="A110" s="42" t="str">
        <f>IF('Input Sheet'!C112="","",CONCATENATE("Sample ", 'Input Sheet'!B112, "m: ", M110, G110, "% ", "Siltstone, ", O110, 'Input Sheet'!C112, "% ", I110, " Sandstone, ", K110, J110, " FLUOR in SST. ", "TG ", 'Input Sheet'!I112, "U"))</f>
        <v>Sample 2450m: 20% Siltstone, 80% very fine to fine Sandstone, 50% moderately bright to bright FLUOR in SST. TG 219U</v>
      </c>
      <c r="B110" s="28" t="str">
        <f>IF('Input Sheet'!C112="","",CONCATENATE("Sample ", 'Input Sheet'!B112, "m: ", N110, H110, "% ", "Siltstone, ", P110, 'Input Sheet'!C112, "% ", J110, " Sandstone "))</f>
        <v xml:space="preserve">Sample 2450m: veryfine to fine% Siltstone, 80% moderately bright to bright Sandstone </v>
      </c>
      <c r="C110" s="28" t="str">
        <f>IF('Input Sheet'!C112="","",CONCATENATE("Sample ", 'Input Sheet'!B112, "m: ", M110,, K110, J110, " FLUOR in SST. ", "TG ", 'Input Sheet'!I112, "U"))</f>
        <v>Sample 2450m: 50% moderately bright to bright FLUOR in SST. TG 219U</v>
      </c>
      <c r="G110" s="31">
        <f>IF('Input Sheet'!C112="","",100-'Input Sheet'!C112)</f>
        <v>20</v>
      </c>
      <c r="H1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0" s="31" t="str">
        <f t="shared" si="1"/>
        <v>very fine to fine</v>
      </c>
      <c r="J1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0" s="31" t="str">
        <f>IF('Input Sheet'!F111=0, "NO",CONCATENATE('Input Sheet'!F111, IF('Input Sheet'!F111&gt;0,"% ","")))</f>
        <v xml:space="preserve">50% </v>
      </c>
      <c r="L1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0" s="31" t="str">
        <f>CONCATENATE(L110, IF('Input Sheet'!J112="",""," siderite in "))</f>
        <v/>
      </c>
      <c r="N1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0" s="31" t="str">
        <f>CONCATENATE(N110, IF('Input Sheet'!K112="",""," siderite in "))</f>
        <v/>
      </c>
    </row>
    <row r="111" spans="1:15" x14ac:dyDescent="0.35">
      <c r="A111" s="42" t="str">
        <f>IF('Input Sheet'!C113="","",CONCATENATE("Sample ", 'Input Sheet'!B113, "m: ", M111, G111, "% ", "Siltstone, ", O111, 'Input Sheet'!C113, "% ", I111, " Sandstone, ", K111, J111, " FLUOR in SST. ", "TG ", 'Input Sheet'!I113, "U"))</f>
        <v>Sample 2460m: 10% Siltstone, 90% very fine to medium Sandstone, 100% moderately bright to bright FLUOR in SST. TG 235U</v>
      </c>
      <c r="B111" s="28" t="str">
        <f>IF('Input Sheet'!C113="","",CONCATENATE("Sample ", 'Input Sheet'!B113, "m: ", N111, H111, "% ", "Siltstone, ", P111, 'Input Sheet'!C113, "% ", J111, " Sandstone "))</f>
        <v xml:space="preserve">Sample 2460m: veryfine to medium% Siltstone, 90% moderately bright to bright Sandstone </v>
      </c>
      <c r="C111" s="28" t="str">
        <f>IF('Input Sheet'!C113="","",CONCATENATE("Sample ", 'Input Sheet'!B113, "m: ", M111,, K111, J111, " FLUOR in SST. ", "TG ", 'Input Sheet'!I113, "U"))</f>
        <v>Sample 2460m: 100% moderately bright to bright FLUOR in SST. TG 235U</v>
      </c>
      <c r="G111" s="31">
        <f>IF('Input Sheet'!C113="","",100-'Input Sheet'!C113)</f>
        <v>10</v>
      </c>
      <c r="H1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11" s="31" t="str">
        <f t="shared" si="1"/>
        <v>very fine to medium</v>
      </c>
      <c r="J1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1" s="31" t="str">
        <f>IF('Input Sheet'!F112=0, "NO",CONCATENATE('Input Sheet'!F112, IF('Input Sheet'!F112&gt;0,"% ","")))</f>
        <v xml:space="preserve">100% </v>
      </c>
      <c r="L1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1" s="31" t="str">
        <f>CONCATENATE(L111, IF('Input Sheet'!J113="",""," siderite in "))</f>
        <v/>
      </c>
      <c r="N1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1" s="31" t="str">
        <f>CONCATENATE(N111, IF('Input Sheet'!K113="",""," siderite in "))</f>
        <v/>
      </c>
    </row>
    <row r="112" spans="1:15" x14ac:dyDescent="0.35">
      <c r="A112" s="42" t="str">
        <f>IF('Input Sheet'!C114="","",CONCATENATE("Sample ", 'Input Sheet'!B114, "m: ", M112, G112, "% ", "Siltstone, ", O112, 'Input Sheet'!C114, "% ", I112, " Sandstone, ", K112, J112, " FLUOR in SST. ", "TG ", 'Input Sheet'!I114, "U"))</f>
        <v>Sample 2470m: 5% Siltstone, 95% coarse Sandstone, 70% moderately bright to bright FLUOR in SST. TG 200U</v>
      </c>
      <c r="B112" s="28" t="str">
        <f>IF('Input Sheet'!C114="","",CONCATENATE("Sample ", 'Input Sheet'!B114, "m: ", N112, H112, "% ", "Siltstone, ", P112, 'Input Sheet'!C114, "% ", J112, " Sandstone "))</f>
        <v xml:space="preserve">Sample 2470m: coarse% Siltstone, 95% moderately bright to bright Sandstone </v>
      </c>
      <c r="C112" s="28" t="str">
        <f>IF('Input Sheet'!C114="","",CONCATENATE("Sample ", 'Input Sheet'!B114, "m: ", M112,, K112, J112, " FLUOR in SST. ", "TG ", 'Input Sheet'!I114, "U"))</f>
        <v>Sample 2470m: 70% moderately bright to bright FLUOR in SST. TG 200U</v>
      </c>
      <c r="G112" s="31">
        <f>IF('Input Sheet'!C114="","",100-'Input Sheet'!C114)</f>
        <v>5</v>
      </c>
      <c r="H1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coarse</v>
      </c>
      <c r="I112" s="31" t="str">
        <f t="shared" si="1"/>
        <v>coarse</v>
      </c>
      <c r="J1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2" s="31" t="str">
        <f>IF('Input Sheet'!F113=0, "NO",CONCATENATE('Input Sheet'!F113, IF('Input Sheet'!F113&gt;0,"% ","")))</f>
        <v xml:space="preserve">70% </v>
      </c>
      <c r="L1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2" s="31" t="str">
        <f>CONCATENATE(L112, IF('Input Sheet'!J114="",""," siderite in "))</f>
        <v/>
      </c>
      <c r="N1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2" s="31" t="str">
        <f>CONCATENATE(N112, IF('Input Sheet'!K114="",""," siderite in "))</f>
        <v/>
      </c>
    </row>
    <row r="113" spans="1:15" x14ac:dyDescent="0.35">
      <c r="A113" s="42" t="str">
        <f>IF('Input Sheet'!C115="","",CONCATENATE("Sample ", 'Input Sheet'!B115, "m: ", M113, G113, "% ", "Siltstone, ", O113, 'Input Sheet'!C115, "% ", I113, " Sandstone, ", K113, J113, " FLUOR in SST. ", "TG ", 'Input Sheet'!I115, "U"))</f>
        <v>Sample 2480m: 5% Siltstone, 95% very fine to coarse Sandstone, 80% moderately bright to bright FLUOR in SST. TG 341U</v>
      </c>
      <c r="B113" s="28" t="str">
        <f>IF('Input Sheet'!C115="","",CONCATENATE("Sample ", 'Input Sheet'!B115, "m: ", N113, H113, "% ", "Siltstone, ", P113, 'Input Sheet'!C115, "% ", J113, " Sandstone "))</f>
        <v xml:space="preserve">Sample 2480m: veryfine to coarse% Siltstone, 95% moderately bright to bright Sandstone </v>
      </c>
      <c r="C113" s="28" t="str">
        <f>IF('Input Sheet'!C115="","",CONCATENATE("Sample ", 'Input Sheet'!B115, "m: ", M113,, K113, J113, " FLUOR in SST. ", "TG ", 'Input Sheet'!I115, "U"))</f>
        <v>Sample 2480m: 80% moderately bright to bright FLUOR in SST. TG 341U</v>
      </c>
      <c r="G113" s="31">
        <f>IF('Input Sheet'!C115="","",100-'Input Sheet'!C115)</f>
        <v>5</v>
      </c>
      <c r="H1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13" s="31" t="str">
        <f t="shared" si="1"/>
        <v>very fine to coarse</v>
      </c>
      <c r="J1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3" s="31" t="str">
        <f>IF('Input Sheet'!F114=0, "NO",CONCATENATE('Input Sheet'!F114, IF('Input Sheet'!F114&gt;0,"% ","")))</f>
        <v xml:space="preserve">80% </v>
      </c>
      <c r="L1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3" s="31" t="str">
        <f>CONCATENATE(L113, IF('Input Sheet'!J115="",""," siderite in "))</f>
        <v/>
      </c>
      <c r="N1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3" s="31" t="str">
        <f>CONCATENATE(N113, IF('Input Sheet'!K115="",""," siderite in "))</f>
        <v/>
      </c>
    </row>
    <row r="114" spans="1:15" x14ac:dyDescent="0.35">
      <c r="A114" s="42" t="str">
        <f>IF('Input Sheet'!C116="","",CONCATENATE("Sample ", 'Input Sheet'!B116, "m: ", M114, G114, "% ", "Siltstone, ", O114, 'Input Sheet'!C116, "% ", I114, " Sandstone, ", K114, J114, " FLUOR in SST. ", "TG ", 'Input Sheet'!I116, "U"))</f>
        <v>Sample 2490m: 0% Siltstone, 100% very fine to fine Sandstone, 90% moderately bright to bright FLUOR in SST. TG 330U</v>
      </c>
      <c r="B114" s="28" t="str">
        <f>IF('Input Sheet'!C116="","",CONCATENATE("Sample ", 'Input Sheet'!B116, "m: ", N114, H114, "% ", "Siltstone, ", P114, 'Input Sheet'!C116, "% ", J114, " Sandstone "))</f>
        <v xml:space="preserve">Sample 2490m: veryfine to fine% Siltstone, 100% moderately bright to bright Sandstone </v>
      </c>
      <c r="C114" s="28" t="str">
        <f>IF('Input Sheet'!C116="","",CONCATENATE("Sample ", 'Input Sheet'!B116, "m: ", M114,, K114, J114, " FLUOR in SST. ", "TG ", 'Input Sheet'!I116, "U"))</f>
        <v>Sample 2490m: 90% moderately bright to bright FLUOR in SST. TG 330U</v>
      </c>
      <c r="G114" s="31">
        <f>IF('Input Sheet'!C116="","",100-'Input Sheet'!C116)</f>
        <v>0</v>
      </c>
      <c r="H1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4" s="31" t="str">
        <f t="shared" si="1"/>
        <v>very fine to fine</v>
      </c>
      <c r="J1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4" s="31" t="str">
        <f>IF('Input Sheet'!F115=0, "NO",CONCATENATE('Input Sheet'!F115, IF('Input Sheet'!F115&gt;0,"% ","")))</f>
        <v xml:space="preserve">90% </v>
      </c>
      <c r="L1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4" s="31" t="str">
        <f>CONCATENATE(L114, IF('Input Sheet'!J116="",""," siderite in "))</f>
        <v/>
      </c>
      <c r="N1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4" s="31" t="str">
        <f>CONCATENATE(N114, IF('Input Sheet'!K116="",""," siderite in "))</f>
        <v/>
      </c>
    </row>
    <row r="115" spans="1:15" x14ac:dyDescent="0.35">
      <c r="A115" s="42" t="str">
        <f>IF('Input Sheet'!C117="","",CONCATENATE("Sample ", 'Input Sheet'!B117, "m: ", M115, G115, "% ", "Siltstone, ", O115, 'Input Sheet'!C117, "% ", I115, " Sandstone, ", K115, J115, " FLUOR in SST. ", "TG ", 'Input Sheet'!I117, "U"))</f>
        <v>Sample 2500m: 0% Siltstone, 100% very fine to fine Sandstone, 100% moderately bright to bright FLUOR in SST. TG 284U</v>
      </c>
      <c r="B115" s="28" t="str">
        <f>IF('Input Sheet'!C117="","",CONCATENATE("Sample ", 'Input Sheet'!B117, "m: ", N115, H115, "% ", "Siltstone, ", P115, 'Input Sheet'!C117, "% ", J115, " Sandstone "))</f>
        <v xml:space="preserve">Sample 2500m: veryfine to fine% Siltstone, 100% moderately bright to bright Sandstone </v>
      </c>
      <c r="C115" s="28" t="str">
        <f>IF('Input Sheet'!C117="","",CONCATENATE("Sample ", 'Input Sheet'!B117, "m: ", M115,, K115, J115, " FLUOR in SST. ", "TG ", 'Input Sheet'!I117, "U"))</f>
        <v>Sample 2500m: 100% moderately bright to bright FLUOR in SST. TG 284U</v>
      </c>
      <c r="G115" s="31">
        <f>IF('Input Sheet'!C117="","",100-'Input Sheet'!C117)</f>
        <v>0</v>
      </c>
      <c r="H1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5" s="31" t="str">
        <f t="shared" si="1"/>
        <v>very fine to fine</v>
      </c>
      <c r="J1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5" s="31" t="str">
        <f>IF('Input Sheet'!F116=0, "NO",CONCATENATE('Input Sheet'!F116, IF('Input Sheet'!F116&gt;0,"% ","")))</f>
        <v xml:space="preserve">100% </v>
      </c>
      <c r="L1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5" s="31" t="str">
        <f>CONCATENATE(L115, IF('Input Sheet'!J117="",""," siderite in "))</f>
        <v/>
      </c>
      <c r="N1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5" s="31" t="str">
        <f>CONCATENATE(N115, IF('Input Sheet'!K117="",""," siderite in "))</f>
        <v/>
      </c>
    </row>
    <row r="116" spans="1:15" x14ac:dyDescent="0.35">
      <c r="A116" s="42" t="str">
        <f>IF('Input Sheet'!C118="","",CONCATENATE("Sample ", 'Input Sheet'!B118, "m: ", M116, G116, "% ", "Siltstone, ", O116, 'Input Sheet'!C118, "% ", I116, " Sandstone, ", K116, J116, " FLUOR in SST. ", "TG ", 'Input Sheet'!I118, "U"))</f>
        <v>Sample 2510m: 0% Siltstone, 100% very fine to fine Sandstone, 100% moderately bright to bright FLUOR in SST. TG 275U</v>
      </c>
      <c r="B116" s="28" t="str">
        <f>IF('Input Sheet'!C118="","",CONCATENATE("Sample ", 'Input Sheet'!B118, "m: ", N116, H116, "% ", "Siltstone, ", P116, 'Input Sheet'!C118, "% ", J116, " Sandstone "))</f>
        <v xml:space="preserve">Sample 2510m: veryfine to fine% Siltstone, 100% moderately bright to bright Sandstone </v>
      </c>
      <c r="C116" s="28" t="str">
        <f>IF('Input Sheet'!C118="","",CONCATENATE("Sample ", 'Input Sheet'!B118, "m: ", M116,, K116, J116, " FLUOR in SST. ", "TG ", 'Input Sheet'!I118, "U"))</f>
        <v>Sample 2510m: 100% moderately bright to bright FLUOR in SST. TG 275U</v>
      </c>
      <c r="G116" s="31">
        <f>IF('Input Sheet'!C118="","",100-'Input Sheet'!C118)</f>
        <v>0</v>
      </c>
      <c r="H1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6" s="31" t="str">
        <f t="shared" si="1"/>
        <v>very fine to fine</v>
      </c>
      <c r="J1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6" s="31" t="str">
        <f>IF('Input Sheet'!F117=0, "NO",CONCATENATE('Input Sheet'!F117, IF('Input Sheet'!F117&gt;0,"% ","")))</f>
        <v xml:space="preserve">100% </v>
      </c>
      <c r="L1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6" s="31" t="str">
        <f>CONCATENATE(L116, IF('Input Sheet'!J118="",""," siderite in "))</f>
        <v/>
      </c>
      <c r="N1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6" s="31" t="str">
        <f>CONCATENATE(N116, IF('Input Sheet'!K118="",""," siderite in "))</f>
        <v/>
      </c>
    </row>
    <row r="117" spans="1:15" x14ac:dyDescent="0.35">
      <c r="A117" s="42" t="str">
        <f>IF('Input Sheet'!C119="","",CONCATENATE("Sample ", 'Input Sheet'!B119, "m: ", M117, G117, "% ", "Siltstone, ", O117, 'Input Sheet'!C119, "% ", I117, " Sandstone, ", K117, J117, " FLUOR in SST. ", "TG ", 'Input Sheet'!I119, "U"))</f>
        <v>Sample 2520m: 5% Siltstone, 95% very fine to fine Sandstone, 100% moderately bright to bright FLUOR in SST. TG 260U</v>
      </c>
      <c r="B117" s="28" t="str">
        <f>IF('Input Sheet'!C119="","",CONCATENATE("Sample ", 'Input Sheet'!B119, "m: ", N117, H117, "% ", "Siltstone, ", P117, 'Input Sheet'!C119, "% ", J117, " Sandstone "))</f>
        <v xml:space="preserve">Sample 2520m: veryfine to fine% Siltstone, 95% moderately bright to bright Sandstone </v>
      </c>
      <c r="C117" s="28" t="str">
        <f>IF('Input Sheet'!C119="","",CONCATENATE("Sample ", 'Input Sheet'!B119, "m: ", M117,, K117, J117, " FLUOR in SST. ", "TG ", 'Input Sheet'!I119, "U"))</f>
        <v>Sample 2520m: 100% moderately bright to bright FLUOR in SST. TG 260U</v>
      </c>
      <c r="G117" s="31">
        <f>IF('Input Sheet'!C119="","",100-'Input Sheet'!C119)</f>
        <v>5</v>
      </c>
      <c r="H1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7" s="31" t="str">
        <f t="shared" si="1"/>
        <v>very fine to fine</v>
      </c>
      <c r="J1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to bright</v>
      </c>
      <c r="K117" s="31" t="str">
        <f>IF('Input Sheet'!F118=0, "NO",CONCATENATE('Input Sheet'!F118, IF('Input Sheet'!F118&gt;0,"% ","")))</f>
        <v xml:space="preserve">100% </v>
      </c>
      <c r="L1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7" s="31" t="str">
        <f>CONCATENATE(L117, IF('Input Sheet'!J119="",""," siderite in "))</f>
        <v/>
      </c>
      <c r="N1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7" s="31" t="str">
        <f>CONCATENATE(N117, IF('Input Sheet'!K119="",""," siderite in "))</f>
        <v/>
      </c>
    </row>
    <row r="118" spans="1:15" x14ac:dyDescent="0.35">
      <c r="A118" s="42" t="str">
        <f>IF('Input Sheet'!C120="","",CONCATENATE("Sample ", 'Input Sheet'!B120, "m: ", M118, G118, "% ", "Siltstone, ", O118, 'Input Sheet'!C120, "% ", I118, " Sandstone, ", K118, J118, " FLUOR in SST. ", "TG ", 'Input Sheet'!I120, "U"))</f>
        <v>Sample 2530m: 0% Siltstone, 100% very fine to fine Sandstone, 100% dull  to  moderately bright FLUOR in SST. TG 160U</v>
      </c>
      <c r="B118" s="28" t="str">
        <f>IF('Input Sheet'!C120="","",CONCATENATE("Sample ", 'Input Sheet'!B120, "m: ", N118, H118, "% ", "Siltstone, ", P118, 'Input Sheet'!C120, "% ", J118, " Sandstone "))</f>
        <v xml:space="preserve">Sample 2530m: veryfine to fine% Siltstone, 100% dull  to  moderately bright Sandstone </v>
      </c>
      <c r="C118" s="28" t="str">
        <f>IF('Input Sheet'!C120="","",CONCATENATE("Sample ", 'Input Sheet'!B120, "m: ", M118,, K118, J118, " FLUOR in SST. ", "TG ", 'Input Sheet'!I120, "U"))</f>
        <v>Sample 2530m: 100% dull  to  moderately bright FLUOR in SST. TG 160U</v>
      </c>
      <c r="G118" s="31">
        <f>IF('Input Sheet'!C120="","",100-'Input Sheet'!C120)</f>
        <v>0</v>
      </c>
      <c r="H1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8" s="31" t="str">
        <f t="shared" si="1"/>
        <v>very fine to fine</v>
      </c>
      <c r="J1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8" s="31" t="str">
        <f>IF('Input Sheet'!F119=0, "NO",CONCATENATE('Input Sheet'!F119, IF('Input Sheet'!F119&gt;0,"% ","")))</f>
        <v xml:space="preserve">100% </v>
      </c>
      <c r="L1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8" s="31" t="str">
        <f>CONCATENATE(L118, IF('Input Sheet'!J120="",""," siderite in "))</f>
        <v/>
      </c>
      <c r="N1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8" s="31" t="str">
        <f>CONCATENATE(N118, IF('Input Sheet'!K120="",""," siderite in "))</f>
        <v/>
      </c>
    </row>
    <row r="119" spans="1:15" x14ac:dyDescent="0.35">
      <c r="A119" s="42" t="str">
        <f>IF('Input Sheet'!C121="","",CONCATENATE("Sample ", 'Input Sheet'!B121, "m: ", M119, G119, "% ", "Siltstone, ", O119, 'Input Sheet'!C121, "% ", I119, " Sandstone, ", K119, J119, " FLUOR in SST. ", "TG ", 'Input Sheet'!I121, "U"))</f>
        <v>Sample 2540m: 5% Siltstone, 95% very fine to fine Sandstone, 60% dull  to  moderately bright FLUOR in SST. TG 158U</v>
      </c>
      <c r="B119" s="28" t="str">
        <f>IF('Input Sheet'!C121="","",CONCATENATE("Sample ", 'Input Sheet'!B121, "m: ", N119, H119, "% ", "Siltstone, ", P119, 'Input Sheet'!C121, "% ", J119, " Sandstone "))</f>
        <v xml:space="preserve">Sample 2540m: veryfine to fine% Siltstone, 95% dull  to  moderately bright Sandstone </v>
      </c>
      <c r="C119" s="28" t="str">
        <f>IF('Input Sheet'!C121="","",CONCATENATE("Sample ", 'Input Sheet'!B121, "m: ", M119,, K119, J119, " FLUOR in SST. ", "TG ", 'Input Sheet'!I121, "U"))</f>
        <v>Sample 2540m: 60% dull  to  moderately bright FLUOR in SST. TG 158U</v>
      </c>
      <c r="G119" s="31">
        <f>IF('Input Sheet'!C121="","",100-'Input Sheet'!C121)</f>
        <v>5</v>
      </c>
      <c r="H1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9" s="31" t="str">
        <f t="shared" si="1"/>
        <v>very fine to fine</v>
      </c>
      <c r="J1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19" s="31" t="str">
        <f>IF('Input Sheet'!F120=0, "NO",CONCATENATE('Input Sheet'!F120, IF('Input Sheet'!F120&gt;0,"% ","")))</f>
        <v xml:space="preserve">60% </v>
      </c>
      <c r="L1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9" s="31" t="str">
        <f>CONCATENATE(L119, IF('Input Sheet'!J121="",""," siderite in "))</f>
        <v/>
      </c>
      <c r="N1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9" s="31" t="str">
        <f>CONCATENATE(N119, IF('Input Sheet'!K121="",""," siderite in "))</f>
        <v/>
      </c>
    </row>
    <row r="120" spans="1:15" x14ac:dyDescent="0.35">
      <c r="A120" s="42" t="str">
        <f>IF('Input Sheet'!C122="","",CONCATENATE("Sample ", 'Input Sheet'!B122, "m: ", M120, G120, "% ", "Siltstone, ", O120, 'Input Sheet'!C122, "% ", I120, " Sandstone, ", K120, J120, " FLUOR in SST. ", "TG ", 'Input Sheet'!I122, "U"))</f>
        <v>Sample 2550m: Y siderite in 40% Siltstone, 60% very fine to fine Sandstone, 50% dull  to  moderately bright FLUOR in SST. TG 128U</v>
      </c>
      <c r="B120" s="28" t="str">
        <f>IF('Input Sheet'!C122="","",CONCATENATE("Sample ", 'Input Sheet'!B122, "m: ", N120, H120, "% ", "Siltstone, ", P120, 'Input Sheet'!C122, "% ", J120, " Sandstone "))</f>
        <v xml:space="preserve">Sample 2550m: veryfine to fine% Siltstone, 60% dull  to  moderately bright Sandstone </v>
      </c>
      <c r="C120" s="28" t="str">
        <f>IF('Input Sheet'!C122="","",CONCATENATE("Sample ", 'Input Sheet'!B122, "m: ", M120,, K120, J120, " FLUOR in SST. ", "TG ", 'Input Sheet'!I122, "U"))</f>
        <v>Sample 2550m: Y siderite in 50% dull  to  moderately bright FLUOR in SST. TG 128U</v>
      </c>
      <c r="G120" s="31">
        <f>IF('Input Sheet'!C122="","",100-'Input Sheet'!C122)</f>
        <v>40</v>
      </c>
      <c r="H1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0" s="31" t="str">
        <f t="shared" si="1"/>
        <v>very fine to fine</v>
      </c>
      <c r="J1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0" s="31" t="str">
        <f>IF('Input Sheet'!F121=0, "NO",CONCATENATE('Input Sheet'!F121, IF('Input Sheet'!F121&gt;0,"% ","")))</f>
        <v xml:space="preserve">50% </v>
      </c>
      <c r="L1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0" s="31" t="str">
        <f>CONCATENATE(L120, IF('Input Sheet'!J122="",""," siderite in "))</f>
        <v xml:space="preserve">Y siderite in </v>
      </c>
      <c r="N1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0" s="31" t="str">
        <f>CONCATENATE(N120, IF('Input Sheet'!K122="",""," siderite in "))</f>
        <v/>
      </c>
    </row>
    <row r="121" spans="1:15" x14ac:dyDescent="0.35">
      <c r="A121" s="42" t="str">
        <f>IF('Input Sheet'!C123="","",CONCATENATE("Sample ", 'Input Sheet'!B123, "m: ", M121, G121, "% ", "Siltstone, ", O121, 'Input Sheet'!C123, "% ", I121, " Sandstone, ", K121, J121, " FLUOR in SST. ", "TG ", 'Input Sheet'!I123, "U"))</f>
        <v>Sample 2560m: Y siderite in 80% Siltstone, 20% very fine to fine Sandstone, 10% dull  to  moderately bright FLUOR in SST. TG 119U</v>
      </c>
      <c r="B121" s="28" t="str">
        <f>IF('Input Sheet'!C123="","",CONCATENATE("Sample ", 'Input Sheet'!B123, "m: ", N121, H121, "% ", "Siltstone, ", P121, 'Input Sheet'!C123, "% ", J121, " Sandstone "))</f>
        <v xml:space="preserve">Sample 2560m: veryfine to fine% Siltstone, 20% dull  to  moderately bright Sandstone </v>
      </c>
      <c r="C121" s="28" t="str">
        <f>IF('Input Sheet'!C123="","",CONCATENATE("Sample ", 'Input Sheet'!B123, "m: ", M121,, K121, J121, " FLUOR in SST. ", "TG ", 'Input Sheet'!I123, "U"))</f>
        <v>Sample 2560m: Y siderite in 10% dull  to  moderately bright FLUOR in SST. TG 119U</v>
      </c>
      <c r="G121" s="31">
        <f>IF('Input Sheet'!C123="","",100-'Input Sheet'!C123)</f>
        <v>80</v>
      </c>
      <c r="H1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1" s="31" t="str">
        <f t="shared" si="1"/>
        <v>very fine to fine</v>
      </c>
      <c r="J1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1" s="31" t="str">
        <f>IF('Input Sheet'!F122=0, "NO",CONCATENATE('Input Sheet'!F122, IF('Input Sheet'!F122&gt;0,"% ","")))</f>
        <v xml:space="preserve">10% </v>
      </c>
      <c r="L1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1" s="31" t="str">
        <f>CONCATENATE(L121, IF('Input Sheet'!J123="",""," siderite in "))</f>
        <v xml:space="preserve">Y siderite in </v>
      </c>
      <c r="N1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1" s="31" t="str">
        <f>CONCATENATE(N121, IF('Input Sheet'!K123="",""," siderite in "))</f>
        <v/>
      </c>
    </row>
    <row r="122" spans="1:15" x14ac:dyDescent="0.35">
      <c r="A122" s="42" t="str">
        <f>IF('Input Sheet'!C124="","",CONCATENATE("Sample ", 'Input Sheet'!B124, "m: ", M122, G122, "% ", "Siltstone, ", O122, 'Input Sheet'!C124, "% ", I122, " Sandstone, ", K122, J122, " FLUOR in SST. ", "TG ", 'Input Sheet'!I124, "U"))</f>
        <v>Sample 2570m: Y siderite in 80% Siltstone, 20% very fine to fine Sandstone, 25% dull  to  moderately bright FLUOR in SST. TG 123U</v>
      </c>
      <c r="B122" s="28" t="str">
        <f>IF('Input Sheet'!C124="","",CONCATENATE("Sample ", 'Input Sheet'!B124, "m: ", N122, H122, "% ", "Siltstone, ", P122, 'Input Sheet'!C124, "% ", J122, " Sandstone "))</f>
        <v xml:space="preserve">Sample 2570m: veryfine to fine% Siltstone, 20% dull  to  moderately bright Sandstone </v>
      </c>
      <c r="C122" s="28" t="str">
        <f>IF('Input Sheet'!C124="","",CONCATENATE("Sample ", 'Input Sheet'!B124, "m: ", M122,, K122, J122, " FLUOR in SST. ", "TG ", 'Input Sheet'!I124, "U"))</f>
        <v>Sample 2570m: Y siderite in 25% dull  to  moderately bright FLUOR in SST. TG 123U</v>
      </c>
      <c r="G122" s="31">
        <f>IF('Input Sheet'!C124="","",100-'Input Sheet'!C124)</f>
        <v>80</v>
      </c>
      <c r="H1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2" s="31" t="str">
        <f t="shared" si="1"/>
        <v>very fine to fine</v>
      </c>
      <c r="J1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2" s="31" t="str">
        <f>IF('Input Sheet'!F123=0, "NO",CONCATENATE('Input Sheet'!F123, IF('Input Sheet'!F123&gt;0,"% ","")))</f>
        <v xml:space="preserve">25% </v>
      </c>
      <c r="L1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2" s="31" t="str">
        <f>CONCATENATE(L122, IF('Input Sheet'!J124="",""," siderite in "))</f>
        <v xml:space="preserve">Y siderite in </v>
      </c>
      <c r="N1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2" s="31" t="str">
        <f>CONCATENATE(N122, IF('Input Sheet'!K124="",""," siderite in "))</f>
        <v/>
      </c>
    </row>
    <row r="123" spans="1:15" x14ac:dyDescent="0.35">
      <c r="A123" s="42" t="str">
        <f>IF('Input Sheet'!C125="","",CONCATENATE("Sample ", 'Input Sheet'!B125, "m: ", M123, G123, "% ", "Siltstone, ", O123, 'Input Sheet'!C125, "% ", I123, " Sandstone, ", K123, J123, " FLUOR in SST. ", "TG ", 'Input Sheet'!I125, "U"))</f>
        <v>Sample 2580m: Y siderite in 70% Siltstone, 30% very fine to fine Sandstone, 25% dull  to  moderately bright FLUOR in SST. TG 101U</v>
      </c>
      <c r="B123" s="28" t="str">
        <f>IF('Input Sheet'!C125="","",CONCATENATE("Sample ", 'Input Sheet'!B125, "m: ", N123, H123, "% ", "Siltstone, ", P123, 'Input Sheet'!C125, "% ", J123, " Sandstone "))</f>
        <v xml:space="preserve">Sample 2580m: veryfine to fine% Siltstone, 30% dull  to  moderately bright Sandstone </v>
      </c>
      <c r="C123" s="28" t="str">
        <f>IF('Input Sheet'!C125="","",CONCATENATE("Sample ", 'Input Sheet'!B125, "m: ", M123,, K123, J123, " FLUOR in SST. ", "TG ", 'Input Sheet'!I125, "U"))</f>
        <v>Sample 2580m: Y siderite in 25% dull  to  moderately bright FLUOR in SST. TG 101U</v>
      </c>
      <c r="G123" s="31">
        <f>IF('Input Sheet'!C125="","",100-'Input Sheet'!C125)</f>
        <v>70</v>
      </c>
      <c r="H1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3" s="31" t="str">
        <f t="shared" si="1"/>
        <v>very fine to fine</v>
      </c>
      <c r="J1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3" s="31" t="str">
        <f>IF('Input Sheet'!F124=0, "NO",CONCATENATE('Input Sheet'!F124, IF('Input Sheet'!F124&gt;0,"% ","")))</f>
        <v xml:space="preserve">25% </v>
      </c>
      <c r="L1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3" s="31" t="str">
        <f>CONCATENATE(L123, IF('Input Sheet'!J125="",""," siderite in "))</f>
        <v xml:space="preserve">Y siderite in </v>
      </c>
      <c r="N1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3" s="31" t="str">
        <f>CONCATENATE(N123, IF('Input Sheet'!K125="",""," siderite in "))</f>
        <v/>
      </c>
    </row>
    <row r="124" spans="1:15" x14ac:dyDescent="0.35">
      <c r="A124" s="42" t="str">
        <f>IF('Input Sheet'!C126="","",CONCATENATE("Sample ", 'Input Sheet'!B126, "m: ", M124, G124, "% ", "Siltstone, ", O124, 'Input Sheet'!C126, "% ", I124, " Sandstone, ", K124, J124, " FLUOR in SST. ", "TG ", 'Input Sheet'!I126, "U"))</f>
        <v>Sample 2590m: Y siderite in 70% Siltstone, 30% very fine to fine Sandstone, 25% dull  to  moderately bright FLUOR in SST. TG 89U</v>
      </c>
      <c r="B124" s="28" t="str">
        <f>IF('Input Sheet'!C126="","",CONCATENATE("Sample ", 'Input Sheet'!B126, "m: ", N124, H124, "% ", "Siltstone, ", P124, 'Input Sheet'!C126, "% ", J124, " Sandstone "))</f>
        <v xml:space="preserve">Sample 2590m: veryfine to fine% Siltstone, 30% dull  to  moderately bright Sandstone </v>
      </c>
      <c r="C124" s="28" t="str">
        <f>IF('Input Sheet'!C126="","",CONCATENATE("Sample ", 'Input Sheet'!B126, "m: ", M124,, K124, J124, " FLUOR in SST. ", "TG ", 'Input Sheet'!I126, "U"))</f>
        <v>Sample 2590m: Y siderite in 25% dull  to  moderately bright FLUOR in SST. TG 89U</v>
      </c>
      <c r="G124" s="31">
        <f>IF('Input Sheet'!C126="","",100-'Input Sheet'!C126)</f>
        <v>70</v>
      </c>
      <c r="H1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4" s="31" t="str">
        <f t="shared" si="1"/>
        <v>very fine to fine</v>
      </c>
      <c r="J1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4" s="31" t="str">
        <f>IF('Input Sheet'!F125=0, "NO",CONCATENATE('Input Sheet'!F125, IF('Input Sheet'!F125&gt;0,"% ","")))</f>
        <v xml:space="preserve">25% </v>
      </c>
      <c r="L1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4" s="31" t="str">
        <f>CONCATENATE(L124, IF('Input Sheet'!J126="",""," siderite in "))</f>
        <v xml:space="preserve">Y siderite in </v>
      </c>
      <c r="N1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4" s="31" t="str">
        <f>CONCATENATE(N124, IF('Input Sheet'!K126="",""," siderite in "))</f>
        <v/>
      </c>
    </row>
    <row r="125" spans="1:15" x14ac:dyDescent="0.35">
      <c r="A125" s="42" t="str">
        <f>IF('Input Sheet'!C127="","",CONCATENATE("Sample ", 'Input Sheet'!B127, "m: ", M125, G125, "% ", "Siltstone, ", O125, 'Input Sheet'!C127, "% ", I125, " Sandstone, ", K125, J125, " FLUOR in SST. ", "TG ", 'Input Sheet'!I127, "U"))</f>
        <v>Sample 2600m: Y siderite in 60% Siltstone, 40% very fine to fine Sandstone, 25% dull  to  moderately bright FLUOR in SST. TG 94U</v>
      </c>
      <c r="B125" s="28" t="str">
        <f>IF('Input Sheet'!C127="","",CONCATENATE("Sample ", 'Input Sheet'!B127, "m: ", N125, H125, "% ", "Siltstone, ", P125, 'Input Sheet'!C127, "% ", J125, " Sandstone "))</f>
        <v xml:space="preserve">Sample 2600m: veryfine to fine% Siltstone, 40% dull  to  moderately bright Sandstone </v>
      </c>
      <c r="C125" s="28" t="str">
        <f>IF('Input Sheet'!C127="","",CONCATENATE("Sample ", 'Input Sheet'!B127, "m: ", M125,, K125, J125, " FLUOR in SST. ", "TG ", 'Input Sheet'!I127, "U"))</f>
        <v>Sample 2600m: Y siderite in 25% dull  to  moderately bright FLUOR in SST. TG 94U</v>
      </c>
      <c r="G125" s="31">
        <f>IF('Input Sheet'!C127="","",100-'Input Sheet'!C127)</f>
        <v>60</v>
      </c>
      <c r="H1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5" s="31" t="str">
        <f t="shared" si="1"/>
        <v>very fine to fine</v>
      </c>
      <c r="J1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5" s="31" t="str">
        <f>IF('Input Sheet'!F126=0, "NO",CONCATENATE('Input Sheet'!F126, IF('Input Sheet'!F126&gt;0,"% ","")))</f>
        <v xml:space="preserve">25% </v>
      </c>
      <c r="L1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5" s="31" t="str">
        <f>CONCATENATE(L125, IF('Input Sheet'!J127="",""," siderite in "))</f>
        <v xml:space="preserve">Y siderite in </v>
      </c>
      <c r="N1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5" s="31" t="str">
        <f>CONCATENATE(N125, IF('Input Sheet'!K127="",""," siderite in "))</f>
        <v/>
      </c>
    </row>
    <row r="126" spans="1:15" x14ac:dyDescent="0.35">
      <c r="A126" s="42" t="str">
        <f>IF('Input Sheet'!C128="","",CONCATENATE("Sample ", 'Input Sheet'!B128, "m: ", M126, G126, "% ", "Siltstone, ", O126, 'Input Sheet'!C128, "% ", I126, " Sandstone, ", K126, J126, " FLUOR in SST. ", "TG ", 'Input Sheet'!I128, "U"))</f>
        <v>Sample 2610m: Y siderite in 75% Siltstone, 25% very fine to fine Sandstone, 25% dull  to  moderately bright FLUOR in SST. TG 82U</v>
      </c>
      <c r="B126" s="28" t="str">
        <f>IF('Input Sheet'!C128="","",CONCATENATE("Sample ", 'Input Sheet'!B128, "m: ", N126, H126, "% ", "Siltstone, ", P126, 'Input Sheet'!C128, "% ", J126, " Sandstone "))</f>
        <v xml:space="preserve">Sample 2610m: veryfine to fine% Siltstone, 25% dull  to  moderately bright Sandstone </v>
      </c>
      <c r="C126" s="28" t="str">
        <f>IF('Input Sheet'!C128="","",CONCATENATE("Sample ", 'Input Sheet'!B128, "m: ", M126,, K126, J126, " FLUOR in SST. ", "TG ", 'Input Sheet'!I128, "U"))</f>
        <v>Sample 2610m: Y siderite in 25% dull  to  moderately bright FLUOR in SST. TG 82U</v>
      </c>
      <c r="G126" s="31">
        <f>IF('Input Sheet'!C128="","",100-'Input Sheet'!C128)</f>
        <v>75</v>
      </c>
      <c r="H1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6" s="31" t="str">
        <f t="shared" si="1"/>
        <v>very fine to fine</v>
      </c>
      <c r="J1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6" s="31" t="str">
        <f>IF('Input Sheet'!F127=0, "NO",CONCATENATE('Input Sheet'!F127, IF('Input Sheet'!F127&gt;0,"% ","")))</f>
        <v xml:space="preserve">25% </v>
      </c>
      <c r="L1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6" s="31" t="str">
        <f>CONCATENATE(L126, IF('Input Sheet'!J128="",""," siderite in "))</f>
        <v xml:space="preserve">Y siderite in </v>
      </c>
      <c r="N1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6" s="31" t="str">
        <f>CONCATENATE(N126, IF('Input Sheet'!K128="",""," siderite in "))</f>
        <v/>
      </c>
    </row>
    <row r="127" spans="1:15" x14ac:dyDescent="0.35">
      <c r="A127" s="42" t="str">
        <f>IF('Input Sheet'!C129="","",CONCATENATE("Sample ", 'Input Sheet'!B129, "m: ", M127, G127, "% ", "Siltstone, ", O127, 'Input Sheet'!C129, "% ", I127, " Sandstone, ", K127, J127, " FLUOR in SST. ", "TG ", 'Input Sheet'!I129, "U"))</f>
        <v>Sample 2620m: Y siderite in 80% Siltstone, 20% very fine to fine Sandstone, 20% dull  to  moderately bright FLUOR in SST. TG 89U</v>
      </c>
      <c r="B127" s="28" t="str">
        <f>IF('Input Sheet'!C129="","",CONCATENATE("Sample ", 'Input Sheet'!B129, "m: ", N127, H127, "% ", "Siltstone, ", P127, 'Input Sheet'!C129, "% ", J127, " Sandstone "))</f>
        <v xml:space="preserve">Sample 2620m: veryfine to fine% Siltstone, 20% dull  to  moderately bright Sandstone </v>
      </c>
      <c r="C127" s="28" t="str">
        <f>IF('Input Sheet'!C129="","",CONCATENATE("Sample ", 'Input Sheet'!B129, "m: ", M127,, K127, J127, " FLUOR in SST. ", "TG ", 'Input Sheet'!I129, "U"))</f>
        <v>Sample 2620m: Y siderite in 20% dull  to  moderately bright FLUOR in SST. TG 89U</v>
      </c>
      <c r="G127" s="31">
        <f>IF('Input Sheet'!C129="","",100-'Input Sheet'!C129)</f>
        <v>80</v>
      </c>
      <c r="H1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7" s="31" t="str">
        <f t="shared" si="1"/>
        <v>very fine to fine</v>
      </c>
      <c r="J1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7" s="31" t="str">
        <f>IF('Input Sheet'!F128=0, "NO",CONCATENATE('Input Sheet'!F128, IF('Input Sheet'!F128&gt;0,"% ","")))</f>
        <v xml:space="preserve">20% </v>
      </c>
      <c r="L1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7" s="31" t="str">
        <f>CONCATENATE(L127, IF('Input Sheet'!J129="",""," siderite in "))</f>
        <v xml:space="preserve">Y siderite in </v>
      </c>
      <c r="N1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7" s="31" t="str">
        <f>CONCATENATE(N127, IF('Input Sheet'!K129="",""," siderite in "))</f>
        <v/>
      </c>
    </row>
    <row r="128" spans="1:15" x14ac:dyDescent="0.35">
      <c r="A128" s="42" t="str">
        <f>IF('Input Sheet'!C130="","",CONCATENATE("Sample ", 'Input Sheet'!B130, "m: ", M128, G128, "% ", "Siltstone, ", O128, 'Input Sheet'!C130, "% ", I128, " Sandstone, ", K128, J128, " FLUOR in SST. ", "TG ", 'Input Sheet'!I130, "U"))</f>
        <v>Sample 2630m: y siderite in 60% Siltstone, 40% very fine to fine Sandstone, 20% dull  to  moderately bright FLUOR in SST. TG 84U</v>
      </c>
      <c r="B128" s="28" t="str">
        <f>IF('Input Sheet'!C130="","",CONCATENATE("Sample ", 'Input Sheet'!B130, "m: ", N128, H128, "% ", "Siltstone, ", P128, 'Input Sheet'!C130, "% ", J128, " Sandstone "))</f>
        <v xml:space="preserve">Sample 2630m: veryfine to fine% Siltstone, 40% dull  to  moderately bright Sandstone </v>
      </c>
      <c r="C128" s="28" t="str">
        <f>IF('Input Sheet'!C130="","",CONCATENATE("Sample ", 'Input Sheet'!B130, "m: ", M128,, K128, J128, " FLUOR in SST. ", "TG ", 'Input Sheet'!I130, "U"))</f>
        <v>Sample 2630m: y siderite in 20% dull  to  moderately bright FLUOR in SST. TG 84U</v>
      </c>
      <c r="G128" s="31">
        <f>IF('Input Sheet'!C130="","",100-'Input Sheet'!C130)</f>
        <v>60</v>
      </c>
      <c r="H1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8" s="31" t="str">
        <f t="shared" si="1"/>
        <v>very fine to fine</v>
      </c>
      <c r="J1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8" s="31" t="str">
        <f>IF('Input Sheet'!F129=0, "NO",CONCATENATE('Input Sheet'!F129, IF('Input Sheet'!F129&gt;0,"% ","")))</f>
        <v xml:space="preserve">20% </v>
      </c>
      <c r="L1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8" s="31" t="str">
        <f>CONCATENATE(L128, IF('Input Sheet'!J130="",""," siderite in "))</f>
        <v xml:space="preserve">y siderite in </v>
      </c>
      <c r="N1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8" s="31" t="str">
        <f>CONCATENATE(N128, IF('Input Sheet'!K130="",""," siderite in "))</f>
        <v/>
      </c>
    </row>
    <row r="129" spans="1:15" x14ac:dyDescent="0.35">
      <c r="A129" s="42" t="str">
        <f>IF('Input Sheet'!C131="","",CONCATENATE("Sample ", 'Input Sheet'!B131, "m: ", M129, G129, "% ", "Siltstone, ", O129, 'Input Sheet'!C131, "% ", I129, " Sandstone, ", K129, J129, " FLUOR in SST. ", "TG ", 'Input Sheet'!I131, "U"))</f>
        <v>Sample 2640m: y siderite in 40% Siltstone, 60% very fine to fine Sandstone, 5% dull  to  moderately bright FLUOR in SST. TG 100U</v>
      </c>
      <c r="B129" s="28" t="str">
        <f>IF('Input Sheet'!C131="","",CONCATENATE("Sample ", 'Input Sheet'!B131, "m: ", N129, H129, "% ", "Siltstone, ", P129, 'Input Sheet'!C131, "% ", J129, " Sandstone "))</f>
        <v xml:space="preserve">Sample 2640m: veryfine to fine% Siltstone, 60% dull  to  moderately bright Sandstone </v>
      </c>
      <c r="C129" s="28" t="str">
        <f>IF('Input Sheet'!C131="","",CONCATENATE("Sample ", 'Input Sheet'!B131, "m: ", M129,, K129, J129, " FLUOR in SST. ", "TG ", 'Input Sheet'!I131, "U"))</f>
        <v>Sample 2640m: y siderite in 5% dull  to  moderately bright FLUOR in SST. TG 100U</v>
      </c>
      <c r="G129" s="31">
        <f>IF('Input Sheet'!C131="","",100-'Input Sheet'!C131)</f>
        <v>40</v>
      </c>
      <c r="H1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29" s="31" t="str">
        <f t="shared" si="1"/>
        <v>very fine to fine</v>
      </c>
      <c r="J1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29" s="31" t="str">
        <f>IF('Input Sheet'!F130=0, "NO",CONCATENATE('Input Sheet'!F130, IF('Input Sheet'!F130&gt;0,"% ","")))</f>
        <v xml:space="preserve">5% </v>
      </c>
      <c r="L1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29" s="31" t="str">
        <f>CONCATENATE(L129, IF('Input Sheet'!J131="",""," siderite in "))</f>
        <v xml:space="preserve">y siderite in </v>
      </c>
      <c r="N1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9" s="31" t="str">
        <f>CONCATENATE(N129, IF('Input Sheet'!K131="",""," siderite in "))</f>
        <v/>
      </c>
    </row>
    <row r="130" spans="1:15" x14ac:dyDescent="0.35">
      <c r="A130" s="42" t="str">
        <f>IF('Input Sheet'!C132="","",CONCATENATE("Sample ", 'Input Sheet'!B132, "m: ", M130, G130, "% ", "Siltstone, ", O130, 'Input Sheet'!C132, "% ", I130, " Sandstone, ", K130, J130, " FLUOR in SST. ", "TG ", 'Input Sheet'!I132, "U"))</f>
        <v>Sample 2650m: y siderite in 30% Siltstone, 70% very fine to fine Sandstone, 15% dull  to  moderately bright FLUOR in SST. TG 82U</v>
      </c>
      <c r="B130" s="28" t="str">
        <f>IF('Input Sheet'!C132="","",CONCATENATE("Sample ", 'Input Sheet'!B132, "m: ", N130, H130, "% ", "Siltstone, ", P130, 'Input Sheet'!C132, "% ", J130, " Sandstone "))</f>
        <v xml:space="preserve">Sample 2650m: veryfine to fine% Siltstone, 70% dull  to  moderately bright Sandstone </v>
      </c>
      <c r="C130" s="28" t="str">
        <f>IF('Input Sheet'!C132="","",CONCATENATE("Sample ", 'Input Sheet'!B132, "m: ", M130,, K130, J130, " FLUOR in SST. ", "TG ", 'Input Sheet'!I132, "U"))</f>
        <v>Sample 2650m: y siderite in 15% dull  to  moderately bright FLUOR in SST. TG 82U</v>
      </c>
      <c r="G130" s="31">
        <f>IF('Input Sheet'!C132="","",100-'Input Sheet'!C132)</f>
        <v>30</v>
      </c>
      <c r="H1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30" s="31" t="str">
        <f t="shared" ref="I130:I193" si="2">SUBSTITUTE(H130, "veryfine", "very fine")</f>
        <v>very fine to fine</v>
      </c>
      <c r="J1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30" s="31" t="str">
        <f>IF('Input Sheet'!F131=0, "NO",CONCATENATE('Input Sheet'!F131, IF('Input Sheet'!F131&gt;0,"% ","")))</f>
        <v xml:space="preserve">15% </v>
      </c>
      <c r="L1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30" s="31" t="str">
        <f>CONCATENATE(L130, IF('Input Sheet'!J132="",""," siderite in "))</f>
        <v xml:space="preserve">y siderite in </v>
      </c>
      <c r="N1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0" s="31" t="str">
        <f>CONCATENATE(N130, IF('Input Sheet'!K132="",""," siderite in "))</f>
        <v/>
      </c>
    </row>
    <row r="131" spans="1:15" x14ac:dyDescent="0.35">
      <c r="A131" s="42" t="str">
        <f>IF('Input Sheet'!C133="","",CONCATENATE("Sample ", 'Input Sheet'!B133, "m: ", M131, G131, "% ", "Siltstone, ", O131, 'Input Sheet'!C133, "% ", I131, " Sandstone, ", K131, J131, " FLUOR in SST. ", "TG ", 'Input Sheet'!I133, "U"))</f>
        <v>Sample 2660m: N siderite in 60% Siltstone, 40% very fine to fine Sandstone, 10% dull  to  moderately bright FLUOR in SST. TG 85U</v>
      </c>
      <c r="B131" s="28" t="str">
        <f>IF('Input Sheet'!C133="","",CONCATENATE("Sample ", 'Input Sheet'!B133, "m: ", N131, H131, "% ", "Siltstone, ", P131, 'Input Sheet'!C133, "% ", J131, " Sandstone "))</f>
        <v xml:space="preserve">Sample 2660m: veryfine to fine% Siltstone, 40% dull  to  moderately bright Sandstone </v>
      </c>
      <c r="C131" s="28" t="str">
        <f>IF('Input Sheet'!C133="","",CONCATENATE("Sample ", 'Input Sheet'!B133, "m: ", M131,, K131, J131, " FLUOR in SST. ", "TG ", 'Input Sheet'!I133, "U"))</f>
        <v>Sample 2660m: N siderite in 10% dull  to  moderately bright FLUOR in SST. TG 85U</v>
      </c>
      <c r="G131" s="31">
        <f>IF('Input Sheet'!C133="","",100-'Input Sheet'!C133)</f>
        <v>60</v>
      </c>
      <c r="H1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31" s="31" t="str">
        <f t="shared" si="2"/>
        <v>very fine to fine</v>
      </c>
      <c r="J1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31" s="31" t="str">
        <f>IF('Input Sheet'!F132=0, "NO",CONCATENATE('Input Sheet'!F132, IF('Input Sheet'!F132&gt;0,"% ","")))</f>
        <v xml:space="preserve">10% </v>
      </c>
      <c r="L1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N</v>
      </c>
      <c r="M131" s="31" t="str">
        <f>CONCATENATE(L131, IF('Input Sheet'!J133="",""," siderite in "))</f>
        <v xml:space="preserve">N siderite in </v>
      </c>
      <c r="N1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1" s="31" t="str">
        <f>CONCATENATE(N131, IF('Input Sheet'!K133="",""," siderite in "))</f>
        <v/>
      </c>
    </row>
    <row r="132" spans="1:15" x14ac:dyDescent="0.35">
      <c r="A132" s="42" t="str">
        <f>IF('Input Sheet'!C134="","",CONCATENATE("Sample ", 'Input Sheet'!B134, "m: ", M132, G132, "% ", "Siltstone, ", O132, 'Input Sheet'!C134, "% ", I132, " Sandstone, ", K132, J132, " FLUOR in SST. ", "TG ", 'Input Sheet'!I134, "U"))</f>
        <v>Sample 2670m: N siderite in 30% Siltstone, 70% fine to medium Sandstone, 20% moderately bright FLUOR in SST. TG 116U</v>
      </c>
      <c r="B132" s="28" t="str">
        <f>IF('Input Sheet'!C134="","",CONCATENATE("Sample ", 'Input Sheet'!B134, "m: ", N132, H132, "% ", "Siltstone, ", P132, 'Input Sheet'!C134, "% ", J132, " Sandstone "))</f>
        <v xml:space="preserve">Sample 2670m: fine to medium% Siltstone, 70% moderately bright Sandstone </v>
      </c>
      <c r="C132" s="28" t="str">
        <f>IF('Input Sheet'!C134="","",CONCATENATE("Sample ", 'Input Sheet'!B134, "m: ", M132,, K132, J132, " FLUOR in SST. ", "TG ", 'Input Sheet'!I134, "U"))</f>
        <v>Sample 2670m: N siderite in 20% moderately bright FLUOR in SST. TG 116U</v>
      </c>
      <c r="G132" s="31">
        <f>IF('Input Sheet'!C134="","",100-'Input Sheet'!C134)</f>
        <v>30</v>
      </c>
      <c r="H1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2" s="31" t="str">
        <f t="shared" si="2"/>
        <v>fine to medium</v>
      </c>
      <c r="J1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32" s="31" t="str">
        <f>IF('Input Sheet'!F133=0, "NO",CONCATENATE('Input Sheet'!F133, IF('Input Sheet'!F133&gt;0,"% ","")))</f>
        <v xml:space="preserve">20% </v>
      </c>
      <c r="L1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N</v>
      </c>
      <c r="M132" s="31" t="str">
        <f>CONCATENATE(L132, IF('Input Sheet'!J134="",""," siderite in "))</f>
        <v xml:space="preserve">N siderite in </v>
      </c>
      <c r="N1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2" s="31" t="str">
        <f>CONCATENATE(N132, IF('Input Sheet'!K134="",""," siderite in "))</f>
        <v/>
      </c>
    </row>
    <row r="133" spans="1:15" x14ac:dyDescent="0.35">
      <c r="A133" s="42" t="str">
        <f>IF('Input Sheet'!C135="","",CONCATENATE("Sample ", 'Input Sheet'!B135, "m: ", M133, G133, "% ", "Siltstone, ", O133, 'Input Sheet'!C135, "% ", I133, " Sandstone, ", K133, J133, " FLUOR in SST. ", "TG ", 'Input Sheet'!I135, "U"))</f>
        <v>Sample 2680m: 10% Siltstone, 90% fine to medium Sandstone, 45% dull  to  moderately bright FLUOR in SST. TG 228U</v>
      </c>
      <c r="B133" s="28" t="str">
        <f>IF('Input Sheet'!C135="","",CONCATENATE("Sample ", 'Input Sheet'!B135, "m: ", N133, H133, "% ", "Siltstone, ", P133, 'Input Sheet'!C135, "% ", J133, " Sandstone "))</f>
        <v xml:space="preserve">Sample 2680m: fine to medium% Siltstone, 90% dull  to  moderately bright Sandstone </v>
      </c>
      <c r="C133" s="28" t="str">
        <f>IF('Input Sheet'!C135="","",CONCATENATE("Sample ", 'Input Sheet'!B135, "m: ", M133,, K133, J133, " FLUOR in SST. ", "TG ", 'Input Sheet'!I135, "U"))</f>
        <v>Sample 2680m: 45% dull  to  moderately bright FLUOR in SST. TG 228U</v>
      </c>
      <c r="G133" s="31">
        <f>IF('Input Sheet'!C135="","",100-'Input Sheet'!C135)</f>
        <v>10</v>
      </c>
      <c r="H1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3" s="31" t="str">
        <f t="shared" si="2"/>
        <v>fine to medium</v>
      </c>
      <c r="J1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33" s="31" t="str">
        <f>IF('Input Sheet'!F134=0, "NO",CONCATENATE('Input Sheet'!F134, IF('Input Sheet'!F134&gt;0,"% ","")))</f>
        <v xml:space="preserve">45% </v>
      </c>
      <c r="L1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3" s="31" t="str">
        <f>CONCATENATE(L133, IF('Input Sheet'!J135="",""," siderite in "))</f>
        <v/>
      </c>
      <c r="N1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3" s="31" t="str">
        <f>CONCATENATE(N133, IF('Input Sheet'!K135="",""," siderite in "))</f>
        <v/>
      </c>
    </row>
    <row r="134" spans="1:15" x14ac:dyDescent="0.35">
      <c r="A134" s="42" t="str">
        <f>IF('Input Sheet'!C136="","",CONCATENATE("Sample ", 'Input Sheet'!B136, "m: ", M134, G134, "% ", "Siltstone, ", O134, 'Input Sheet'!C136, "% ", I134, " Sandstone, ", K134, J134, " FLUOR in SST. ", "TG ", 'Input Sheet'!I136, "U"))</f>
        <v>Sample 2690m: 0% Siltstone, 100% fine to medium Sandstone, 60% moderately bright  to  bright FLUOR in SST. TG 250U</v>
      </c>
      <c r="B134" s="28" t="str">
        <f>IF('Input Sheet'!C136="","",CONCATENATE("Sample ", 'Input Sheet'!B136, "m: ", N134, H134, "% ", "Siltstone, ", P134, 'Input Sheet'!C136, "% ", J134, " Sandstone "))</f>
        <v xml:space="preserve">Sample 2690m: fine to medium% Siltstone, 100% moderately bright  to  bright Sandstone </v>
      </c>
      <c r="C134" s="28" t="str">
        <f>IF('Input Sheet'!C136="","",CONCATENATE("Sample ", 'Input Sheet'!B136, "m: ", M134,, K134, J134, " FLUOR in SST. ", "TG ", 'Input Sheet'!I136, "U"))</f>
        <v>Sample 2690m: 60% moderately bright  to  bright FLUOR in SST. TG 250U</v>
      </c>
      <c r="G134" s="31">
        <f>IF('Input Sheet'!C136="","",100-'Input Sheet'!C136)</f>
        <v>0</v>
      </c>
      <c r="H1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4" s="31" t="str">
        <f t="shared" si="2"/>
        <v>fine to medium</v>
      </c>
      <c r="J1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34" s="31" t="str">
        <f>IF('Input Sheet'!F135=0, "NO",CONCATENATE('Input Sheet'!F135, IF('Input Sheet'!F135&gt;0,"% ","")))</f>
        <v xml:space="preserve">60% </v>
      </c>
      <c r="L1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4" s="31" t="str">
        <f>CONCATENATE(L134, IF('Input Sheet'!J136="",""," siderite in "))</f>
        <v/>
      </c>
      <c r="N1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4" s="31" t="str">
        <f>CONCATENATE(N134, IF('Input Sheet'!K136="",""," siderite in "))</f>
        <v/>
      </c>
    </row>
    <row r="135" spans="1:15" x14ac:dyDescent="0.35">
      <c r="A135" s="42" t="str">
        <f>IF('Input Sheet'!C137="","",CONCATENATE("Sample ", 'Input Sheet'!B137, "m: ", M135, G135, "% ", "Siltstone, ", O135, 'Input Sheet'!C137, "% ", I135, " Sandstone, ", K135, J135, " FLUOR in SST. ", "TG ", 'Input Sheet'!I137, "U"))</f>
        <v>Sample 2700m: 10% Siltstone, 90% fine to medium Sandstone, 80% moderately bright  to  bright FLUOR in SST. TG 174U</v>
      </c>
      <c r="B135" s="28" t="str">
        <f>IF('Input Sheet'!C137="","",CONCATENATE("Sample ", 'Input Sheet'!B137, "m: ", N135, H135, "% ", "Siltstone, ", P135, 'Input Sheet'!C137, "% ", J135, " Sandstone "))</f>
        <v xml:space="preserve">Sample 2700m: fine to medium% Siltstone, 90% moderately bright  to  bright Sandstone </v>
      </c>
      <c r="C135" s="28" t="str">
        <f>IF('Input Sheet'!C137="","",CONCATENATE("Sample ", 'Input Sheet'!B137, "m: ", M135,, K135, J135, " FLUOR in SST. ", "TG ", 'Input Sheet'!I137, "U"))</f>
        <v>Sample 2700m: 80% moderately bright  to  bright FLUOR in SST. TG 174U</v>
      </c>
      <c r="G135" s="31">
        <f>IF('Input Sheet'!C137="","",100-'Input Sheet'!C137)</f>
        <v>10</v>
      </c>
      <c r="H1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5" s="31" t="str">
        <f t="shared" si="2"/>
        <v>fine to medium</v>
      </c>
      <c r="J1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35" s="31" t="str">
        <f>IF('Input Sheet'!F136=0, "NO",CONCATENATE('Input Sheet'!F136, IF('Input Sheet'!F136&gt;0,"% ","")))</f>
        <v xml:space="preserve">80% </v>
      </c>
      <c r="L1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5" s="31" t="str">
        <f>CONCATENATE(L135, IF('Input Sheet'!J137="",""," siderite in "))</f>
        <v/>
      </c>
      <c r="N1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5" s="31" t="str">
        <f>CONCATENATE(N135, IF('Input Sheet'!K137="",""," siderite in "))</f>
        <v/>
      </c>
    </row>
    <row r="136" spans="1:15" x14ac:dyDescent="0.35">
      <c r="A136" s="42" t="str">
        <f>IF('Input Sheet'!C138="","",CONCATENATE("Sample ", 'Input Sheet'!B138, "m: ", M136, G136, "% ", "Siltstone, ", O136, 'Input Sheet'!C138, "% ", I136, " Sandstone, ", K136, J136, " FLUOR in SST. ", "TG ", 'Input Sheet'!I138, "U"))</f>
        <v>Sample 2710m: 0% Siltstone, 100% fine to medium Sandstone, 80% bright FLUOR in SST. TG 253U</v>
      </c>
      <c r="B136" s="28" t="str">
        <f>IF('Input Sheet'!C138="","",CONCATENATE("Sample ", 'Input Sheet'!B138, "m: ", N136, H136, "% ", "Siltstone, ", P136, 'Input Sheet'!C138, "% ", J136, " Sandstone "))</f>
        <v xml:space="preserve">Sample 2710m: fine to medium% Siltstone, 100% bright Sandstone </v>
      </c>
      <c r="C136" s="28" t="str">
        <f>IF('Input Sheet'!C138="","",CONCATENATE("Sample ", 'Input Sheet'!B138, "m: ", M136,, K136, J136, " FLUOR in SST. ", "TG ", 'Input Sheet'!I138, "U"))</f>
        <v>Sample 2710m: 80% bright FLUOR in SST. TG 253U</v>
      </c>
      <c r="G136" s="31">
        <f>IF('Input Sheet'!C138="","",100-'Input Sheet'!C138)</f>
        <v>0</v>
      </c>
      <c r="H1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6" s="31" t="str">
        <f t="shared" si="2"/>
        <v>fine to medium</v>
      </c>
      <c r="J1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6" s="31" t="str">
        <f>IF('Input Sheet'!F137=0, "NO",CONCATENATE('Input Sheet'!F137, IF('Input Sheet'!F137&gt;0,"% ","")))</f>
        <v xml:space="preserve">80% </v>
      </c>
      <c r="L1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6" s="31" t="str">
        <f>CONCATENATE(L136, IF('Input Sheet'!J138="",""," siderite in "))</f>
        <v/>
      </c>
      <c r="N1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6" s="31" t="str">
        <f>CONCATENATE(N136, IF('Input Sheet'!K138="",""," siderite in "))</f>
        <v/>
      </c>
    </row>
    <row r="137" spans="1:15" x14ac:dyDescent="0.35">
      <c r="A137" s="42" t="str">
        <f>IF('Input Sheet'!C139="","",CONCATENATE("Sample ", 'Input Sheet'!B139, "m: ", M137, G137, "% ", "Siltstone, ", O137, 'Input Sheet'!C139, "% ", I137, " Sandstone, ", K137, J137, " FLUOR in SST. ", "TG ", 'Input Sheet'!I139, "U"))</f>
        <v>Sample 2720m: 5% Siltstone, 95% fine to medium Sandstone, 100% moderately bright  to  bright FLUOR in SST. TG 285U</v>
      </c>
      <c r="B137" s="28" t="str">
        <f>IF('Input Sheet'!C139="","",CONCATENATE("Sample ", 'Input Sheet'!B139, "m: ", N137, H137, "% ", "Siltstone, ", P137, 'Input Sheet'!C139, "% ", J137, " Sandstone "))</f>
        <v xml:space="preserve">Sample 2720m: fine to medium% Siltstone, 95% moderately bright  to  bright Sandstone </v>
      </c>
      <c r="C137" s="28" t="str">
        <f>IF('Input Sheet'!C139="","",CONCATENATE("Sample ", 'Input Sheet'!B139, "m: ", M137,, K137, J137, " FLUOR in SST. ", "TG ", 'Input Sheet'!I139, "U"))</f>
        <v>Sample 2720m: 100% moderately bright  to  bright FLUOR in SST. TG 285U</v>
      </c>
      <c r="G137" s="31">
        <f>IF('Input Sheet'!C139="","",100-'Input Sheet'!C139)</f>
        <v>5</v>
      </c>
      <c r="H1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7" s="31" t="str">
        <f t="shared" si="2"/>
        <v>fine to medium</v>
      </c>
      <c r="J1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37" s="31" t="str">
        <f>IF('Input Sheet'!F138=0, "NO",CONCATENATE('Input Sheet'!F138, IF('Input Sheet'!F138&gt;0,"% ","")))</f>
        <v xml:space="preserve">100% </v>
      </c>
      <c r="L1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7" s="31" t="str">
        <f>CONCATENATE(L137, IF('Input Sheet'!J139="",""," siderite in "))</f>
        <v/>
      </c>
      <c r="N1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7" s="31" t="str">
        <f>CONCATENATE(N137, IF('Input Sheet'!K139="",""," siderite in "))</f>
        <v/>
      </c>
    </row>
    <row r="138" spans="1:15" x14ac:dyDescent="0.35">
      <c r="A138" s="42" t="str">
        <f>IF('Input Sheet'!C140="","",CONCATENATE("Sample ", 'Input Sheet'!B140, "m: ", M138, G138, "% ", "Siltstone, ", O138, 'Input Sheet'!C140, "% ", I138, " Sandstone, ", K138, J138, " FLUOR in SST. ", "TG ", 'Input Sheet'!I140, "U"))</f>
        <v>Sample 2730m: 0% Siltstone, 100% fine to medium Sandstone, 80% bright FLUOR in SST. TG 277U</v>
      </c>
      <c r="B138" s="28" t="str">
        <f>IF('Input Sheet'!C140="","",CONCATENATE("Sample ", 'Input Sheet'!B140, "m: ", N138, H138, "% ", "Siltstone, ", P138, 'Input Sheet'!C140, "% ", J138, " Sandstone "))</f>
        <v xml:space="preserve">Sample 2730m: fine to medium% Siltstone, 100% bright Sandstone </v>
      </c>
      <c r="C138" s="28" t="str">
        <f>IF('Input Sheet'!C140="","",CONCATENATE("Sample ", 'Input Sheet'!B140, "m: ", M138,, K138, J138, " FLUOR in SST. ", "TG ", 'Input Sheet'!I140, "U"))</f>
        <v>Sample 2730m: 80% bright FLUOR in SST. TG 277U</v>
      </c>
      <c r="G138" s="31">
        <f>IF('Input Sheet'!C140="","",100-'Input Sheet'!C140)</f>
        <v>0</v>
      </c>
      <c r="H1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8" s="31" t="str">
        <f t="shared" si="2"/>
        <v>fine to medium</v>
      </c>
      <c r="J1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8" s="31" t="str">
        <f>IF('Input Sheet'!F139=0, "NO",CONCATENATE('Input Sheet'!F139, IF('Input Sheet'!F139&gt;0,"% ","")))</f>
        <v xml:space="preserve">80% </v>
      </c>
      <c r="L1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8" s="31" t="str">
        <f>CONCATENATE(L138, IF('Input Sheet'!J140="",""," siderite in "))</f>
        <v/>
      </c>
      <c r="N1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8" s="31" t="str">
        <f>CONCATENATE(N138, IF('Input Sheet'!K140="",""," siderite in "))</f>
        <v/>
      </c>
    </row>
    <row r="139" spans="1:15" x14ac:dyDescent="0.35">
      <c r="A139" s="42" t="str">
        <f>IF('Input Sheet'!C141="","",CONCATENATE("Sample ", 'Input Sheet'!B141, "m: ", M139, G139, "% ", "Siltstone, ", O139, 'Input Sheet'!C141, "% ", I139, " Sandstone, ", K139, J139, " FLUOR in SST. ", "TG ", 'Input Sheet'!I141, "U"))</f>
        <v>Sample 2740m: 0% Siltstone, 100% fine to medium Sandstone, 100% bright FLUOR in SST. TG 246U</v>
      </c>
      <c r="B139" s="28" t="str">
        <f>IF('Input Sheet'!C141="","",CONCATENATE("Sample ", 'Input Sheet'!B141, "m: ", N139, H139, "% ", "Siltstone, ", P139, 'Input Sheet'!C141, "% ", J139, " Sandstone "))</f>
        <v xml:space="preserve">Sample 2740m: fine to medium% Siltstone, 100% bright Sandstone </v>
      </c>
      <c r="C139" s="28" t="str">
        <f>IF('Input Sheet'!C141="","",CONCATENATE("Sample ", 'Input Sheet'!B141, "m: ", M139,, K139, J139, " FLUOR in SST. ", "TG ", 'Input Sheet'!I141, "U"))</f>
        <v>Sample 2740m: 100% bright FLUOR in SST. TG 246U</v>
      </c>
      <c r="G139" s="31">
        <f>IF('Input Sheet'!C141="","",100-'Input Sheet'!C141)</f>
        <v>0</v>
      </c>
      <c r="H1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39" s="31" t="str">
        <f t="shared" si="2"/>
        <v>fine to medium</v>
      </c>
      <c r="J1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9" s="31" t="str">
        <f>IF('Input Sheet'!F140=0, "NO",CONCATENATE('Input Sheet'!F140, IF('Input Sheet'!F140&gt;0,"% ","")))</f>
        <v xml:space="preserve">100% </v>
      </c>
      <c r="L1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9" s="31" t="str">
        <f>CONCATENATE(L139, IF('Input Sheet'!J141="",""," siderite in "))</f>
        <v/>
      </c>
      <c r="N1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9" s="31" t="str">
        <f>CONCATENATE(N139, IF('Input Sheet'!K141="",""," siderite in "))</f>
        <v/>
      </c>
    </row>
    <row r="140" spans="1:15" x14ac:dyDescent="0.35">
      <c r="A140" s="42" t="str">
        <f>IF('Input Sheet'!C142="","",CONCATENATE("Sample ", 'Input Sheet'!B142, "m: ", M140, G140, "% ", "Siltstone, ", O140, 'Input Sheet'!C142, "% ", I140, " Sandstone, ", K140, J140, " FLUOR in SST. ", "TG ", 'Input Sheet'!I142, "U"))</f>
        <v>Sample 2750m: 0% Siltstone, 100% fine to medium Sandstone, 100% bright FLUOR in SST. TG 249U</v>
      </c>
      <c r="B140" s="28" t="str">
        <f>IF('Input Sheet'!C142="","",CONCATENATE("Sample ", 'Input Sheet'!B142, "m: ", N140, H140, "% ", "Siltstone, ", P140, 'Input Sheet'!C142, "% ", J140, " Sandstone "))</f>
        <v xml:space="preserve">Sample 2750m: fine to medium% Siltstone, 100% bright Sandstone </v>
      </c>
      <c r="C140" s="28" t="str">
        <f>IF('Input Sheet'!C142="","",CONCATENATE("Sample ", 'Input Sheet'!B142, "m: ", M140,, K140, J140, " FLUOR in SST. ", "TG ", 'Input Sheet'!I142, "U"))</f>
        <v>Sample 2750m: 100% bright FLUOR in SST. TG 249U</v>
      </c>
      <c r="G140" s="31">
        <f>IF('Input Sheet'!C142="","",100-'Input Sheet'!C142)</f>
        <v>0</v>
      </c>
      <c r="H1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0" s="31" t="str">
        <f t="shared" si="2"/>
        <v>fine to medium</v>
      </c>
      <c r="J1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0" s="31" t="str">
        <f>IF('Input Sheet'!F141=0, "NO",CONCATENATE('Input Sheet'!F141, IF('Input Sheet'!F141&gt;0,"% ","")))</f>
        <v xml:space="preserve">100% </v>
      </c>
      <c r="L1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0" s="31" t="str">
        <f>CONCATENATE(L140, IF('Input Sheet'!J142="",""," siderite in "))</f>
        <v/>
      </c>
      <c r="N1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0" s="31" t="str">
        <f>CONCATENATE(N140, IF('Input Sheet'!K142="",""," siderite in "))</f>
        <v/>
      </c>
    </row>
    <row r="141" spans="1:15" x14ac:dyDescent="0.35">
      <c r="A141" s="42" t="str">
        <f>IF('Input Sheet'!C143="","",CONCATENATE("Sample ", 'Input Sheet'!B143, "m: ", M141, G141, "% ", "Siltstone, ", O141, 'Input Sheet'!C143, "% ", I141, " Sandstone, ", K141, J141, " FLUOR in SST. ", "TG ", 'Input Sheet'!I143, "U"))</f>
        <v>Sample 2760m: 10% Siltstone, 90% fine to medium Sandstone, 100% bright FLUOR in SST. TG 190U</v>
      </c>
      <c r="B141" s="28" t="str">
        <f>IF('Input Sheet'!C143="","",CONCATENATE("Sample ", 'Input Sheet'!B143, "m: ", N141, H141, "% ", "Siltstone, ", P141, 'Input Sheet'!C143, "% ", J141, " Sandstone "))</f>
        <v xml:space="preserve">Sample 2760m: fine to medium% Siltstone, 90% bright Sandstone </v>
      </c>
      <c r="C141" s="28" t="str">
        <f>IF('Input Sheet'!C143="","",CONCATENATE("Sample ", 'Input Sheet'!B143, "m: ", M141,, K141, J141, " FLUOR in SST. ", "TG ", 'Input Sheet'!I143, "U"))</f>
        <v>Sample 2760m: 100% bright FLUOR in SST. TG 190U</v>
      </c>
      <c r="G141" s="31">
        <f>IF('Input Sheet'!C143="","",100-'Input Sheet'!C143)</f>
        <v>10</v>
      </c>
      <c r="H1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1" s="31" t="str">
        <f t="shared" si="2"/>
        <v>fine to medium</v>
      </c>
      <c r="J1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1" s="31" t="str">
        <f>IF('Input Sheet'!F142=0, "NO",CONCATENATE('Input Sheet'!F142, IF('Input Sheet'!F142&gt;0,"% ","")))</f>
        <v xml:space="preserve">100% </v>
      </c>
      <c r="L1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1" s="31" t="str">
        <f>CONCATENATE(L141, IF('Input Sheet'!J143="",""," siderite in "))</f>
        <v/>
      </c>
      <c r="N1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1" s="31" t="str">
        <f>CONCATENATE(N141, IF('Input Sheet'!K143="",""," siderite in "))</f>
        <v/>
      </c>
    </row>
    <row r="142" spans="1:15" x14ac:dyDescent="0.35">
      <c r="A142" s="42" t="str">
        <f>IF('Input Sheet'!C144="","",CONCATENATE("Sample ", 'Input Sheet'!B144, "m: ", M142, G142, "% ", "Siltstone, ", O142, 'Input Sheet'!C144, "% ", I142, " Sandstone, ", K142, J142, " FLUOR in SST. ", "TG ", 'Input Sheet'!I144, "U"))</f>
        <v>Sample 2770m: 10% Siltstone, 90% fine to medium Sandstone, 80% moderately bright  to  bright FLUOR in SST. TG 191U</v>
      </c>
      <c r="B142" s="28" t="str">
        <f>IF('Input Sheet'!C144="","",CONCATENATE("Sample ", 'Input Sheet'!B144, "m: ", N142, H142, "% ", "Siltstone, ", P142, 'Input Sheet'!C144, "% ", J142, " Sandstone "))</f>
        <v xml:space="preserve">Sample 2770m: fine to medium% Siltstone, 90% moderately bright  to  bright Sandstone </v>
      </c>
      <c r="C142" s="28" t="str">
        <f>IF('Input Sheet'!C144="","",CONCATENATE("Sample ", 'Input Sheet'!B144, "m: ", M142,, K142, J142, " FLUOR in SST. ", "TG ", 'Input Sheet'!I144, "U"))</f>
        <v>Sample 2770m: 80% moderately bright  to  bright FLUOR in SST. TG 191U</v>
      </c>
      <c r="G142" s="31">
        <f>IF('Input Sheet'!C144="","",100-'Input Sheet'!C144)</f>
        <v>10</v>
      </c>
      <c r="H1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2" s="31" t="str">
        <f t="shared" si="2"/>
        <v>fine to medium</v>
      </c>
      <c r="J1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42" s="31" t="str">
        <f>IF('Input Sheet'!F143=0, "NO",CONCATENATE('Input Sheet'!F143, IF('Input Sheet'!F143&gt;0,"% ","")))</f>
        <v xml:space="preserve">80% </v>
      </c>
      <c r="L1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2" s="31" t="str">
        <f>CONCATENATE(L142, IF('Input Sheet'!J144="",""," siderite in "))</f>
        <v/>
      </c>
      <c r="N1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2" s="31" t="str">
        <f>CONCATENATE(N142, IF('Input Sheet'!K144="",""," siderite in "))</f>
        <v/>
      </c>
    </row>
    <row r="143" spans="1:15" x14ac:dyDescent="0.35">
      <c r="A143" s="42" t="str">
        <f>IF('Input Sheet'!C145="","",CONCATENATE("Sample ", 'Input Sheet'!B145, "m: ", M143, G143, "% ", "Siltstone, ", O143, 'Input Sheet'!C145, "% ", I143, " Sandstone, ", K143, J143, " FLUOR in SST. ", "TG ", 'Input Sheet'!I145, "U"))</f>
        <v>Sample 2780m: 10% Siltstone, 90% fine to medium Sandstone, 70% moderately bright  to  bright FLUOR in SST. TG 107U</v>
      </c>
      <c r="B143" s="28" t="str">
        <f>IF('Input Sheet'!C145="","",CONCATENATE("Sample ", 'Input Sheet'!B145, "m: ", N143, H143, "% ", "Siltstone, ", P143, 'Input Sheet'!C145, "% ", J143, " Sandstone "))</f>
        <v xml:space="preserve">Sample 2780m: fine to medium% Siltstone, 90% moderately bright  to  bright Sandstone </v>
      </c>
      <c r="C143" s="28" t="str">
        <f>IF('Input Sheet'!C145="","",CONCATENATE("Sample ", 'Input Sheet'!B145, "m: ", M143,, K143, J143, " FLUOR in SST. ", "TG ", 'Input Sheet'!I145, "U"))</f>
        <v>Sample 2780m: 70% moderately bright  to  bright FLUOR in SST. TG 107U</v>
      </c>
      <c r="G143" s="31">
        <f>IF('Input Sheet'!C145="","",100-'Input Sheet'!C145)</f>
        <v>10</v>
      </c>
      <c r="H1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medium</v>
      </c>
      <c r="I143" s="31" t="str">
        <f t="shared" si="2"/>
        <v>fine to medium</v>
      </c>
      <c r="J1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43" s="31" t="str">
        <f>IF('Input Sheet'!F144=0, "NO",CONCATENATE('Input Sheet'!F144, IF('Input Sheet'!F144&gt;0,"% ","")))</f>
        <v xml:space="preserve">70% </v>
      </c>
      <c r="L1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3" s="31" t="str">
        <f>CONCATENATE(L143, IF('Input Sheet'!J145="",""," siderite in "))</f>
        <v/>
      </c>
      <c r="N1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3" s="31" t="str">
        <f>CONCATENATE(N143, IF('Input Sheet'!K145="",""," siderite in "))</f>
        <v/>
      </c>
    </row>
    <row r="144" spans="1:15" x14ac:dyDescent="0.35">
      <c r="A144" s="42" t="str">
        <f>IF('Input Sheet'!C146="","",CONCATENATE("Sample ", 'Input Sheet'!B146, "m: ", M144, G144, "% ", "Siltstone, ", O144, 'Input Sheet'!C146, "% ", I144, " Sandstone, ", K144, J144, " FLUOR in SST. ", "TG ", 'Input Sheet'!I146, "U"))</f>
        <v>Sample 2790m: 30% Siltstone, 70% fine Sandstone, 70% dull FLUOR in SST. TG 96U</v>
      </c>
      <c r="B144" s="28" t="str">
        <f>IF('Input Sheet'!C146="","",CONCATENATE("Sample ", 'Input Sheet'!B146, "m: ", N144, H144, "% ", "Siltstone, ", P144, 'Input Sheet'!C146, "% ", J144, " Sandstone "))</f>
        <v xml:space="preserve">Sample 2790m: fine% Siltstone, 70% dull Sandstone </v>
      </c>
      <c r="C144" s="28" t="str">
        <f>IF('Input Sheet'!C146="","",CONCATENATE("Sample ", 'Input Sheet'!B146, "m: ", M144,, K144, J144, " FLUOR in SST. ", "TG ", 'Input Sheet'!I146, "U"))</f>
        <v>Sample 2790m: 70% dull FLUOR in SST. TG 96U</v>
      </c>
      <c r="G144" s="31">
        <f>IF('Input Sheet'!C146="","",100-'Input Sheet'!C146)</f>
        <v>30</v>
      </c>
      <c r="H1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</v>
      </c>
      <c r="I144" s="31" t="str">
        <f t="shared" si="2"/>
        <v>fine</v>
      </c>
      <c r="J1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4" s="31" t="str">
        <f>IF('Input Sheet'!F145=0, "NO",CONCATENATE('Input Sheet'!F145, IF('Input Sheet'!F145&gt;0,"% ","")))</f>
        <v xml:space="preserve">70% </v>
      </c>
      <c r="L1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4" s="31" t="str">
        <f>CONCATENATE(L144, IF('Input Sheet'!J146="",""," siderite in "))</f>
        <v/>
      </c>
      <c r="N1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4" s="31" t="str">
        <f>CONCATENATE(N144, IF('Input Sheet'!K146="",""," siderite in "))</f>
        <v/>
      </c>
    </row>
    <row r="145" spans="1:15" x14ac:dyDescent="0.35">
      <c r="A145" s="42" t="str">
        <f>IF('Input Sheet'!C147="","",CONCATENATE("Sample ", 'Input Sheet'!B147, "m: ", M145, G145, "% ", "Siltstone, ", O145, 'Input Sheet'!C147, "% ", I145, " Sandstone, ", K145, J145, " FLUOR in SST. ", "TG ", 'Input Sheet'!I147, "U"))</f>
        <v>Sample 2800m: 60% Siltstone, 40% very fine  to  fine Sandstone, 10% dull FLUOR in SST. TG 114U</v>
      </c>
      <c r="B145" s="28" t="str">
        <f>IF('Input Sheet'!C147="","",CONCATENATE("Sample ", 'Input Sheet'!B147, "m: ", N145, H145, "% ", "Siltstone, ", P145, 'Input Sheet'!C147, "% ", J145, " Sandstone "))</f>
        <v xml:space="preserve">Sample 2800m: veryfine  to  fine% Siltstone, 40% dull Sandstone </v>
      </c>
      <c r="C145" s="28" t="str">
        <f>IF('Input Sheet'!C147="","",CONCATENATE("Sample ", 'Input Sheet'!B147, "m: ", M145,, K145, J145, " FLUOR in SST. ", "TG ", 'Input Sheet'!I147, "U"))</f>
        <v>Sample 2800m: 10% dull FLUOR in SST. TG 114U</v>
      </c>
      <c r="G145" s="31">
        <f>IF('Input Sheet'!C147="","",100-'Input Sheet'!C147)</f>
        <v>60</v>
      </c>
      <c r="H1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45" s="31" t="str">
        <f t="shared" si="2"/>
        <v>very fine  to  fine</v>
      </c>
      <c r="J1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5" s="31" t="str">
        <f>IF('Input Sheet'!F146=0, "NO",CONCATENATE('Input Sheet'!F146, IF('Input Sheet'!F146&gt;0,"% ","")))</f>
        <v xml:space="preserve">10% </v>
      </c>
      <c r="L1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5" s="31" t="str">
        <f>CONCATENATE(L145, IF('Input Sheet'!J147="",""," siderite in "))</f>
        <v/>
      </c>
      <c r="N1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5" s="31" t="str">
        <f>CONCATENATE(N145, IF('Input Sheet'!K147="",""," siderite in "))</f>
        <v/>
      </c>
    </row>
    <row r="146" spans="1:15" x14ac:dyDescent="0.35">
      <c r="A146" s="42" t="str">
        <f>IF('Input Sheet'!C148="","",CONCATENATE("Sample ", 'Input Sheet'!B148, "m: ", M146, G146, "% ", "Siltstone, ", O146, 'Input Sheet'!C148, "% ", I146, " Sandstone, ", K146, J146, " FLUOR in SST. ", "TG ", 'Input Sheet'!I148, "U"))</f>
        <v>Sample 2810m: 70% Siltstone, 30% very fine to fine Sandstone, 10% dull FLUOR in SST. TG 96U</v>
      </c>
      <c r="B146" s="28" t="str">
        <f>IF('Input Sheet'!C148="","",CONCATENATE("Sample ", 'Input Sheet'!B148, "m: ", N146, H146, "% ", "Siltstone, ", P146, 'Input Sheet'!C148, "% ", J146, " Sandstone "))</f>
        <v xml:space="preserve">Sample 2810m: veryfine to fine% Siltstone, 30% dull Sandstone </v>
      </c>
      <c r="C146" s="28" t="str">
        <f>IF('Input Sheet'!C148="","",CONCATENATE("Sample ", 'Input Sheet'!B148, "m: ", M146,, K146, J146, " FLUOR in SST. ", "TG ", 'Input Sheet'!I148, "U"))</f>
        <v>Sample 2810m: 10% dull FLUOR in SST. TG 96U</v>
      </c>
      <c r="G146" s="31">
        <f>IF('Input Sheet'!C148="","",100-'Input Sheet'!C148)</f>
        <v>70</v>
      </c>
      <c r="H1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46" s="31" t="str">
        <f t="shared" si="2"/>
        <v>very fine to fine</v>
      </c>
      <c r="J1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6" s="31" t="str">
        <f>IF('Input Sheet'!F147=0, "NO",CONCATENATE('Input Sheet'!F147, IF('Input Sheet'!F147&gt;0,"% ","")))</f>
        <v xml:space="preserve">10% </v>
      </c>
      <c r="L1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6" s="31" t="str">
        <f>CONCATENATE(L146, IF('Input Sheet'!J148="",""," siderite in "))</f>
        <v/>
      </c>
      <c r="N1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6" s="31" t="str">
        <f>CONCATENATE(N146, IF('Input Sheet'!K148="",""," siderite in "))</f>
        <v/>
      </c>
    </row>
    <row r="147" spans="1:15" x14ac:dyDescent="0.35">
      <c r="A147" s="42" t="str">
        <f>IF('Input Sheet'!C149="","",CONCATENATE("Sample ", 'Input Sheet'!B149, "m: ", M147, G147, "% ", "Siltstone, ", O147, 'Input Sheet'!C149, "% ", I147, " Sandstone, ", K147, J147, " FLUOR in SST. ", "TG ", 'Input Sheet'!I149, "U"))</f>
        <v>Sample 2820m: 70% Siltstone, 30% very fine to fine Sandstone, 10% dull FLUOR in SST. TG 80U</v>
      </c>
      <c r="B147" s="28" t="str">
        <f>IF('Input Sheet'!C149="","",CONCATENATE("Sample ", 'Input Sheet'!B149, "m: ", N147, H147, "% ", "Siltstone, ", P147, 'Input Sheet'!C149, "% ", J147, " Sandstone "))</f>
        <v xml:space="preserve">Sample 2820m: veryfine to fine% Siltstone, 30% dull Sandstone </v>
      </c>
      <c r="C147" s="28" t="str">
        <f>IF('Input Sheet'!C149="","",CONCATENATE("Sample ", 'Input Sheet'!B149, "m: ", M147,, K147, J147, " FLUOR in SST. ", "TG ", 'Input Sheet'!I149, "U"))</f>
        <v>Sample 2820m: 10% dull FLUOR in SST. TG 80U</v>
      </c>
      <c r="G147" s="31">
        <f>IF('Input Sheet'!C149="","",100-'Input Sheet'!C149)</f>
        <v>70</v>
      </c>
      <c r="H1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47" s="31" t="str">
        <f t="shared" si="2"/>
        <v>very fine to fine</v>
      </c>
      <c r="J1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7" s="31" t="str">
        <f>IF('Input Sheet'!F148=0, "NO",CONCATENATE('Input Sheet'!F148, IF('Input Sheet'!F148&gt;0,"% ","")))</f>
        <v xml:space="preserve">10% </v>
      </c>
      <c r="L1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7" s="31" t="str">
        <f>CONCATENATE(L147, IF('Input Sheet'!J149="",""," siderite in "))</f>
        <v/>
      </c>
      <c r="N1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7" s="31" t="str">
        <f>CONCATENATE(N147, IF('Input Sheet'!K149="",""," siderite in "))</f>
        <v/>
      </c>
    </row>
    <row r="148" spans="1:15" x14ac:dyDescent="0.35">
      <c r="A148" s="42" t="str">
        <f>IF('Input Sheet'!C150="","",CONCATENATE("Sample ", 'Input Sheet'!B150, "m: ", M148, G148, "% ", "Siltstone, ", O148, 'Input Sheet'!C150, "% ", I148, " Sandstone, ", K148, J148, " FLUOR in SST. ", "TG ", 'Input Sheet'!I150, "U"))</f>
        <v>Sample 2830m: 70% Siltstone, 30% very fine Sandstone, 5% dull FLUOR in SST. TG 90U</v>
      </c>
      <c r="B148" s="28" t="str">
        <f>IF('Input Sheet'!C150="","",CONCATENATE("Sample ", 'Input Sheet'!B150, "m: ", N148, H148, "% ", "Siltstone, ", P148, 'Input Sheet'!C150, "% ", J148, " Sandstone "))</f>
        <v xml:space="preserve">Sample 2830m: veryfine% Siltstone, 30% dull Sandstone </v>
      </c>
      <c r="C148" s="28" t="str">
        <f>IF('Input Sheet'!C150="","",CONCATENATE("Sample ", 'Input Sheet'!B150, "m: ", M148,, K148, J148, " FLUOR in SST. ", "TG ", 'Input Sheet'!I150, "U"))</f>
        <v>Sample 2830m: 5% dull FLUOR in SST. TG 90U</v>
      </c>
      <c r="G148" s="31">
        <f>IF('Input Sheet'!C150="","",100-'Input Sheet'!C150)</f>
        <v>70</v>
      </c>
      <c r="H1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48" s="31" t="str">
        <f t="shared" si="2"/>
        <v>very fine</v>
      </c>
      <c r="J1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8" s="31" t="str">
        <f>IF('Input Sheet'!F149=0, "NO",CONCATENATE('Input Sheet'!F149, IF('Input Sheet'!F149&gt;0,"% ","")))</f>
        <v xml:space="preserve">5% </v>
      </c>
      <c r="L1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8" s="31" t="str">
        <f>CONCATENATE(L148, IF('Input Sheet'!J150="",""," siderite in "))</f>
        <v/>
      </c>
      <c r="N1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8" s="31" t="str">
        <f>CONCATENATE(N148, IF('Input Sheet'!K150="",""," siderite in "))</f>
        <v/>
      </c>
    </row>
    <row r="149" spans="1:15" x14ac:dyDescent="0.35">
      <c r="A149" s="42" t="str">
        <f>IF('Input Sheet'!C151="","",CONCATENATE("Sample ", 'Input Sheet'!B151, "m: ", M149, G149, "% ", "Siltstone, ", O149, 'Input Sheet'!C151, "% ", I149, " Sandstone, ", K149, J149, " FLUOR in SST. ", "TG ", 'Input Sheet'!I151, "U"))</f>
        <v>Sample 2840m: 40% Siltstone, 60% very fine  to  fine Sandstone, tr% dull FLUOR in SST. TG 85U</v>
      </c>
      <c r="B149" s="28" t="str">
        <f>IF('Input Sheet'!C151="","",CONCATENATE("Sample ", 'Input Sheet'!B151, "m: ", N149, H149, "% ", "Siltstone, ", P149, 'Input Sheet'!C151, "% ", J149, " Sandstone "))</f>
        <v xml:space="preserve">Sample 2840m: veryfine  to  fine% Siltstone, 60% dull Sandstone </v>
      </c>
      <c r="C149" s="28" t="str">
        <f>IF('Input Sheet'!C151="","",CONCATENATE("Sample ", 'Input Sheet'!B151, "m: ", M149,, K149, J149, " FLUOR in SST. ", "TG ", 'Input Sheet'!I151, "U"))</f>
        <v>Sample 2840m: tr% dull FLUOR in SST. TG 85U</v>
      </c>
      <c r="G149" s="31">
        <f>IF('Input Sheet'!C151="","",100-'Input Sheet'!C151)</f>
        <v>40</v>
      </c>
      <c r="H1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49" s="31" t="str">
        <f t="shared" si="2"/>
        <v>very fine  to  fine</v>
      </c>
      <c r="J1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49" s="31" t="str">
        <f>IF('Input Sheet'!F150=0, "NO",CONCATENATE('Input Sheet'!F150, IF('Input Sheet'!F150&gt;0,"% ","")))</f>
        <v xml:space="preserve">tr% </v>
      </c>
      <c r="L1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9" s="31" t="str">
        <f>CONCATENATE(L149, IF('Input Sheet'!J151="",""," siderite in "))</f>
        <v/>
      </c>
      <c r="N1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9" s="31" t="str">
        <f>CONCATENATE(N149, IF('Input Sheet'!K151="",""," siderite in "))</f>
        <v/>
      </c>
    </row>
    <row r="150" spans="1:15" x14ac:dyDescent="0.35">
      <c r="A150" s="42" t="str">
        <f>IF('Input Sheet'!C152="","",CONCATENATE("Sample ", 'Input Sheet'!B152, "m: ", M150, G150, "% ", "Siltstone, ", O150, 'Input Sheet'!C152, "% ", I150, " Sandstone, ", K150, J150, " FLUOR in SST. ", "TG ", 'Input Sheet'!I152, "U"))</f>
        <v/>
      </c>
      <c r="B150" s="28" t="str">
        <f>IF('Input Sheet'!C152="","",CONCATENATE("Sample ", 'Input Sheet'!B152, "m: ", N150, H150, "% ", "Siltstone, ", P150, 'Input Sheet'!C152, "% ", J150, " Sandstone "))</f>
        <v/>
      </c>
      <c r="C150" s="28" t="str">
        <f>IF('Input Sheet'!C152="","",CONCATENATE("Sample ", 'Input Sheet'!B152, "m: ", M150,, K150, J150, " FLUOR in SST. ", "TG ", 'Input Sheet'!I152, "U"))</f>
        <v/>
      </c>
      <c r="G150" s="31" t="str">
        <f>IF('Input Sheet'!C152="","",100-'Input Sheet'!C152)</f>
        <v/>
      </c>
      <c r="H1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0" s="31" t="str">
        <f t="shared" si="2"/>
        <v/>
      </c>
      <c r="J1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0" s="31" t="str">
        <f>IF('Input Sheet'!F151=0, "NO",CONCATENATE('Input Sheet'!F151, IF('Input Sheet'!F151&gt;0,"% ","")))</f>
        <v xml:space="preserve">tr% </v>
      </c>
      <c r="L1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0" s="31" t="str">
        <f>CONCATENATE(L150, IF('Input Sheet'!J152="",""," siderite in "))</f>
        <v/>
      </c>
      <c r="N1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0" s="31" t="str">
        <f>CONCATENATE(N150, IF('Input Sheet'!K152="",""," siderite in "))</f>
        <v/>
      </c>
    </row>
    <row r="151" spans="1:15" x14ac:dyDescent="0.35">
      <c r="A151" s="42" t="str">
        <f>IF('Input Sheet'!C153="","",CONCATENATE("Sample ", 'Input Sheet'!B153, "m: ", M151, G151, "% ", "Siltstone, ", O151, 'Input Sheet'!C153, "% ", I151, " Sandstone, ", K151, J151, " FLUOR in SST. ", "TG ", 'Input Sheet'!I153, "U"))</f>
        <v/>
      </c>
      <c r="B151" s="28" t="str">
        <f>IF('Input Sheet'!C153="","",CONCATENATE("Sample ", 'Input Sheet'!B153, "m: ", N151, H151, "% ", "Siltstone, ", P151, 'Input Sheet'!C153, "% ", J151, " Sandstone "))</f>
        <v/>
      </c>
      <c r="C151" s="28" t="str">
        <f>IF('Input Sheet'!C153="","",CONCATENATE("Sample ", 'Input Sheet'!B153, "m: ", M151,, K151, J151, " FLUOR in SST. ", "TG ", 'Input Sheet'!I153, "U"))</f>
        <v/>
      </c>
      <c r="G151" s="31" t="str">
        <f>IF('Input Sheet'!C153="","",100-'Input Sheet'!C153)</f>
        <v/>
      </c>
      <c r="H1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1" s="31" t="str">
        <f t="shared" si="2"/>
        <v/>
      </c>
      <c r="J1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1" s="31" t="str">
        <f>IF('Input Sheet'!F152=0, "NO",CONCATENATE('Input Sheet'!F152, IF('Input Sheet'!F152&gt;0,"% ","")))</f>
        <v>NO</v>
      </c>
      <c r="L1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1" s="31" t="str">
        <f>CONCATENATE(L151, IF('Input Sheet'!J153="",""," siderite in "))</f>
        <v/>
      </c>
      <c r="N1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1" s="31" t="str">
        <f>CONCATENATE(N151, IF('Input Sheet'!K153="",""," siderite in "))</f>
        <v/>
      </c>
    </row>
    <row r="152" spans="1:15" x14ac:dyDescent="0.35">
      <c r="A152" s="42" t="str">
        <f>IF('Input Sheet'!C154="","",CONCATENATE("Sample ", 'Input Sheet'!B154, "m: ", M152, G152, "% ", "Siltstone, ", O152, 'Input Sheet'!C154, "% ", I152, " Sandstone, ", K152, J152, " FLUOR in SST. ", "TG ", 'Input Sheet'!I154, "U"))</f>
        <v/>
      </c>
      <c r="B152" s="28" t="str">
        <f>IF('Input Sheet'!C154="","",CONCATENATE("Sample ", 'Input Sheet'!B154, "m: ", N152, H152, "% ", "Siltstone, ", P152, 'Input Sheet'!C154, "% ", J152, " Sandstone "))</f>
        <v/>
      </c>
      <c r="C152" s="28" t="str">
        <f>IF('Input Sheet'!C154="","",CONCATENATE("Sample ", 'Input Sheet'!B154, "m: ", M152,, K152, J152, " FLUOR in SST. ", "TG ", 'Input Sheet'!I154, "U"))</f>
        <v/>
      </c>
      <c r="G152" s="31" t="str">
        <f>IF('Input Sheet'!C154="","",100-'Input Sheet'!C154)</f>
        <v/>
      </c>
      <c r="H1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2" s="31" t="str">
        <f t="shared" si="2"/>
        <v/>
      </c>
      <c r="J1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2" s="31" t="str">
        <f>IF('Input Sheet'!F153=0, "NO",CONCATENATE('Input Sheet'!F153, IF('Input Sheet'!F153&gt;0,"% ","")))</f>
        <v>NO</v>
      </c>
      <c r="L1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2" s="31" t="str">
        <f>CONCATENATE(L152, IF('Input Sheet'!J154="",""," siderite in "))</f>
        <v/>
      </c>
      <c r="N1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2" s="31" t="str">
        <f>CONCATENATE(N152, IF('Input Sheet'!K154="",""," siderite in "))</f>
        <v/>
      </c>
    </row>
    <row r="153" spans="1:15" x14ac:dyDescent="0.35">
      <c r="A153" s="42" t="str">
        <f>IF('Input Sheet'!C155="","",CONCATENATE("Sample ", 'Input Sheet'!B155, "m: ", M153, G153, "% ", "Siltstone, ", O153, 'Input Sheet'!C155, "% ", I153, " Sandstone, ", K153, J153, " FLUOR in SST. ", "TG ", 'Input Sheet'!I155, "U"))</f>
        <v/>
      </c>
      <c r="B153" s="28" t="str">
        <f>IF('Input Sheet'!C155="","",CONCATENATE("Sample ", 'Input Sheet'!B155, "m: ", N153, H153, "% ", "Siltstone, ", P153, 'Input Sheet'!C155, "% ", J153, " Sandstone "))</f>
        <v/>
      </c>
      <c r="C153" s="28" t="str">
        <f>IF('Input Sheet'!C155="","",CONCATENATE("Sample ", 'Input Sheet'!B155, "m: ", M153,, K153, J153, " FLUOR in SST. ", "TG ", 'Input Sheet'!I155, "U"))</f>
        <v/>
      </c>
      <c r="G153" s="31" t="str">
        <f>IF('Input Sheet'!C155="","",100-'Input Sheet'!C155)</f>
        <v/>
      </c>
      <c r="H1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3" s="31" t="str">
        <f t="shared" si="2"/>
        <v/>
      </c>
      <c r="J1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3" s="31" t="str">
        <f>IF('Input Sheet'!F154=0, "NO",CONCATENATE('Input Sheet'!F154, IF('Input Sheet'!F154&gt;0,"% ","")))</f>
        <v>NO</v>
      </c>
      <c r="L1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3" s="31" t="str">
        <f>CONCATENATE(L153, IF('Input Sheet'!J155="",""," siderite in "))</f>
        <v/>
      </c>
      <c r="N1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3" s="31" t="str">
        <f>CONCATENATE(N153, IF('Input Sheet'!K155="",""," siderite in "))</f>
        <v/>
      </c>
    </row>
    <row r="154" spans="1:15" x14ac:dyDescent="0.35">
      <c r="A154" s="42" t="str">
        <f>IF('Input Sheet'!C156="","",CONCATENATE("Sample ", 'Input Sheet'!B156, "m: ", M154, G154, "% ", "Siltstone, ", O154, 'Input Sheet'!C156, "% ", I154, " Sandstone, ", K154, J154, " FLUOR in SST. ", "TG ", 'Input Sheet'!I156, "U"))</f>
        <v/>
      </c>
      <c r="B154" s="28" t="str">
        <f>IF('Input Sheet'!C156="","",CONCATENATE("Sample ", 'Input Sheet'!B156, "m: ", N154, H154, "% ", "Siltstone, ", P154, 'Input Sheet'!C156, "% ", J154, " Sandstone "))</f>
        <v/>
      </c>
      <c r="C154" s="28" t="str">
        <f>IF('Input Sheet'!C156="","",CONCATENATE("Sample ", 'Input Sheet'!B156, "m: ", M154,, K154, J154, " FLUOR in SST. ", "TG ", 'Input Sheet'!I156, "U"))</f>
        <v/>
      </c>
      <c r="G154" s="31" t="str">
        <f>IF('Input Sheet'!C156="","",100-'Input Sheet'!C156)</f>
        <v/>
      </c>
      <c r="H1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4" s="31" t="str">
        <f t="shared" si="2"/>
        <v/>
      </c>
      <c r="J1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4" s="31" t="str">
        <f>IF('Input Sheet'!F155=0, "NO",CONCATENATE('Input Sheet'!F155, IF('Input Sheet'!F155&gt;0,"% ","")))</f>
        <v>NO</v>
      </c>
      <c r="L1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4" s="31" t="str">
        <f>CONCATENATE(L154, IF('Input Sheet'!J156="",""," siderite in "))</f>
        <v/>
      </c>
      <c r="N1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4" s="31" t="str">
        <f>CONCATENATE(N154, IF('Input Sheet'!K156="",""," siderite in "))</f>
        <v/>
      </c>
    </row>
    <row r="155" spans="1:15" x14ac:dyDescent="0.35">
      <c r="A155" s="42" t="str">
        <f>IF('Input Sheet'!C157="","",CONCATENATE("Sample ", 'Input Sheet'!B157, "m: ", M155, G155, "% ", "Siltstone, ", O155, 'Input Sheet'!C157, "% ", I155, " Sandstone, ", K155, J155, " FLUOR in SST. ", "TG ", 'Input Sheet'!I157, "U"))</f>
        <v/>
      </c>
      <c r="B155" s="28" t="str">
        <f>IF('Input Sheet'!C157="","",CONCATENATE("Sample ", 'Input Sheet'!B157, "m: ", N155, H155, "% ", "Siltstone, ", P155, 'Input Sheet'!C157, "% ", J155, " Sandstone "))</f>
        <v/>
      </c>
      <c r="C155" s="28" t="str">
        <f>IF('Input Sheet'!C157="","",CONCATENATE("Sample ", 'Input Sheet'!B157, "m: ", M155,, K155, J155, " FLUOR in SST. ", "TG ", 'Input Sheet'!I157, "U"))</f>
        <v/>
      </c>
      <c r="G155" s="31" t="str">
        <f>IF('Input Sheet'!C157="","",100-'Input Sheet'!C157)</f>
        <v/>
      </c>
      <c r="H1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5" s="31" t="str">
        <f t="shared" si="2"/>
        <v/>
      </c>
      <c r="J1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5" s="31" t="str">
        <f>IF('Input Sheet'!F156=0, "NO",CONCATENATE('Input Sheet'!F156, IF('Input Sheet'!F156&gt;0,"% ","")))</f>
        <v>NO</v>
      </c>
      <c r="L1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5" s="31" t="str">
        <f>CONCATENATE(L155, IF('Input Sheet'!J157="",""," siderite in "))</f>
        <v/>
      </c>
      <c r="N1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5" s="31" t="str">
        <f>CONCATENATE(N155, IF('Input Sheet'!K157="",""," siderite in "))</f>
        <v/>
      </c>
    </row>
    <row r="156" spans="1:15" x14ac:dyDescent="0.35">
      <c r="A156" s="42" t="str">
        <f>IF('Input Sheet'!C158="","",CONCATENATE("Sample ", 'Input Sheet'!B158, "m: ", M156, G156, "% ", "Siltstone, ", O156, 'Input Sheet'!C158, "% ", I156, " Sandstone, ", K156, J156, " FLUOR in SST. ", "TG ", 'Input Sheet'!I158, "U"))</f>
        <v/>
      </c>
      <c r="B156" s="28" t="str">
        <f>IF('Input Sheet'!C158="","",CONCATENATE("Sample ", 'Input Sheet'!B158, "m: ", N156, H156, "% ", "Siltstone, ", P156, 'Input Sheet'!C158, "% ", J156, " Sandstone "))</f>
        <v/>
      </c>
      <c r="C156" s="28" t="str">
        <f>IF('Input Sheet'!C158="","",CONCATENATE("Sample ", 'Input Sheet'!B158, "m: ", M156,, K156, J156, " FLUOR in SST. ", "TG ", 'Input Sheet'!I158, "U"))</f>
        <v/>
      </c>
      <c r="G156" s="31" t="str">
        <f>IF('Input Sheet'!C158="","",100-'Input Sheet'!C158)</f>
        <v/>
      </c>
      <c r="H1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6" s="31" t="str">
        <f t="shared" si="2"/>
        <v/>
      </c>
      <c r="J1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6" s="31" t="str">
        <f>IF('Input Sheet'!F157=0, "NO",CONCATENATE('Input Sheet'!F157, IF('Input Sheet'!F157&gt;0,"% ","")))</f>
        <v>NO</v>
      </c>
      <c r="L1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6" s="31" t="str">
        <f>CONCATENATE(L156, IF('Input Sheet'!J158="",""," siderite in "))</f>
        <v/>
      </c>
      <c r="N1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6" s="31" t="str">
        <f>CONCATENATE(N156, IF('Input Sheet'!K158="",""," siderite in "))</f>
        <v/>
      </c>
    </row>
    <row r="157" spans="1:15" x14ac:dyDescent="0.35">
      <c r="A157" s="42" t="str">
        <f>IF('Input Sheet'!C159="","",CONCATENATE("Sample ", 'Input Sheet'!B159, "m: ", M157, G157, "% ", "Siltstone, ", O157, 'Input Sheet'!C159, "% ", I157, " Sandstone, ", K157, J157, " FLUOR in SST. ", "TG ", 'Input Sheet'!I159, "U"))</f>
        <v/>
      </c>
      <c r="B157" s="28" t="str">
        <f>IF('Input Sheet'!C159="","",CONCATENATE("Sample ", 'Input Sheet'!B159, "m: ", N157, H157, "% ", "Siltstone, ", P157, 'Input Sheet'!C159, "% ", J157, " Sandstone "))</f>
        <v/>
      </c>
      <c r="C157" s="28" t="str">
        <f>IF('Input Sheet'!C159="","",CONCATENATE("Sample ", 'Input Sheet'!B159, "m: ", M157,, K157, J157, " FLUOR in SST. ", "TG ", 'Input Sheet'!I159, "U"))</f>
        <v/>
      </c>
      <c r="G157" s="31" t="str">
        <f>IF('Input Sheet'!C159="","",100-'Input Sheet'!C159)</f>
        <v/>
      </c>
      <c r="H1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7" s="31" t="str">
        <f t="shared" si="2"/>
        <v/>
      </c>
      <c r="J1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7" s="31" t="str">
        <f>IF('Input Sheet'!F158=0, "NO",CONCATENATE('Input Sheet'!F158, IF('Input Sheet'!F158&gt;0,"% ","")))</f>
        <v>NO</v>
      </c>
      <c r="L1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7" s="31" t="str">
        <f>CONCATENATE(L157, IF('Input Sheet'!J159="",""," siderite in "))</f>
        <v/>
      </c>
      <c r="N1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7" s="31" t="str">
        <f>CONCATENATE(N157, IF('Input Sheet'!K159="",""," siderite in "))</f>
        <v/>
      </c>
    </row>
    <row r="158" spans="1:15" x14ac:dyDescent="0.35">
      <c r="A158" s="42" t="str">
        <f>IF('Input Sheet'!C160="","",CONCATENATE("Sample ", 'Input Sheet'!B160, "m: ", M158, G158, "% ", "Siltstone, ", O158, 'Input Sheet'!C160, "% ", I158, " Sandstone, ", K158, J158, " FLUOR in SST. ", "TG ", 'Input Sheet'!I160, "U"))</f>
        <v/>
      </c>
      <c r="B158" s="28" t="str">
        <f>IF('Input Sheet'!C160="","",CONCATENATE("Sample ", 'Input Sheet'!B160, "m: ", N158, H158, "% ", "Siltstone, ", P158, 'Input Sheet'!C160, "% ", J158, " Sandstone "))</f>
        <v/>
      </c>
      <c r="C158" s="28" t="str">
        <f>IF('Input Sheet'!C160="","",CONCATENATE("Sample ", 'Input Sheet'!B160, "m: ", M158,, K158, J158, " FLUOR in SST. ", "TG ", 'Input Sheet'!I160, "U"))</f>
        <v/>
      </c>
      <c r="G158" s="31" t="str">
        <f>IF('Input Sheet'!C160="","",100-'Input Sheet'!C160)</f>
        <v/>
      </c>
      <c r="H1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8" s="31" t="str">
        <f t="shared" si="2"/>
        <v/>
      </c>
      <c r="J1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8" s="31" t="str">
        <f>IF('Input Sheet'!F159=0, "NO",CONCATENATE('Input Sheet'!F159, IF('Input Sheet'!F159&gt;0,"% ","")))</f>
        <v>NO</v>
      </c>
      <c r="L1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8" s="31" t="str">
        <f>CONCATENATE(L158, IF('Input Sheet'!J160="",""," siderite in "))</f>
        <v/>
      </c>
      <c r="N1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8" s="31" t="str">
        <f>CONCATENATE(N158, IF('Input Sheet'!K160="",""," siderite in "))</f>
        <v/>
      </c>
    </row>
    <row r="159" spans="1:15" x14ac:dyDescent="0.35">
      <c r="A159" s="42" t="str">
        <f>IF('Input Sheet'!C161="","",CONCATENATE("Sample ", 'Input Sheet'!B161, "m: ", M159, G159, "% ", "Siltstone, ", O159, 'Input Sheet'!C161, "% ", I159, " Sandstone, ", K159, J159, " FLUOR in SST. ", "TG ", 'Input Sheet'!I161, "U"))</f>
        <v/>
      </c>
      <c r="B159" s="28" t="str">
        <f>IF('Input Sheet'!C161="","",CONCATENATE("Sample ", 'Input Sheet'!B161, "m: ", N159, H159, "% ", "Siltstone, ", P159, 'Input Sheet'!C161, "% ", J159, " Sandstone "))</f>
        <v/>
      </c>
      <c r="C159" s="28" t="str">
        <f>IF('Input Sheet'!C161="","",CONCATENATE("Sample ", 'Input Sheet'!B161, "m: ", M159,, K159, J159, " FLUOR in SST. ", "TG ", 'Input Sheet'!I161, "U"))</f>
        <v/>
      </c>
      <c r="G159" s="31" t="str">
        <f>IF('Input Sheet'!C161="","",100-'Input Sheet'!C161)</f>
        <v/>
      </c>
      <c r="H1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9" s="31" t="str">
        <f t="shared" si="2"/>
        <v/>
      </c>
      <c r="J1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9" s="31" t="str">
        <f>IF('Input Sheet'!F160=0, "NO",CONCATENATE('Input Sheet'!F160, IF('Input Sheet'!F160&gt;0,"% ","")))</f>
        <v>NO</v>
      </c>
      <c r="L1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9" s="31" t="str">
        <f>CONCATENATE(L159, IF('Input Sheet'!J161="",""," siderite in "))</f>
        <v/>
      </c>
      <c r="N1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9" s="31" t="str">
        <f>CONCATENATE(N159, IF('Input Sheet'!K161="",""," siderite in "))</f>
        <v/>
      </c>
    </row>
    <row r="160" spans="1:15" x14ac:dyDescent="0.35">
      <c r="A160" s="42" t="str">
        <f>IF('Input Sheet'!C162="","",CONCATENATE("Sample ", 'Input Sheet'!B162, "m: ", M160, G160, "% ", "Siltstone, ", O160, 'Input Sheet'!C162, "% ", I160, " Sandstone, ", K160, J160, " FLUOR in SST. ", "TG ", 'Input Sheet'!I162, "U"))</f>
        <v/>
      </c>
      <c r="B160" s="28" t="str">
        <f>IF('Input Sheet'!C162="","",CONCATENATE("Sample ", 'Input Sheet'!B162, "m: ", N160, H160, "% ", "Siltstone, ", P160, 'Input Sheet'!C162, "% ", J160, " Sandstone "))</f>
        <v/>
      </c>
      <c r="C160" s="28" t="str">
        <f>IF('Input Sheet'!C162="","",CONCATENATE("Sample ", 'Input Sheet'!B162, "m: ", M160,, K160, J160, " FLUOR in SST. ", "TG ", 'Input Sheet'!I162, "U"))</f>
        <v/>
      </c>
      <c r="G160" s="31" t="str">
        <f>IF('Input Sheet'!C162="","",100-'Input Sheet'!C162)</f>
        <v/>
      </c>
      <c r="H1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0" s="31" t="str">
        <f t="shared" si="2"/>
        <v/>
      </c>
      <c r="J1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0" s="31" t="str">
        <f>IF('Input Sheet'!F161=0, "NO",CONCATENATE('Input Sheet'!F161, IF('Input Sheet'!F161&gt;0,"% ","")))</f>
        <v>NO</v>
      </c>
      <c r="L1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0" s="31" t="str">
        <f>CONCATENATE(L160, IF('Input Sheet'!J162="",""," siderite in "))</f>
        <v/>
      </c>
      <c r="N1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0" s="31" t="str">
        <f>CONCATENATE(N160, IF('Input Sheet'!K162="",""," siderite in "))</f>
        <v/>
      </c>
    </row>
    <row r="161" spans="1:15" x14ac:dyDescent="0.35">
      <c r="A161" s="42" t="str">
        <f>IF('Input Sheet'!C163="","",CONCATENATE("Sample ", 'Input Sheet'!B163, "m: ", M161, G161, "% ", "Siltstone, ", O161, 'Input Sheet'!C163, "% ", I161, " Sandstone, ", K161, J161, " FLUOR in SST. ", "TG ", 'Input Sheet'!I163, "U"))</f>
        <v/>
      </c>
      <c r="B161" s="28" t="str">
        <f>IF('Input Sheet'!C163="","",CONCATENATE("Sample ", 'Input Sheet'!B163, "m: ", N161, H161, "% ", "Siltstone, ", P161, 'Input Sheet'!C163, "% ", J161, " Sandstone "))</f>
        <v/>
      </c>
      <c r="C161" s="28" t="str">
        <f>IF('Input Sheet'!C163="","",CONCATENATE("Sample ", 'Input Sheet'!B163, "m: ", M161,, K161, J161, " FLUOR in SST. ", "TG ", 'Input Sheet'!I163, "U"))</f>
        <v/>
      </c>
      <c r="G161" s="31" t="str">
        <f>IF('Input Sheet'!C163="","",100-'Input Sheet'!C163)</f>
        <v/>
      </c>
      <c r="H1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1" s="31" t="str">
        <f t="shared" si="2"/>
        <v/>
      </c>
      <c r="J1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1" s="31" t="str">
        <f>IF('Input Sheet'!F162=0, "NO",CONCATENATE('Input Sheet'!F162, IF('Input Sheet'!F162&gt;0,"% ","")))</f>
        <v>NO</v>
      </c>
      <c r="L1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1" s="31" t="str">
        <f>CONCATENATE(L161, IF('Input Sheet'!J163="",""," siderite in "))</f>
        <v/>
      </c>
      <c r="N1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1" s="31" t="str">
        <f>CONCATENATE(N161, IF('Input Sheet'!K163="",""," siderite in "))</f>
        <v/>
      </c>
    </row>
    <row r="162" spans="1:15" x14ac:dyDescent="0.35">
      <c r="A162" s="42" t="str">
        <f>IF('Input Sheet'!C164="","",CONCATENATE("Sample ", 'Input Sheet'!B164, "m: ", M162, G162, "% ", "Siltstone, ", O162, 'Input Sheet'!C164, "% ", I162, " Sandstone, ", K162, J162, " FLUOR in SST. ", "TG ", 'Input Sheet'!I164, "U"))</f>
        <v/>
      </c>
      <c r="B162" s="28" t="str">
        <f>IF('Input Sheet'!C164="","",CONCATENATE("Sample ", 'Input Sheet'!B164, "m: ", N162, H162, "% ", "Siltstone, ", P162, 'Input Sheet'!C164, "% ", J162, " Sandstone "))</f>
        <v/>
      </c>
      <c r="C162" s="28" t="str">
        <f>IF('Input Sheet'!C164="","",CONCATENATE("Sample ", 'Input Sheet'!B164, "m: ", M162,, K162, J162, " FLUOR in SST. ", "TG ", 'Input Sheet'!I164, "U"))</f>
        <v/>
      </c>
      <c r="G162" s="31" t="str">
        <f>IF('Input Sheet'!C164="","",100-'Input Sheet'!C164)</f>
        <v/>
      </c>
      <c r="H1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2" s="31" t="str">
        <f t="shared" si="2"/>
        <v/>
      </c>
      <c r="J1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2" s="31" t="str">
        <f>IF('Input Sheet'!F163=0, "NO",CONCATENATE('Input Sheet'!F163, IF('Input Sheet'!F163&gt;0,"% ","")))</f>
        <v>NO</v>
      </c>
      <c r="L1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2" s="31" t="str">
        <f>CONCATENATE(L162, IF('Input Sheet'!J164="",""," siderite in "))</f>
        <v/>
      </c>
      <c r="N1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2" s="31" t="str">
        <f>CONCATENATE(N162, IF('Input Sheet'!K164="",""," siderite in "))</f>
        <v/>
      </c>
    </row>
    <row r="163" spans="1:15" x14ac:dyDescent="0.35">
      <c r="A163" s="42" t="str">
        <f>IF('Input Sheet'!C165="","",CONCATENATE("Sample ", 'Input Sheet'!B165, "m: ", M163, G163, "% ", "Siltstone, ", O163, 'Input Sheet'!C165, "% ", I163, " Sandstone, ", K163, J163, " FLUOR in SST. ", "TG ", 'Input Sheet'!I165, "U"))</f>
        <v/>
      </c>
      <c r="B163" s="28" t="str">
        <f>IF('Input Sheet'!C165="","",CONCATENATE("Sample ", 'Input Sheet'!B165, "m: ", N163, H163, "% ", "Siltstone, ", P163, 'Input Sheet'!C165, "% ", J163, " Sandstone "))</f>
        <v/>
      </c>
      <c r="C163" s="28" t="str">
        <f>IF('Input Sheet'!C165="","",CONCATENATE("Sample ", 'Input Sheet'!B165, "m: ", M163,, K163, J163, " FLUOR in SST. ", "TG ", 'Input Sheet'!I165, "U"))</f>
        <v/>
      </c>
      <c r="G163" s="31" t="str">
        <f>IF('Input Sheet'!C165="","",100-'Input Sheet'!C165)</f>
        <v/>
      </c>
      <c r="H1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3" s="31" t="str">
        <f t="shared" si="2"/>
        <v/>
      </c>
      <c r="J1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3" s="31" t="str">
        <f>IF('Input Sheet'!F164=0, "NO",CONCATENATE('Input Sheet'!F164, IF('Input Sheet'!F164&gt;0,"% ","")))</f>
        <v>NO</v>
      </c>
      <c r="L1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3" s="31" t="str">
        <f>CONCATENATE(L163, IF('Input Sheet'!J165="",""," siderite in "))</f>
        <v/>
      </c>
      <c r="N1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3" s="31" t="str">
        <f>CONCATENATE(N163, IF('Input Sheet'!K165="",""," siderite in "))</f>
        <v/>
      </c>
    </row>
    <row r="164" spans="1:15" x14ac:dyDescent="0.35">
      <c r="A164" s="42" t="str">
        <f>IF('Input Sheet'!C166="","",CONCATENATE("Sample ", 'Input Sheet'!B166, "m: ", M164, G164, "% ", "Siltstone, ", O164, 'Input Sheet'!C166, "% ", I164, " Sandstone, ", K164, J164, " FLUOR in SST. ", "TG ", 'Input Sheet'!I166, "U"))</f>
        <v/>
      </c>
      <c r="B164" s="28" t="str">
        <f>IF('Input Sheet'!C166="","",CONCATENATE("Sample ", 'Input Sheet'!B166, "m: ", N164, H164, "% ", "Siltstone, ", P164, 'Input Sheet'!C166, "% ", J164, " Sandstone "))</f>
        <v/>
      </c>
      <c r="C164" s="28" t="str">
        <f>IF('Input Sheet'!C166="","",CONCATENATE("Sample ", 'Input Sheet'!B166, "m: ", M164,, K164, J164, " FLUOR in SST. ", "TG ", 'Input Sheet'!I166, "U"))</f>
        <v/>
      </c>
      <c r="G164" s="31" t="str">
        <f>IF('Input Sheet'!C166="","",100-'Input Sheet'!C166)</f>
        <v/>
      </c>
      <c r="H1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4" s="31" t="str">
        <f t="shared" si="2"/>
        <v/>
      </c>
      <c r="J1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4" s="31" t="str">
        <f>IF('Input Sheet'!F165=0, "NO",CONCATENATE('Input Sheet'!F165, IF('Input Sheet'!F165&gt;0,"% ","")))</f>
        <v>NO</v>
      </c>
      <c r="L1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4" s="31" t="str">
        <f>CONCATENATE(L164, IF('Input Sheet'!J166="",""," siderite in "))</f>
        <v/>
      </c>
      <c r="N1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4" s="31" t="str">
        <f>CONCATENATE(N164, IF('Input Sheet'!K166="",""," siderite in "))</f>
        <v/>
      </c>
    </row>
    <row r="165" spans="1:15" x14ac:dyDescent="0.35">
      <c r="A165" s="42" t="str">
        <f>IF('Input Sheet'!C167="","",CONCATENATE("Sample ", 'Input Sheet'!B167, "m: ", M165, G165, "% ", "Siltstone, ", O165, 'Input Sheet'!C167, "% ", I165, " Sandstone, ", K165, J165, " FLUOR in SST. ", "TG ", 'Input Sheet'!I167, "U"))</f>
        <v/>
      </c>
      <c r="B165" s="28" t="str">
        <f>IF('Input Sheet'!C167="","",CONCATENATE("Sample ", 'Input Sheet'!B167, "m: ", N165, H165, "% ", "Siltstone, ", P165, 'Input Sheet'!C167, "% ", J165, " Sandstone "))</f>
        <v/>
      </c>
      <c r="C165" s="28" t="str">
        <f>IF('Input Sheet'!C167="","",CONCATENATE("Sample ", 'Input Sheet'!B167, "m: ", M165,, K165, J165, " FLUOR in SST. ", "TG ", 'Input Sheet'!I167, "U"))</f>
        <v/>
      </c>
      <c r="G165" s="31" t="str">
        <f>IF('Input Sheet'!C167="","",100-'Input Sheet'!C167)</f>
        <v/>
      </c>
      <c r="H1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5" s="31" t="str">
        <f t="shared" si="2"/>
        <v/>
      </c>
      <c r="J1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5" s="31" t="str">
        <f>IF('Input Sheet'!F166=0, "NO",CONCATENATE('Input Sheet'!F166, IF('Input Sheet'!F166&gt;0,"% ","")))</f>
        <v>NO</v>
      </c>
      <c r="L1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5" s="31" t="str">
        <f>CONCATENATE(L165, IF('Input Sheet'!J167="",""," siderite in "))</f>
        <v/>
      </c>
      <c r="N1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5" s="31" t="str">
        <f>CONCATENATE(N165, IF('Input Sheet'!K167="",""," siderite in "))</f>
        <v/>
      </c>
    </row>
    <row r="166" spans="1:15" x14ac:dyDescent="0.35">
      <c r="A166" s="42" t="str">
        <f>IF('Input Sheet'!C168="","",CONCATENATE("Sample ", 'Input Sheet'!B168, "m: ", M166, G166, "% ", "Siltstone, ", O166, 'Input Sheet'!C168, "% ", I166, " Sandstone, ", K166, J166, " FLUOR in SST. ", "TG ", 'Input Sheet'!I168, "U"))</f>
        <v/>
      </c>
      <c r="B166" s="28" t="str">
        <f>IF('Input Sheet'!C168="","",CONCATENATE("Sample ", 'Input Sheet'!B168, "m: ", N166, H166, "% ", "Siltstone, ", P166, 'Input Sheet'!C168, "% ", J166, " Sandstone "))</f>
        <v/>
      </c>
      <c r="C166" s="28" t="str">
        <f>IF('Input Sheet'!C168="","",CONCATENATE("Sample ", 'Input Sheet'!B168, "m: ", M166,, K166, J166, " FLUOR in SST. ", "TG ", 'Input Sheet'!I168, "U"))</f>
        <v/>
      </c>
      <c r="G166" s="31" t="str">
        <f>IF('Input Sheet'!C168="","",100-'Input Sheet'!C168)</f>
        <v/>
      </c>
      <c r="H1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6" s="31" t="str">
        <f t="shared" si="2"/>
        <v/>
      </c>
      <c r="J1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6" s="31" t="str">
        <f>IF('Input Sheet'!F167=0, "NO",CONCATENATE('Input Sheet'!F167, IF('Input Sheet'!F167&gt;0,"% ","")))</f>
        <v>NO</v>
      </c>
      <c r="L1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6" s="31" t="str">
        <f>CONCATENATE(L166, IF('Input Sheet'!J168="",""," siderite in "))</f>
        <v/>
      </c>
      <c r="N1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6" s="31" t="str">
        <f>CONCATENATE(N166, IF('Input Sheet'!K168="",""," siderite in "))</f>
        <v/>
      </c>
    </row>
    <row r="167" spans="1:15" x14ac:dyDescent="0.35">
      <c r="A167" s="42" t="str">
        <f>IF('Input Sheet'!C169="","",CONCATENATE("Sample ", 'Input Sheet'!B169, "m: ", M167, G167, "% ", "Siltstone, ", O167, 'Input Sheet'!C169, "% ", I167, " Sandstone, ", K167, J167, " FLUOR in SST. ", "TG ", 'Input Sheet'!I169, "U"))</f>
        <v/>
      </c>
      <c r="B167" s="28" t="str">
        <f>IF('Input Sheet'!C169="","",CONCATENATE("Sample ", 'Input Sheet'!B169, "m: ", N167, H167, "% ", "Siltstone, ", P167, 'Input Sheet'!C169, "% ", J167, " Sandstone "))</f>
        <v/>
      </c>
      <c r="C167" s="28" t="str">
        <f>IF('Input Sheet'!C169="","",CONCATENATE("Sample ", 'Input Sheet'!B169, "m: ", M167,, K167, J167, " FLUOR in SST. ", "TG ", 'Input Sheet'!I169, "U"))</f>
        <v/>
      </c>
      <c r="G167" s="31" t="str">
        <f>IF('Input Sheet'!C169="","",100-'Input Sheet'!C169)</f>
        <v/>
      </c>
      <c r="H1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7" s="31" t="str">
        <f t="shared" si="2"/>
        <v/>
      </c>
      <c r="J1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7" s="31" t="str">
        <f>IF('Input Sheet'!F168=0, "NO",CONCATENATE('Input Sheet'!F168, IF('Input Sheet'!F168&gt;0,"% ","")))</f>
        <v>NO</v>
      </c>
      <c r="L1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7" s="31" t="str">
        <f>CONCATENATE(L167, IF('Input Sheet'!J169="",""," siderite in "))</f>
        <v/>
      </c>
      <c r="N1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7" s="31" t="str">
        <f>CONCATENATE(N167, IF('Input Sheet'!K169="",""," siderite in "))</f>
        <v/>
      </c>
    </row>
    <row r="168" spans="1:15" x14ac:dyDescent="0.35">
      <c r="A168" s="42" t="str">
        <f>IF('Input Sheet'!C170="","",CONCATENATE("Sample ", 'Input Sheet'!B170, "m: ", M168, G168, "% ", "Siltstone, ", O168, 'Input Sheet'!C170, "% ", I168, " Sandstone, ", K168, J168, " FLUOR in SST. ", "TG ", 'Input Sheet'!I170, "U"))</f>
        <v/>
      </c>
      <c r="B168" s="28" t="str">
        <f>IF('Input Sheet'!C170="","",CONCATENATE("Sample ", 'Input Sheet'!B170, "m: ", N168, H168, "% ", "Siltstone, ", P168, 'Input Sheet'!C170, "% ", J168, " Sandstone "))</f>
        <v/>
      </c>
      <c r="C168" s="28" t="str">
        <f>IF('Input Sheet'!C170="","",CONCATENATE("Sample ", 'Input Sheet'!B170, "m: ", M168,, K168, J168, " FLUOR in SST. ", "TG ", 'Input Sheet'!I170, "U"))</f>
        <v/>
      </c>
      <c r="G168" s="31" t="str">
        <f>IF('Input Sheet'!C170="","",100-'Input Sheet'!C170)</f>
        <v/>
      </c>
      <c r="H1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8" s="31" t="str">
        <f t="shared" si="2"/>
        <v/>
      </c>
      <c r="J1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8" s="31" t="str">
        <f>IF('Input Sheet'!F169=0, "NO",CONCATENATE('Input Sheet'!F169, IF('Input Sheet'!F169&gt;0,"% ","")))</f>
        <v>NO</v>
      </c>
      <c r="L1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8" s="31" t="str">
        <f>CONCATENATE(L168, IF('Input Sheet'!J170="",""," siderite in "))</f>
        <v/>
      </c>
      <c r="N1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8" s="31" t="str">
        <f>CONCATENATE(N168, IF('Input Sheet'!K170="",""," siderite in "))</f>
        <v/>
      </c>
    </row>
    <row r="169" spans="1:15" x14ac:dyDescent="0.35">
      <c r="A169" s="42" t="str">
        <f>IF('Input Sheet'!C171="","",CONCATENATE("Sample ", 'Input Sheet'!B171, "m: ", M169, G169, "% ", "Siltstone, ", O169, 'Input Sheet'!C171, "% ", I169, " Sandstone, ", K169, J169, " FLUOR in SST. ", "TG ", 'Input Sheet'!I171, "U"))</f>
        <v/>
      </c>
      <c r="B169" s="28" t="str">
        <f>IF('Input Sheet'!C171="","",CONCATENATE("Sample ", 'Input Sheet'!B171, "m: ", N169, H169, "% ", "Siltstone, ", P169, 'Input Sheet'!C171, "% ", J169, " Sandstone "))</f>
        <v/>
      </c>
      <c r="C169" s="28" t="str">
        <f>IF('Input Sheet'!C171="","",CONCATENATE("Sample ", 'Input Sheet'!B171, "m: ", M169,, K169, J169, " FLUOR in SST. ", "TG ", 'Input Sheet'!I171, "U"))</f>
        <v/>
      </c>
      <c r="G169" s="31" t="str">
        <f>IF('Input Sheet'!C171="","",100-'Input Sheet'!C171)</f>
        <v/>
      </c>
      <c r="H1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9" s="31" t="str">
        <f t="shared" si="2"/>
        <v/>
      </c>
      <c r="J1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9" s="31" t="str">
        <f>IF('Input Sheet'!F170=0, "NO",CONCATENATE('Input Sheet'!F170, IF('Input Sheet'!F170&gt;0,"% ","")))</f>
        <v>NO</v>
      </c>
      <c r="L1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9" s="31" t="str">
        <f>CONCATENATE(L169, IF('Input Sheet'!J171="",""," siderite in "))</f>
        <v/>
      </c>
      <c r="N1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9" s="31" t="str">
        <f>CONCATENATE(N169, IF('Input Sheet'!K171="",""," siderite in "))</f>
        <v/>
      </c>
    </row>
    <row r="170" spans="1:15" x14ac:dyDescent="0.35">
      <c r="A170" s="42" t="str">
        <f>IF('Input Sheet'!C172="","",CONCATENATE("Sample ", 'Input Sheet'!B172, "m: ", M170, G170, "% ", "Siltstone, ", O170, 'Input Sheet'!C172, "% ", I170, " Sandstone, ", K170, J170, " FLUOR in SST. ", "TG ", 'Input Sheet'!I172, "U"))</f>
        <v/>
      </c>
      <c r="B170" s="28" t="str">
        <f>IF('Input Sheet'!C172="","",CONCATENATE("Sample ", 'Input Sheet'!B172, "m: ", N170, H170, "% ", "Siltstone, ", P170, 'Input Sheet'!C172, "% ", J170, " Sandstone "))</f>
        <v/>
      </c>
      <c r="C170" s="28" t="str">
        <f>IF('Input Sheet'!C172="","",CONCATENATE("Sample ", 'Input Sheet'!B172, "m: ", M170,, K170, J170, " FLUOR in SST. ", "TG ", 'Input Sheet'!I172, "U"))</f>
        <v/>
      </c>
      <c r="G170" s="31" t="str">
        <f>IF('Input Sheet'!C172="","",100-'Input Sheet'!C172)</f>
        <v/>
      </c>
      <c r="H1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0" s="31" t="str">
        <f t="shared" si="2"/>
        <v/>
      </c>
      <c r="J1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0" s="31" t="str">
        <f>IF('Input Sheet'!F171=0, "NO",CONCATENATE('Input Sheet'!F171, IF('Input Sheet'!F171&gt;0,"% ","")))</f>
        <v>NO</v>
      </c>
      <c r="L1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0" s="31" t="str">
        <f>CONCATENATE(L170, IF('Input Sheet'!J172="",""," siderite in "))</f>
        <v/>
      </c>
      <c r="N1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0" s="31" t="str">
        <f>CONCATENATE(N170, IF('Input Sheet'!K172="",""," siderite in "))</f>
        <v/>
      </c>
    </row>
    <row r="171" spans="1:15" x14ac:dyDescent="0.35">
      <c r="A171" s="42" t="str">
        <f>IF('Input Sheet'!C173="","",CONCATENATE("Sample ", 'Input Sheet'!B173, "m: ", M171, G171, "% ", "Siltstone, ", O171, 'Input Sheet'!C173, "% ", I171, " Sandstone, ", K171, J171, " FLUOR in SST. ", "TG ", 'Input Sheet'!I173, "U"))</f>
        <v/>
      </c>
      <c r="B171" s="28" t="str">
        <f>IF('Input Sheet'!C173="","",CONCATENATE("Sample ", 'Input Sheet'!B173, "m: ", N171, H171, "% ", "Siltstone, ", P171, 'Input Sheet'!C173, "% ", J171, " Sandstone "))</f>
        <v/>
      </c>
      <c r="C171" s="28" t="str">
        <f>IF('Input Sheet'!C173="","",CONCATENATE("Sample ", 'Input Sheet'!B173, "m: ", M171,, K171, J171, " FLUOR in SST. ", "TG ", 'Input Sheet'!I173, "U"))</f>
        <v/>
      </c>
      <c r="G171" s="31" t="str">
        <f>IF('Input Sheet'!C173="","",100-'Input Sheet'!C173)</f>
        <v/>
      </c>
      <c r="H1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1" s="31" t="str">
        <f t="shared" si="2"/>
        <v/>
      </c>
      <c r="J1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1" s="31" t="str">
        <f>IF('Input Sheet'!F172=0, "NO",CONCATENATE('Input Sheet'!F172, IF('Input Sheet'!F172&gt;0,"% ","")))</f>
        <v>NO</v>
      </c>
      <c r="L1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1" s="31" t="str">
        <f>CONCATENATE(L171, IF('Input Sheet'!J173="",""," siderite in "))</f>
        <v/>
      </c>
      <c r="N1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1" s="31" t="str">
        <f>CONCATENATE(N171, IF('Input Sheet'!K173="",""," siderite in "))</f>
        <v/>
      </c>
    </row>
    <row r="172" spans="1:15" x14ac:dyDescent="0.35">
      <c r="A172" s="42" t="str">
        <f>IF('Input Sheet'!C174="","",CONCATENATE("Sample ", 'Input Sheet'!B174, "m: ", M172, G172, "% ", "Siltstone, ", O172, 'Input Sheet'!C174, "% ", I172, " Sandstone, ", K172, J172, " FLUOR in SST. ", "TG ", 'Input Sheet'!I174, "U"))</f>
        <v/>
      </c>
      <c r="B172" s="28" t="str">
        <f>IF('Input Sheet'!C174="","",CONCATENATE("Sample ", 'Input Sheet'!B174, "m: ", N172, H172, "% ", "Siltstone, ", P172, 'Input Sheet'!C174, "% ", J172, " Sandstone "))</f>
        <v/>
      </c>
      <c r="C172" s="28" t="str">
        <f>IF('Input Sheet'!C174="","",CONCATENATE("Sample ", 'Input Sheet'!B174, "m: ", M172,, K172, J172, " FLUOR in SST. ", "TG ", 'Input Sheet'!I174, "U"))</f>
        <v/>
      </c>
      <c r="G172" s="31" t="str">
        <f>IF('Input Sheet'!C174="","",100-'Input Sheet'!C174)</f>
        <v/>
      </c>
      <c r="H1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2" s="31" t="str">
        <f t="shared" si="2"/>
        <v/>
      </c>
      <c r="J1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2" s="31" t="str">
        <f>IF('Input Sheet'!F173=0, "NO",CONCATENATE('Input Sheet'!F173, IF('Input Sheet'!F173&gt;0,"% ","")))</f>
        <v>NO</v>
      </c>
      <c r="L1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2" s="31" t="str">
        <f>CONCATENATE(L172, IF('Input Sheet'!J174="",""," siderite in "))</f>
        <v/>
      </c>
      <c r="N1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2" s="31" t="str">
        <f>CONCATENATE(N172, IF('Input Sheet'!K174="",""," siderite in "))</f>
        <v/>
      </c>
    </row>
    <row r="173" spans="1:15" x14ac:dyDescent="0.35">
      <c r="A173" s="42" t="str">
        <f>IF('Input Sheet'!C175="","",CONCATENATE("Sample ", 'Input Sheet'!B175, "m: ", M173, G173, "% ", "Siltstone, ", O173, 'Input Sheet'!C175, "% ", I173, " Sandstone, ", K173, J173, " FLUOR in SST. ", "TG ", 'Input Sheet'!I175, "U"))</f>
        <v/>
      </c>
      <c r="B173" s="28" t="str">
        <f>IF('Input Sheet'!C175="","",CONCATENATE("Sample ", 'Input Sheet'!B175, "m: ", N173, H173, "% ", "Siltstone, ", P173, 'Input Sheet'!C175, "% ", J173, " Sandstone "))</f>
        <v/>
      </c>
      <c r="C173" s="28" t="str">
        <f>IF('Input Sheet'!C175="","",CONCATENATE("Sample ", 'Input Sheet'!B175, "m: ", M173,, K173, J173, " FLUOR in SST. ", "TG ", 'Input Sheet'!I175, "U"))</f>
        <v/>
      </c>
      <c r="G173" s="31" t="str">
        <f>IF('Input Sheet'!C175="","",100-'Input Sheet'!C175)</f>
        <v/>
      </c>
      <c r="H1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3" s="31" t="str">
        <f t="shared" si="2"/>
        <v/>
      </c>
      <c r="J1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3" s="31" t="str">
        <f>IF('Input Sheet'!F174=0, "NO",CONCATENATE('Input Sheet'!F174, IF('Input Sheet'!F174&gt;0,"% ","")))</f>
        <v>NO</v>
      </c>
      <c r="L1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3" s="31" t="str">
        <f>CONCATENATE(L173, IF('Input Sheet'!J175="",""," siderite in "))</f>
        <v/>
      </c>
      <c r="N1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3" s="31" t="str">
        <f>CONCATENATE(N173, IF('Input Sheet'!K175="",""," siderite in "))</f>
        <v/>
      </c>
    </row>
    <row r="174" spans="1:15" x14ac:dyDescent="0.35">
      <c r="A174" s="42" t="str">
        <f>IF('Input Sheet'!C176="","",CONCATENATE("Sample ", 'Input Sheet'!B176, "m: ", M174, G174, "% ", "Siltstone, ", O174, 'Input Sheet'!C176, "% ", I174, " Sandstone, ", K174, J174, " FLUOR in SST. ", "TG ", 'Input Sheet'!I176, "U"))</f>
        <v/>
      </c>
      <c r="B174" s="28" t="str">
        <f>IF('Input Sheet'!C176="","",CONCATENATE("Sample ", 'Input Sheet'!B176, "m: ", N174, H174, "% ", "Siltstone, ", P174, 'Input Sheet'!C176, "% ", J174, " Sandstone "))</f>
        <v/>
      </c>
      <c r="C174" s="28" t="str">
        <f>IF('Input Sheet'!C176="","",CONCATENATE("Sample ", 'Input Sheet'!B176, "m: ", M174,, K174, J174, " FLUOR in SST. ", "TG ", 'Input Sheet'!I176, "U"))</f>
        <v/>
      </c>
      <c r="G174" s="31" t="str">
        <f>IF('Input Sheet'!C176="","",100-'Input Sheet'!C176)</f>
        <v/>
      </c>
      <c r="H1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4" s="31" t="str">
        <f t="shared" si="2"/>
        <v/>
      </c>
      <c r="J1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4" s="31" t="str">
        <f>IF('Input Sheet'!F175=0, "NO",CONCATENATE('Input Sheet'!F175, IF('Input Sheet'!F175&gt;0,"% ","")))</f>
        <v>NO</v>
      </c>
      <c r="L1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4" s="31" t="str">
        <f>CONCATENATE(L174, IF('Input Sheet'!J176="",""," siderite in "))</f>
        <v/>
      </c>
      <c r="N1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4" s="31" t="str">
        <f>CONCATENATE(N174, IF('Input Sheet'!K176="",""," siderite in "))</f>
        <v/>
      </c>
    </row>
    <row r="175" spans="1:15" x14ac:dyDescent="0.35">
      <c r="A175" s="42" t="str">
        <f>IF('Input Sheet'!C177="","",CONCATENATE("Sample ", 'Input Sheet'!B177, "m: ", M175, G175, "% ", "Siltstone, ", O175, 'Input Sheet'!C177, "% ", I175, " Sandstone, ", K175, J175, " FLUOR in SST. ", "TG ", 'Input Sheet'!I177, "U"))</f>
        <v/>
      </c>
      <c r="B175" s="28" t="str">
        <f>IF('Input Sheet'!C177="","",CONCATENATE("Sample ", 'Input Sheet'!B177, "m: ", N175, H175, "% ", "Siltstone, ", P175, 'Input Sheet'!C177, "% ", J175, " Sandstone "))</f>
        <v/>
      </c>
      <c r="C175" s="28" t="str">
        <f>IF('Input Sheet'!C177="","",CONCATENATE("Sample ", 'Input Sheet'!B177, "m: ", M175,, K175, J175, " FLUOR in SST. ", "TG ", 'Input Sheet'!I177, "U"))</f>
        <v/>
      </c>
      <c r="G175" s="31" t="str">
        <f>IF('Input Sheet'!C177="","",100-'Input Sheet'!C177)</f>
        <v/>
      </c>
      <c r="H1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5" s="31" t="str">
        <f t="shared" si="2"/>
        <v/>
      </c>
      <c r="J1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5" s="31" t="str">
        <f>IF('Input Sheet'!F176=0, "NO",CONCATENATE('Input Sheet'!F176, IF('Input Sheet'!F176&gt;0,"% ","")))</f>
        <v>NO</v>
      </c>
      <c r="L1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5" s="31" t="str">
        <f>CONCATENATE(L175, IF('Input Sheet'!J177="",""," siderite in "))</f>
        <v/>
      </c>
      <c r="N1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5" s="31" t="str">
        <f>CONCATENATE(N175, IF('Input Sheet'!K177="",""," siderite in "))</f>
        <v/>
      </c>
    </row>
    <row r="176" spans="1:15" x14ac:dyDescent="0.35">
      <c r="A176" s="42" t="str">
        <f>IF('Input Sheet'!C178="","",CONCATENATE("Sample ", 'Input Sheet'!B178, "m: ", M176, G176, "% ", "Siltstone, ", O176, 'Input Sheet'!C178, "% ", I176, " Sandstone, ", K176, J176, " FLUOR in SST. ", "TG ", 'Input Sheet'!I178, "U"))</f>
        <v/>
      </c>
      <c r="B176" s="28" t="str">
        <f>IF('Input Sheet'!C178="","",CONCATENATE("Sample ", 'Input Sheet'!B178, "m: ", N176, H176, "% ", "Siltstone, ", P176, 'Input Sheet'!C178, "% ", J176, " Sandstone "))</f>
        <v/>
      </c>
      <c r="C176" s="28" t="str">
        <f>IF('Input Sheet'!C178="","",CONCATENATE("Sample ", 'Input Sheet'!B178, "m: ", M176,, K176, J176, " FLUOR in SST. ", "TG ", 'Input Sheet'!I178, "U"))</f>
        <v/>
      </c>
      <c r="G176" s="31" t="str">
        <f>IF('Input Sheet'!C178="","",100-'Input Sheet'!C178)</f>
        <v/>
      </c>
      <c r="H1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6" s="31" t="str">
        <f t="shared" si="2"/>
        <v/>
      </c>
      <c r="J1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6" s="31" t="str">
        <f>IF('Input Sheet'!F177=0, "NO",CONCATENATE('Input Sheet'!F177, IF('Input Sheet'!F177&gt;0,"% ","")))</f>
        <v>NO</v>
      </c>
      <c r="L1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6" s="31" t="str">
        <f>CONCATENATE(L176, IF('Input Sheet'!J178="",""," siderite in "))</f>
        <v/>
      </c>
      <c r="N1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6" s="31" t="str">
        <f>CONCATENATE(N176, IF('Input Sheet'!K178="",""," siderite in "))</f>
        <v/>
      </c>
    </row>
    <row r="177" spans="1:15" x14ac:dyDescent="0.35">
      <c r="A177" s="42" t="str">
        <f>IF('Input Sheet'!C179="","",CONCATENATE("Sample ", 'Input Sheet'!B179, "m: ", M177, G177, "% ", "Siltstone, ", O177, 'Input Sheet'!C179, "% ", I177, " Sandstone, ", K177, J177, " FLUOR in SST. ", "TG ", 'Input Sheet'!I179, "U"))</f>
        <v/>
      </c>
      <c r="B177" s="28" t="str">
        <f>IF('Input Sheet'!C179="","",CONCATENATE("Sample ", 'Input Sheet'!B179, "m: ", N177, H177, "% ", "Siltstone, ", P177, 'Input Sheet'!C179, "% ", J177, " Sandstone "))</f>
        <v/>
      </c>
      <c r="C177" s="28" t="str">
        <f>IF('Input Sheet'!C179="","",CONCATENATE("Sample ", 'Input Sheet'!B179, "m: ", M177,, K177, J177, " FLUOR in SST. ", "TG ", 'Input Sheet'!I179, "U"))</f>
        <v/>
      </c>
      <c r="G177" s="31" t="str">
        <f>IF('Input Sheet'!C179="","",100-'Input Sheet'!C179)</f>
        <v/>
      </c>
      <c r="H1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7" s="31" t="str">
        <f t="shared" si="2"/>
        <v/>
      </c>
      <c r="J1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7" s="31" t="str">
        <f>IF('Input Sheet'!F178=0, "NO",CONCATENATE('Input Sheet'!F178, IF('Input Sheet'!F178&gt;0,"% ","")))</f>
        <v>NO</v>
      </c>
      <c r="L1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7" s="31" t="str">
        <f>CONCATENATE(L177, IF('Input Sheet'!J179="",""," siderite in "))</f>
        <v/>
      </c>
      <c r="N1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7" s="31" t="str">
        <f>CONCATENATE(N177, IF('Input Sheet'!K179="",""," siderite in "))</f>
        <v/>
      </c>
    </row>
    <row r="178" spans="1:15" x14ac:dyDescent="0.35">
      <c r="A178" s="42" t="str">
        <f>IF('Input Sheet'!C180="","",CONCATENATE("Sample ", 'Input Sheet'!B180, "m: ", M178, G178, "% ", "Siltstone, ", O178, 'Input Sheet'!C180, "% ", I178, " Sandstone, ", K178, J178, " FLUOR in SST. ", "TG ", 'Input Sheet'!I180, "U"))</f>
        <v/>
      </c>
      <c r="B178" s="28" t="str">
        <f>IF('Input Sheet'!C180="","",CONCATENATE("Sample ", 'Input Sheet'!B180, "m: ", N178, H178, "% ", "Siltstone, ", P178, 'Input Sheet'!C180, "% ", J178, " Sandstone "))</f>
        <v/>
      </c>
      <c r="C178" s="28" t="str">
        <f>IF('Input Sheet'!C180="","",CONCATENATE("Sample ", 'Input Sheet'!B180, "m: ", M178,, K178, J178, " FLUOR in SST. ", "TG ", 'Input Sheet'!I180, "U"))</f>
        <v/>
      </c>
      <c r="G178" s="31" t="str">
        <f>IF('Input Sheet'!C180="","",100-'Input Sheet'!C180)</f>
        <v/>
      </c>
      <c r="H1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8" s="31" t="str">
        <f t="shared" si="2"/>
        <v/>
      </c>
      <c r="J1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8" s="31" t="str">
        <f>IF('Input Sheet'!F179=0, "NO",CONCATENATE('Input Sheet'!F179, IF('Input Sheet'!F179&gt;0,"% ","")))</f>
        <v>NO</v>
      </c>
      <c r="L1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8" s="31" t="str">
        <f>CONCATENATE(L178, IF('Input Sheet'!J180="",""," siderite in "))</f>
        <v/>
      </c>
      <c r="N1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8" s="31" t="str">
        <f>CONCATENATE(N178, IF('Input Sheet'!K180="",""," siderite in "))</f>
        <v/>
      </c>
    </row>
    <row r="179" spans="1:15" x14ac:dyDescent="0.35">
      <c r="A179" s="42" t="str">
        <f>IF('Input Sheet'!C181="","",CONCATENATE("Sample ", 'Input Sheet'!B181, "m: ", M179, G179, "% ", "Siltstone, ", O179, 'Input Sheet'!C181, "% ", I179, " Sandstone, ", K179, J179, " FLUOR in SST. ", "TG ", 'Input Sheet'!I181, "U"))</f>
        <v/>
      </c>
      <c r="B179" s="28" t="str">
        <f>IF('Input Sheet'!C181="","",CONCATENATE("Sample ", 'Input Sheet'!B181, "m: ", N179, H179, "% ", "Siltstone, ", P179, 'Input Sheet'!C181, "% ", J179, " Sandstone "))</f>
        <v/>
      </c>
      <c r="C179" s="28" t="str">
        <f>IF('Input Sheet'!C181="","",CONCATENATE("Sample ", 'Input Sheet'!B181, "m: ", M179,, K179, J179, " FLUOR in SST. ", "TG ", 'Input Sheet'!I181, "U"))</f>
        <v/>
      </c>
      <c r="G179" s="31" t="str">
        <f>IF('Input Sheet'!C181="","",100-'Input Sheet'!C181)</f>
        <v/>
      </c>
      <c r="H1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9" s="31" t="str">
        <f t="shared" si="2"/>
        <v/>
      </c>
      <c r="J1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9" s="31" t="str">
        <f>IF('Input Sheet'!F180=0, "NO",CONCATENATE('Input Sheet'!F180, IF('Input Sheet'!F180&gt;0,"% ","")))</f>
        <v>NO</v>
      </c>
      <c r="L1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9" s="31" t="str">
        <f>CONCATENATE(L179, IF('Input Sheet'!J181="",""," siderite in "))</f>
        <v/>
      </c>
      <c r="N1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9" s="31" t="str">
        <f>CONCATENATE(N179, IF('Input Sheet'!K181="",""," siderite in "))</f>
        <v/>
      </c>
    </row>
    <row r="180" spans="1:15" x14ac:dyDescent="0.35">
      <c r="A180" s="42" t="str">
        <f>IF('Input Sheet'!C182="","",CONCATENATE("Sample ", 'Input Sheet'!B182, "m: ", M180, G180, "% ", "Siltstone, ", O180, 'Input Sheet'!C182, "% ", I180, " Sandstone, ", K180, J180, " FLUOR in SST. ", "TG ", 'Input Sheet'!I182, "U"))</f>
        <v/>
      </c>
      <c r="B180" s="28" t="str">
        <f>IF('Input Sheet'!C182="","",CONCATENATE("Sample ", 'Input Sheet'!B182, "m: ", N180, H180, "% ", "Siltstone, ", P180, 'Input Sheet'!C182, "% ", J180, " Sandstone "))</f>
        <v/>
      </c>
      <c r="C180" s="28" t="str">
        <f>IF('Input Sheet'!C182="","",CONCATENATE("Sample ", 'Input Sheet'!B182, "m: ", M180,, K180, J180, " FLUOR in SST. ", "TG ", 'Input Sheet'!I182, "U"))</f>
        <v/>
      </c>
      <c r="G180" s="31" t="str">
        <f>IF('Input Sheet'!C182="","",100-'Input Sheet'!C182)</f>
        <v/>
      </c>
      <c r="H1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0" s="31" t="str">
        <f t="shared" si="2"/>
        <v/>
      </c>
      <c r="J1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0" s="31" t="str">
        <f>IF('Input Sheet'!F181=0, "NO",CONCATENATE('Input Sheet'!F181, IF('Input Sheet'!F181&gt;0,"% ","")))</f>
        <v>NO</v>
      </c>
      <c r="L1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0" s="31" t="str">
        <f>CONCATENATE(L180, IF('Input Sheet'!J182="",""," siderite in "))</f>
        <v/>
      </c>
      <c r="N1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0" s="31" t="str">
        <f>CONCATENATE(N180, IF('Input Sheet'!K182="",""," siderite in "))</f>
        <v/>
      </c>
    </row>
    <row r="181" spans="1:15" x14ac:dyDescent="0.35">
      <c r="A181" s="42" t="str">
        <f>IF('Input Sheet'!C183="","",CONCATENATE("Sample ", 'Input Sheet'!B183, "m: ", M181, G181, "% ", "Siltstone, ", O181, 'Input Sheet'!C183, "% ", I181, " Sandstone, ", K181, J181, " FLUOR in SST. ", "TG ", 'Input Sheet'!I183, "U"))</f>
        <v/>
      </c>
      <c r="B181" s="28" t="str">
        <f>IF('Input Sheet'!C183="","",CONCATENATE("Sample ", 'Input Sheet'!B183, "m: ", N181, H181, "% ", "Siltstone, ", P181, 'Input Sheet'!C183, "% ", J181, " Sandstone "))</f>
        <v/>
      </c>
      <c r="C181" s="28" t="str">
        <f>IF('Input Sheet'!C183="","",CONCATENATE("Sample ", 'Input Sheet'!B183, "m: ", M181,, K181, J181, " FLUOR in SST. ", "TG ", 'Input Sheet'!I183, "U"))</f>
        <v/>
      </c>
      <c r="G181" s="31" t="str">
        <f>IF('Input Sheet'!C183="","",100-'Input Sheet'!C183)</f>
        <v/>
      </c>
      <c r="H1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1" s="31" t="str">
        <f t="shared" si="2"/>
        <v/>
      </c>
      <c r="J1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1" s="31" t="str">
        <f>IF('Input Sheet'!F182=0, "NO",CONCATENATE('Input Sheet'!F182, IF('Input Sheet'!F182&gt;0,"% ","")))</f>
        <v>NO</v>
      </c>
      <c r="L1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1" s="31" t="str">
        <f>CONCATENATE(L181, IF('Input Sheet'!J183="",""," siderite in "))</f>
        <v/>
      </c>
      <c r="N1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1" s="31" t="str">
        <f>CONCATENATE(N181, IF('Input Sheet'!K183="",""," siderite in "))</f>
        <v/>
      </c>
    </row>
    <row r="182" spans="1:15" x14ac:dyDescent="0.35">
      <c r="A182" s="42" t="str">
        <f>IF('Input Sheet'!C184="","",CONCATENATE("Sample ", 'Input Sheet'!B184, "m: ", M182, G182, "% ", "Siltstone, ", O182, 'Input Sheet'!C184, "% ", I182, " Sandstone, ", K182, J182, " FLUOR in SST. ", "TG ", 'Input Sheet'!I184, "U"))</f>
        <v/>
      </c>
      <c r="B182" s="28" t="str">
        <f>IF('Input Sheet'!C184="","",CONCATENATE("Sample ", 'Input Sheet'!B184, "m: ", N182, H182, "% ", "Siltstone, ", P182, 'Input Sheet'!C184, "% ", J182, " Sandstone "))</f>
        <v/>
      </c>
      <c r="C182" s="28" t="str">
        <f>IF('Input Sheet'!C184="","",CONCATENATE("Sample ", 'Input Sheet'!B184, "m: ", M182,, K182, J182, " FLUOR in SST. ", "TG ", 'Input Sheet'!I184, "U"))</f>
        <v/>
      </c>
      <c r="G182" s="31" t="str">
        <f>IF('Input Sheet'!C184="","",100-'Input Sheet'!C184)</f>
        <v/>
      </c>
      <c r="H1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2" s="31" t="str">
        <f t="shared" si="2"/>
        <v/>
      </c>
      <c r="J1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2" s="31" t="str">
        <f>IF('Input Sheet'!F183=0, "NO",CONCATENATE('Input Sheet'!F183, IF('Input Sheet'!F183&gt;0,"% ","")))</f>
        <v>NO</v>
      </c>
      <c r="L1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2" s="31" t="str">
        <f>CONCATENATE(L182, IF('Input Sheet'!J184="",""," siderite in "))</f>
        <v/>
      </c>
      <c r="N1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2" s="31" t="str">
        <f>CONCATENATE(N182, IF('Input Sheet'!K184="",""," siderite in "))</f>
        <v/>
      </c>
    </row>
    <row r="183" spans="1:15" x14ac:dyDescent="0.35">
      <c r="A183" s="42" t="str">
        <f>IF('Input Sheet'!C185="","",CONCATENATE("Sample ", 'Input Sheet'!B185, "m: ", M183, G183, "% ", "Siltstone, ", O183, 'Input Sheet'!C185, "% ", I183, " Sandstone, ", K183, J183, " FLUOR in SST. ", "TG ", 'Input Sheet'!I185, "U"))</f>
        <v/>
      </c>
      <c r="B183" s="28" t="str">
        <f>IF('Input Sheet'!C185="","",CONCATENATE("Sample ", 'Input Sheet'!B185, "m: ", N183, H183, "% ", "Siltstone, ", P183, 'Input Sheet'!C185, "% ", J183, " Sandstone "))</f>
        <v/>
      </c>
      <c r="C183" s="28" t="str">
        <f>IF('Input Sheet'!C185="","",CONCATENATE("Sample ", 'Input Sheet'!B185, "m: ", M183,, K183, J183, " FLUOR in SST. ", "TG ", 'Input Sheet'!I185, "U"))</f>
        <v/>
      </c>
      <c r="G183" s="31" t="str">
        <f>IF('Input Sheet'!C185="","",100-'Input Sheet'!C185)</f>
        <v/>
      </c>
      <c r="H1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3" s="31" t="str">
        <f t="shared" si="2"/>
        <v/>
      </c>
      <c r="J1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3" s="31" t="str">
        <f>IF('Input Sheet'!F184=0, "NO",CONCATENATE('Input Sheet'!F184, IF('Input Sheet'!F184&gt;0,"% ","")))</f>
        <v>NO</v>
      </c>
      <c r="L1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3" s="31" t="str">
        <f>CONCATENATE(L183, IF('Input Sheet'!J185="",""," siderite in "))</f>
        <v/>
      </c>
      <c r="N1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3" s="31" t="str">
        <f>CONCATENATE(N183, IF('Input Sheet'!K185="",""," siderite in "))</f>
        <v/>
      </c>
    </row>
    <row r="184" spans="1:15" x14ac:dyDescent="0.35">
      <c r="A184" s="42" t="str">
        <f>IF('Input Sheet'!C186="","",CONCATENATE("Sample ", 'Input Sheet'!B186, "m: ", M184, G184, "% ", "Siltstone, ", O184, 'Input Sheet'!C186, "% ", I184, " Sandstone, ", K184, J184, " FLUOR in SST. ", "TG ", 'Input Sheet'!I186, "U"))</f>
        <v/>
      </c>
      <c r="B184" s="28" t="str">
        <f>IF('Input Sheet'!C186="","",CONCATENATE("Sample ", 'Input Sheet'!B186, "m: ", N184, H184, "% ", "Siltstone, ", P184, 'Input Sheet'!C186, "% ", J184, " Sandstone "))</f>
        <v/>
      </c>
      <c r="C184" s="28" t="str">
        <f>IF('Input Sheet'!C186="","",CONCATENATE("Sample ", 'Input Sheet'!B186, "m: ", M184,, K184, J184, " FLUOR in SST. ", "TG ", 'Input Sheet'!I186, "U"))</f>
        <v/>
      </c>
      <c r="G184" s="31" t="str">
        <f>IF('Input Sheet'!C186="","",100-'Input Sheet'!C186)</f>
        <v/>
      </c>
      <c r="H1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4" s="31" t="str">
        <f t="shared" si="2"/>
        <v/>
      </c>
      <c r="J1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4" s="31" t="str">
        <f>IF('Input Sheet'!F185=0, "NO",CONCATENATE('Input Sheet'!F185, IF('Input Sheet'!F185&gt;0,"% ","")))</f>
        <v>NO</v>
      </c>
      <c r="L1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4" s="31" t="str">
        <f>CONCATENATE(L184, IF('Input Sheet'!J186="",""," siderite in "))</f>
        <v/>
      </c>
      <c r="N1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4" s="31" t="str">
        <f>CONCATENATE(N184, IF('Input Sheet'!K186="",""," siderite in "))</f>
        <v/>
      </c>
    </row>
    <row r="185" spans="1:15" x14ac:dyDescent="0.35">
      <c r="A185" s="42" t="str">
        <f>IF('Input Sheet'!C187="","",CONCATENATE("Sample ", 'Input Sheet'!B187, "m: ", M185, G185, "% ", "Siltstone, ", O185, 'Input Sheet'!C187, "% ", I185, " Sandstone, ", K185, J185, " FLUOR in SST. ", "TG ", 'Input Sheet'!I187, "U"))</f>
        <v/>
      </c>
      <c r="B185" s="28" t="str">
        <f>IF('Input Sheet'!C187="","",CONCATENATE("Sample ", 'Input Sheet'!B187, "m: ", N185, H185, "% ", "Siltstone, ", P185, 'Input Sheet'!C187, "% ", J185, " Sandstone "))</f>
        <v/>
      </c>
      <c r="C185" s="28" t="str">
        <f>IF('Input Sheet'!C187="","",CONCATENATE("Sample ", 'Input Sheet'!B187, "m: ", M185,, K185, J185, " FLUOR in SST. ", "TG ", 'Input Sheet'!I187, "U"))</f>
        <v/>
      </c>
      <c r="G185" s="31" t="str">
        <f>IF('Input Sheet'!C187="","",100-'Input Sheet'!C187)</f>
        <v/>
      </c>
      <c r="H1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5" s="31" t="str">
        <f t="shared" si="2"/>
        <v/>
      </c>
      <c r="J1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5" s="31" t="str">
        <f>IF('Input Sheet'!F186=0, "NO",CONCATENATE('Input Sheet'!F186, IF('Input Sheet'!F186&gt;0,"% ","")))</f>
        <v>NO</v>
      </c>
      <c r="L1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5" s="31" t="str">
        <f>CONCATENATE(L185, IF('Input Sheet'!J187="",""," siderite in "))</f>
        <v/>
      </c>
      <c r="N1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5" s="31" t="str">
        <f>CONCATENATE(N185, IF('Input Sheet'!K187="",""," siderite in "))</f>
        <v/>
      </c>
    </row>
    <row r="186" spans="1:15" x14ac:dyDescent="0.35">
      <c r="A186" s="42" t="str">
        <f>IF('Input Sheet'!C188="","",CONCATENATE("Sample ", 'Input Sheet'!B188, "m: ", M186, G186, "% ", "Siltstone, ", O186, 'Input Sheet'!C188, "% ", I186, " Sandstone, ", K186, J186, " FLUOR in SST. ", "TG ", 'Input Sheet'!I188, "U"))</f>
        <v/>
      </c>
      <c r="B186" s="28" t="str">
        <f>IF('Input Sheet'!C188="","",CONCATENATE("Sample ", 'Input Sheet'!B188, "m: ", N186, H186, "% ", "Siltstone, ", P186, 'Input Sheet'!C188, "% ", J186, " Sandstone "))</f>
        <v/>
      </c>
      <c r="C186" s="28" t="str">
        <f>IF('Input Sheet'!C188="","",CONCATENATE("Sample ", 'Input Sheet'!B188, "m: ", M186,, K186, J186, " FLUOR in SST. ", "TG ", 'Input Sheet'!I188, "U"))</f>
        <v/>
      </c>
      <c r="G186" s="31" t="str">
        <f>IF('Input Sheet'!C188="","",100-'Input Sheet'!C188)</f>
        <v/>
      </c>
      <c r="H1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6" s="31" t="str">
        <f t="shared" si="2"/>
        <v/>
      </c>
      <c r="J1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6" s="31" t="str">
        <f>IF('Input Sheet'!F187=0, "NO",CONCATENATE('Input Sheet'!F187, IF('Input Sheet'!F187&gt;0,"% ","")))</f>
        <v>NO</v>
      </c>
      <c r="L1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6" s="31" t="str">
        <f>CONCATENATE(L186, IF('Input Sheet'!J188="",""," siderite in "))</f>
        <v/>
      </c>
      <c r="N1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6" s="31" t="str">
        <f>CONCATENATE(N186, IF('Input Sheet'!K188="",""," siderite in "))</f>
        <v/>
      </c>
    </row>
    <row r="187" spans="1:15" x14ac:dyDescent="0.35">
      <c r="A187" s="42" t="str">
        <f>IF('Input Sheet'!C189="","",CONCATENATE("Sample ", 'Input Sheet'!B189, "m: ", M187, G187, "% ", "Siltstone, ", O187, 'Input Sheet'!C189, "% ", I187, " Sandstone, ", K187, J187, " FLUOR in SST. ", "TG ", 'Input Sheet'!I189, "U"))</f>
        <v/>
      </c>
      <c r="B187" s="28" t="str">
        <f>IF('Input Sheet'!C189="","",CONCATENATE("Sample ", 'Input Sheet'!B189, "m: ", N187, H187, "% ", "Siltstone, ", P187, 'Input Sheet'!C189, "% ", J187, " Sandstone "))</f>
        <v/>
      </c>
      <c r="C187" s="28" t="str">
        <f>IF('Input Sheet'!C189="","",CONCATENATE("Sample ", 'Input Sheet'!B189, "m: ", M187,, K187, J187, " FLUOR in SST. ", "TG ", 'Input Sheet'!I189, "U"))</f>
        <v/>
      </c>
      <c r="G187" s="31" t="str">
        <f>IF('Input Sheet'!C189="","",100-'Input Sheet'!C189)</f>
        <v/>
      </c>
      <c r="H1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7" s="31" t="str">
        <f t="shared" si="2"/>
        <v/>
      </c>
      <c r="J1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7" s="31" t="str">
        <f>IF('Input Sheet'!F188=0, "NO",CONCATENATE('Input Sheet'!F188, IF('Input Sheet'!F188&gt;0,"% ","")))</f>
        <v>NO</v>
      </c>
      <c r="L1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7" s="31" t="str">
        <f>CONCATENATE(L187, IF('Input Sheet'!J189="",""," siderite in "))</f>
        <v/>
      </c>
      <c r="N1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7" s="31" t="str">
        <f>CONCATENATE(N187, IF('Input Sheet'!K189="",""," siderite in "))</f>
        <v/>
      </c>
    </row>
    <row r="188" spans="1:15" x14ac:dyDescent="0.35">
      <c r="A188" s="42" t="str">
        <f>IF('Input Sheet'!C190="","",CONCATENATE("Sample ", 'Input Sheet'!B190, "m: ", M188, G188, "% ", "Siltstone, ", O188, 'Input Sheet'!C190, "% ", I188, " Sandstone, ", K188, J188, " FLUOR in SST. ", "TG ", 'Input Sheet'!I190, "U"))</f>
        <v/>
      </c>
      <c r="B188" s="28" t="str">
        <f>IF('Input Sheet'!C190="","",CONCATENATE("Sample ", 'Input Sheet'!B190, "m: ", N188, H188, "% ", "Siltstone, ", P188, 'Input Sheet'!C190, "% ", J188, " Sandstone "))</f>
        <v/>
      </c>
      <c r="C188" s="28" t="str">
        <f>IF('Input Sheet'!C190="","",CONCATENATE("Sample ", 'Input Sheet'!B190, "m: ", M188,, K188, J188, " FLUOR in SST. ", "TG ", 'Input Sheet'!I190, "U"))</f>
        <v/>
      </c>
      <c r="G188" s="31" t="str">
        <f>IF('Input Sheet'!C190="","",100-'Input Sheet'!C190)</f>
        <v/>
      </c>
      <c r="H1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8" s="31" t="str">
        <f t="shared" si="2"/>
        <v/>
      </c>
      <c r="J1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8" s="31" t="str">
        <f>IF('Input Sheet'!F189=0, "NO",CONCATENATE('Input Sheet'!F189, IF('Input Sheet'!F189&gt;0,"% ","")))</f>
        <v>NO</v>
      </c>
      <c r="L1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8" s="31" t="str">
        <f>CONCATENATE(L188, IF('Input Sheet'!J190="",""," siderite in "))</f>
        <v/>
      </c>
      <c r="N1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8" s="31" t="str">
        <f>CONCATENATE(N188, IF('Input Sheet'!K190="",""," siderite in "))</f>
        <v/>
      </c>
    </row>
    <row r="189" spans="1:15" x14ac:dyDescent="0.35">
      <c r="A189" s="42" t="str">
        <f>IF('Input Sheet'!C191="","",CONCATENATE("Sample ", 'Input Sheet'!B191, "m: ", M189, G189, "% ", "Siltstone, ", O189, 'Input Sheet'!C191, "% ", I189, " Sandstone, ", K189, J189, " FLUOR in SST. ", "TG ", 'Input Sheet'!I191, "U"))</f>
        <v/>
      </c>
      <c r="B189" s="28" t="str">
        <f>IF('Input Sheet'!C191="","",CONCATENATE("Sample ", 'Input Sheet'!B191, "m: ", N189, H189, "% ", "Siltstone, ", P189, 'Input Sheet'!C191, "% ", J189, " Sandstone "))</f>
        <v/>
      </c>
      <c r="C189" s="28" t="str">
        <f>IF('Input Sheet'!C191="","",CONCATENATE("Sample ", 'Input Sheet'!B191, "m: ", M189,, K189, J189, " FLUOR in SST. ", "TG ", 'Input Sheet'!I191, "U"))</f>
        <v/>
      </c>
      <c r="G189" s="31" t="str">
        <f>IF('Input Sheet'!C191="","",100-'Input Sheet'!C191)</f>
        <v/>
      </c>
      <c r="H1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9" s="31" t="str">
        <f t="shared" si="2"/>
        <v/>
      </c>
      <c r="J1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9" s="31" t="str">
        <f>IF('Input Sheet'!F190=0, "NO",CONCATENATE('Input Sheet'!F190, IF('Input Sheet'!F190&gt;0,"% ","")))</f>
        <v>NO</v>
      </c>
      <c r="L1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9" s="31" t="str">
        <f>CONCATENATE(L189, IF('Input Sheet'!J191="",""," siderite in "))</f>
        <v/>
      </c>
      <c r="N1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9" s="31" t="str">
        <f>CONCATENATE(N189, IF('Input Sheet'!K191="",""," siderite in "))</f>
        <v/>
      </c>
    </row>
    <row r="190" spans="1:15" x14ac:dyDescent="0.35">
      <c r="A190" s="42" t="str">
        <f>IF('Input Sheet'!C192="","",CONCATENATE("Sample ", 'Input Sheet'!B192, "m: ", M190, G190, "% ", "Siltstone, ", O190, 'Input Sheet'!C192, "% ", I190, " Sandstone, ", K190, J190, " FLUOR in SST. ", "TG ", 'Input Sheet'!I192, "U"))</f>
        <v/>
      </c>
      <c r="B190" s="28" t="str">
        <f>IF('Input Sheet'!C192="","",CONCATENATE("Sample ", 'Input Sheet'!B192, "m: ", N190, H190, "% ", "Siltstone, ", P190, 'Input Sheet'!C192, "% ", J190, " Sandstone "))</f>
        <v/>
      </c>
      <c r="C190" s="28" t="str">
        <f>IF('Input Sheet'!C192="","",CONCATENATE("Sample ", 'Input Sheet'!B192, "m: ", M190,, K190, J190, " FLUOR in SST. ", "TG ", 'Input Sheet'!I192, "U"))</f>
        <v/>
      </c>
      <c r="G190" s="31" t="str">
        <f>IF('Input Sheet'!C192="","",100-'Input Sheet'!C192)</f>
        <v/>
      </c>
      <c r="H1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0" s="31" t="str">
        <f t="shared" si="2"/>
        <v/>
      </c>
      <c r="J1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0" s="31" t="str">
        <f>IF('Input Sheet'!F191=0, "NO",CONCATENATE('Input Sheet'!F191, IF('Input Sheet'!F191&gt;0,"% ","")))</f>
        <v>NO</v>
      </c>
      <c r="L1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0" s="31" t="str">
        <f>CONCATENATE(L190, IF('Input Sheet'!J192="",""," siderite in "))</f>
        <v/>
      </c>
      <c r="N1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0" s="31" t="str">
        <f>CONCATENATE(N190, IF('Input Sheet'!K192="",""," siderite in "))</f>
        <v/>
      </c>
    </row>
    <row r="191" spans="1:15" x14ac:dyDescent="0.35">
      <c r="A191" s="42" t="str">
        <f>IF('Input Sheet'!C193="","",CONCATENATE("Sample ", 'Input Sheet'!B193, "m: ", M191, G191, "% ", "Siltstone, ", O191, 'Input Sheet'!C193, "% ", I191, " Sandstone, ", K191, J191, " FLUOR in SST. ", "TG ", 'Input Sheet'!I193, "U"))</f>
        <v/>
      </c>
      <c r="B191" s="28" t="str">
        <f>IF('Input Sheet'!C193="","",CONCATENATE("Sample ", 'Input Sheet'!B193, "m: ", N191, H191, "% ", "Siltstone, ", P191, 'Input Sheet'!C193, "% ", J191, " Sandstone "))</f>
        <v/>
      </c>
      <c r="C191" s="28" t="str">
        <f>IF('Input Sheet'!C193="","",CONCATENATE("Sample ", 'Input Sheet'!B193, "m: ", M191,, K191, J191, " FLUOR in SST. ", "TG ", 'Input Sheet'!I193, "U"))</f>
        <v/>
      </c>
      <c r="G191" s="31" t="str">
        <f>IF('Input Sheet'!C193="","",100-'Input Sheet'!C193)</f>
        <v/>
      </c>
      <c r="H1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1" s="31" t="str">
        <f t="shared" si="2"/>
        <v/>
      </c>
      <c r="J1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1" s="31" t="str">
        <f>IF('Input Sheet'!F192=0, "NO",CONCATENATE('Input Sheet'!F192, IF('Input Sheet'!F192&gt;0,"% ","")))</f>
        <v>NO</v>
      </c>
      <c r="L1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1" s="31" t="str">
        <f>CONCATENATE(L191, IF('Input Sheet'!J193="",""," siderite in "))</f>
        <v/>
      </c>
      <c r="N1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1" s="31" t="str">
        <f>CONCATENATE(N191, IF('Input Sheet'!K193="",""," siderite in "))</f>
        <v/>
      </c>
    </row>
    <row r="192" spans="1:15" x14ac:dyDescent="0.35">
      <c r="A192" s="42" t="str">
        <f>IF('Input Sheet'!C194="","",CONCATENATE("Sample ", 'Input Sheet'!B194, "m: ", M192, G192, "% ", "Siltstone, ", O192, 'Input Sheet'!C194, "% ", I192, " Sandstone, ", K192, J192, " FLUOR in SST. ", "TG ", 'Input Sheet'!I194, "U"))</f>
        <v/>
      </c>
      <c r="B192" s="28" t="str">
        <f>IF('Input Sheet'!C194="","",CONCATENATE("Sample ", 'Input Sheet'!B194, "m: ", N192, H192, "% ", "Siltstone, ", P192, 'Input Sheet'!C194, "% ", J192, " Sandstone "))</f>
        <v/>
      </c>
      <c r="C192" s="28" t="str">
        <f>IF('Input Sheet'!C194="","",CONCATENATE("Sample ", 'Input Sheet'!B194, "m: ", M192,, K192, J192, " FLUOR in SST. ", "TG ", 'Input Sheet'!I194, "U"))</f>
        <v/>
      </c>
      <c r="G192" s="31" t="str">
        <f>IF('Input Sheet'!C194="","",100-'Input Sheet'!C194)</f>
        <v/>
      </c>
      <c r="H1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2" s="31" t="str">
        <f t="shared" si="2"/>
        <v/>
      </c>
      <c r="J1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2" s="31" t="str">
        <f>IF('Input Sheet'!F193=0, "NO",CONCATENATE('Input Sheet'!F193, IF('Input Sheet'!F193&gt;0,"% ","")))</f>
        <v>NO</v>
      </c>
      <c r="L1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2" s="31" t="str">
        <f>CONCATENATE(L192, IF('Input Sheet'!J194="",""," siderite in "))</f>
        <v/>
      </c>
      <c r="N1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2" s="31" t="str">
        <f>CONCATENATE(N192, IF('Input Sheet'!K194="",""," siderite in "))</f>
        <v/>
      </c>
    </row>
    <row r="193" spans="1:15" x14ac:dyDescent="0.35">
      <c r="A193" s="42" t="str">
        <f>IF('Input Sheet'!C195="","",CONCATENATE("Sample ", 'Input Sheet'!B195, "m: ", M193, G193, "% ", "Siltstone, ", O193, 'Input Sheet'!C195, "% ", I193, " Sandstone, ", K193, J193, " FLUOR in SST. ", "TG ", 'Input Sheet'!I195, "U"))</f>
        <v/>
      </c>
      <c r="B193" s="28" t="str">
        <f>IF('Input Sheet'!C195="","",CONCATENATE("Sample ", 'Input Sheet'!B195, "m: ", N193, H193, "% ", "Siltstone, ", P193, 'Input Sheet'!C195, "% ", J193, " Sandstone "))</f>
        <v/>
      </c>
      <c r="C193" s="28" t="str">
        <f>IF('Input Sheet'!C195="","",CONCATENATE("Sample ", 'Input Sheet'!B195, "m: ", M193,, K193, J193, " FLUOR in SST. ", "TG ", 'Input Sheet'!I195, "U"))</f>
        <v/>
      </c>
      <c r="G193" s="31" t="str">
        <f>IF('Input Sheet'!C195="","",100-'Input Sheet'!C195)</f>
        <v/>
      </c>
      <c r="H1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3" s="31" t="str">
        <f t="shared" si="2"/>
        <v/>
      </c>
      <c r="J1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3" s="31" t="str">
        <f>IF('Input Sheet'!F194=0, "NO",CONCATENATE('Input Sheet'!F194, IF('Input Sheet'!F194&gt;0,"% ","")))</f>
        <v>NO</v>
      </c>
      <c r="L1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3" s="31" t="str">
        <f>CONCATENATE(L193, IF('Input Sheet'!J195="",""," siderite in "))</f>
        <v/>
      </c>
      <c r="N1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3" s="31" t="str">
        <f>CONCATENATE(N193, IF('Input Sheet'!K195="",""," siderite in "))</f>
        <v/>
      </c>
    </row>
    <row r="194" spans="1:15" x14ac:dyDescent="0.35">
      <c r="A194" s="42" t="str">
        <f>IF('Input Sheet'!C196="","",CONCATENATE("Sample ", 'Input Sheet'!B196, "m: ", M194, G194, "% ", "Siltstone, ", O194, 'Input Sheet'!C196, "% ", I194, " Sandstone, ", K194, J194, " FLUOR in SST. ", "TG ", 'Input Sheet'!I196, "U"))</f>
        <v/>
      </c>
      <c r="B194" s="28" t="str">
        <f>IF('Input Sheet'!C196="","",CONCATENATE("Sample ", 'Input Sheet'!B196, "m: ", N194, H194, "% ", "Siltstone, ", P194, 'Input Sheet'!C196, "% ", J194, " Sandstone "))</f>
        <v/>
      </c>
      <c r="C194" s="28" t="str">
        <f>IF('Input Sheet'!C196="","",CONCATENATE("Sample ", 'Input Sheet'!B196, "m: ", M194,, K194, J194, " FLUOR in SST. ", "TG ", 'Input Sheet'!I196, "U"))</f>
        <v/>
      </c>
      <c r="G194" s="31" t="str">
        <f>IF('Input Sheet'!C196="","",100-'Input Sheet'!C196)</f>
        <v/>
      </c>
      <c r="H1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4" s="31" t="str">
        <f t="shared" ref="I194:I257" si="3">SUBSTITUTE(H194, "veryfine", "very fine")</f>
        <v/>
      </c>
      <c r="J1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4" s="31" t="str">
        <f>IF('Input Sheet'!F195=0, "NO",CONCATENATE('Input Sheet'!F195, IF('Input Sheet'!F195&gt;0,"% ","")))</f>
        <v>NO</v>
      </c>
      <c r="L1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4" s="31" t="str">
        <f>CONCATENATE(L194, IF('Input Sheet'!J196="",""," siderite in "))</f>
        <v/>
      </c>
      <c r="N1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4" s="31" t="str">
        <f>CONCATENATE(N194, IF('Input Sheet'!K196="",""," siderite in "))</f>
        <v/>
      </c>
    </row>
    <row r="195" spans="1:15" x14ac:dyDescent="0.35">
      <c r="A195" s="42" t="str">
        <f>IF('Input Sheet'!C197="","",CONCATENATE("Sample ", 'Input Sheet'!B197, "m: ", M195, G195, "% ", "Siltstone, ", O195, 'Input Sheet'!C197, "% ", I195, " Sandstone, ", K195, J195, " FLUOR in SST. ", "TG ", 'Input Sheet'!I197, "U"))</f>
        <v/>
      </c>
      <c r="B195" s="28" t="str">
        <f>IF('Input Sheet'!C197="","",CONCATENATE("Sample ", 'Input Sheet'!B197, "m: ", N195, H195, "% ", "Siltstone, ", P195, 'Input Sheet'!C197, "% ", J195, " Sandstone "))</f>
        <v/>
      </c>
      <c r="C195" s="28" t="str">
        <f>IF('Input Sheet'!C197="","",CONCATENATE("Sample ", 'Input Sheet'!B197, "m: ", M195,, K195, J195, " FLUOR in SST. ", "TG ", 'Input Sheet'!I197, "U"))</f>
        <v/>
      </c>
      <c r="G195" s="31" t="str">
        <f>IF('Input Sheet'!C197="","",100-'Input Sheet'!C197)</f>
        <v/>
      </c>
      <c r="H1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5" s="31" t="str">
        <f t="shared" si="3"/>
        <v/>
      </c>
      <c r="J1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5" s="31" t="str">
        <f>IF('Input Sheet'!F196=0, "NO",CONCATENATE('Input Sheet'!F196, IF('Input Sheet'!F196&gt;0,"% ","")))</f>
        <v>NO</v>
      </c>
      <c r="L1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5" s="31" t="str">
        <f>CONCATENATE(L195, IF('Input Sheet'!J197="",""," siderite in "))</f>
        <v/>
      </c>
      <c r="N1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5" s="31" t="str">
        <f>CONCATENATE(N195, IF('Input Sheet'!K197="",""," siderite in "))</f>
        <v/>
      </c>
    </row>
    <row r="196" spans="1:15" x14ac:dyDescent="0.35">
      <c r="A196" s="42" t="str">
        <f>IF('Input Sheet'!C198="","",CONCATENATE("Sample ", 'Input Sheet'!B198, "m: ", M196, G196, "% ", "Siltstone, ", O196, 'Input Sheet'!C198, "% ", I196, " Sandstone, ", K196, J196, " FLUOR in SST. ", "TG ", 'Input Sheet'!I198, "U"))</f>
        <v/>
      </c>
      <c r="B196" s="28" t="str">
        <f>IF('Input Sheet'!C198="","",CONCATENATE("Sample ", 'Input Sheet'!B198, "m: ", N196, H196, "% ", "Siltstone, ", P196, 'Input Sheet'!C198, "% ", J196, " Sandstone "))</f>
        <v/>
      </c>
      <c r="C196" s="28" t="str">
        <f>IF('Input Sheet'!C198="","",CONCATENATE("Sample ", 'Input Sheet'!B198, "m: ", M196,, K196, J196, " FLUOR in SST. ", "TG ", 'Input Sheet'!I198, "U"))</f>
        <v/>
      </c>
      <c r="G196" s="31" t="str">
        <f>IF('Input Sheet'!C198="","",100-'Input Sheet'!C198)</f>
        <v/>
      </c>
      <c r="H1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6" s="31" t="str">
        <f t="shared" si="3"/>
        <v/>
      </c>
      <c r="J1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6" s="31" t="str">
        <f>IF('Input Sheet'!F197=0, "NO",CONCATENATE('Input Sheet'!F197, IF('Input Sheet'!F197&gt;0,"% ","")))</f>
        <v>NO</v>
      </c>
      <c r="L1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6" s="31" t="str">
        <f>CONCATENATE(L196, IF('Input Sheet'!J198="",""," siderite in "))</f>
        <v/>
      </c>
      <c r="N1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6" s="31" t="str">
        <f>CONCATENATE(N196, IF('Input Sheet'!K198="",""," siderite in "))</f>
        <v/>
      </c>
    </row>
    <row r="197" spans="1:15" x14ac:dyDescent="0.35">
      <c r="A197" s="42" t="str">
        <f>IF('Input Sheet'!C199="","",CONCATENATE("Sample ", 'Input Sheet'!B199, "m: ", M197, G197, "% ", "Siltstone, ", O197, 'Input Sheet'!C199, "% ", I197, " Sandstone, ", K197, J197, " FLUOR in SST. ", "TG ", 'Input Sheet'!I199, "U"))</f>
        <v/>
      </c>
      <c r="B197" s="28" t="str">
        <f>IF('Input Sheet'!C199="","",CONCATENATE("Sample ", 'Input Sheet'!B199, "m: ", N197, H197, "% ", "Siltstone, ", P197, 'Input Sheet'!C199, "% ", J197, " Sandstone "))</f>
        <v/>
      </c>
      <c r="C197" s="28" t="str">
        <f>IF('Input Sheet'!C199="","",CONCATENATE("Sample ", 'Input Sheet'!B199, "m: ", M197,, K197, J197, " FLUOR in SST. ", "TG ", 'Input Sheet'!I199, "U"))</f>
        <v/>
      </c>
      <c r="G197" s="31" t="str">
        <f>IF('Input Sheet'!C199="","",100-'Input Sheet'!C199)</f>
        <v/>
      </c>
      <c r="H1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7" s="31" t="str">
        <f t="shared" si="3"/>
        <v/>
      </c>
      <c r="J1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7" s="31" t="str">
        <f>IF('Input Sheet'!F198=0, "NO",CONCATENATE('Input Sheet'!F198, IF('Input Sheet'!F198&gt;0,"% ","")))</f>
        <v>NO</v>
      </c>
      <c r="L1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7" s="31" t="str">
        <f>CONCATENATE(L197, IF('Input Sheet'!J199="",""," siderite in "))</f>
        <v/>
      </c>
      <c r="N1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7" s="31" t="str">
        <f>CONCATENATE(N197, IF('Input Sheet'!K199="",""," siderite in "))</f>
        <v/>
      </c>
    </row>
    <row r="198" spans="1:15" x14ac:dyDescent="0.35">
      <c r="A198" s="42" t="str">
        <f>IF('Input Sheet'!C200="","",CONCATENATE("Sample ", 'Input Sheet'!B200, "m: ", M198, G198, "% ", "Siltstone, ", O198, 'Input Sheet'!C200, "% ", I198, " Sandstone, ", K198, J198, " FLUOR in SST. ", "TG ", 'Input Sheet'!I200, "U"))</f>
        <v/>
      </c>
      <c r="B198" s="28" t="str">
        <f>IF('Input Sheet'!C200="","",CONCATENATE("Sample ", 'Input Sheet'!B200, "m: ", N198, H198, "% ", "Siltstone, ", P198, 'Input Sheet'!C200, "% ", J198, " Sandstone "))</f>
        <v/>
      </c>
      <c r="C198" s="28" t="str">
        <f>IF('Input Sheet'!C200="","",CONCATENATE("Sample ", 'Input Sheet'!B200, "m: ", M198,, K198, J198, " FLUOR in SST. ", "TG ", 'Input Sheet'!I200, "U"))</f>
        <v/>
      </c>
      <c r="G198" s="31" t="str">
        <f>IF('Input Sheet'!C200="","",100-'Input Sheet'!C200)</f>
        <v/>
      </c>
      <c r="H1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8" s="31" t="str">
        <f t="shared" si="3"/>
        <v/>
      </c>
      <c r="J1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8" s="31" t="str">
        <f>IF('Input Sheet'!F199=0, "NO",CONCATENATE('Input Sheet'!F199, IF('Input Sheet'!F199&gt;0,"% ","")))</f>
        <v>NO</v>
      </c>
      <c r="L1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8" s="31" t="str">
        <f>CONCATENATE(L198, IF('Input Sheet'!J200="",""," siderite in "))</f>
        <v/>
      </c>
      <c r="N1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8" s="31" t="str">
        <f>CONCATENATE(N198, IF('Input Sheet'!K200="",""," siderite in "))</f>
        <v/>
      </c>
    </row>
    <row r="199" spans="1:15" x14ac:dyDescent="0.35">
      <c r="A199" s="42" t="str">
        <f>IF('Input Sheet'!C201="","",CONCATENATE("Sample ", 'Input Sheet'!B201, "m: ", M199, G199, "% ", "Siltstone, ", O199, 'Input Sheet'!C201, "% ", I199, " Sandstone, ", K199, J199, " FLUOR in SST. ", "TG ", 'Input Sheet'!I201, "U"))</f>
        <v/>
      </c>
      <c r="B199" s="28" t="str">
        <f>IF('Input Sheet'!C201="","",CONCATENATE("Sample ", 'Input Sheet'!B201, "m: ", N199, H199, "% ", "Siltstone, ", P199, 'Input Sheet'!C201, "% ", J199, " Sandstone "))</f>
        <v/>
      </c>
      <c r="C199" s="28" t="str">
        <f>IF('Input Sheet'!C201="","",CONCATENATE("Sample ", 'Input Sheet'!B201, "m: ", M199,, K199, J199, " FLUOR in SST. ", "TG ", 'Input Sheet'!I201, "U"))</f>
        <v/>
      </c>
      <c r="G199" s="31" t="str">
        <f>IF('Input Sheet'!C201="","",100-'Input Sheet'!C201)</f>
        <v/>
      </c>
      <c r="H1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9" s="31" t="str">
        <f t="shared" si="3"/>
        <v/>
      </c>
      <c r="J1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9" s="31" t="str">
        <f>IF('Input Sheet'!F200=0, "NO",CONCATENATE('Input Sheet'!F200, IF('Input Sheet'!F200&gt;0,"% ","")))</f>
        <v>NO</v>
      </c>
      <c r="L1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9" s="31" t="str">
        <f>CONCATENATE(L199, IF('Input Sheet'!J201="",""," siderite in "))</f>
        <v/>
      </c>
      <c r="N1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9" s="31" t="str">
        <f>CONCATENATE(N199, IF('Input Sheet'!K201="",""," siderite in "))</f>
        <v/>
      </c>
    </row>
    <row r="200" spans="1:15" x14ac:dyDescent="0.35">
      <c r="A200" s="42" t="str">
        <f>IF('Input Sheet'!C202="","",CONCATENATE("Sample ", 'Input Sheet'!B202, "m: ", M200, G200, "% ", "Siltstone, ", O200, 'Input Sheet'!C202, "% ", I200, " Sandstone, ", K200, J200, " FLUOR in SST. ", "TG ", 'Input Sheet'!I202, "U"))</f>
        <v/>
      </c>
      <c r="B200" s="28" t="str">
        <f>IF('Input Sheet'!C202="","",CONCATENATE("Sample ", 'Input Sheet'!B202, "m: ", N200, H200, "% ", "Siltstone, ", P200, 'Input Sheet'!C202, "% ", J200, " Sandstone "))</f>
        <v/>
      </c>
      <c r="C200" s="28" t="str">
        <f>IF('Input Sheet'!C202="","",CONCATENATE("Sample ", 'Input Sheet'!B202, "m: ", M200,, K200, J200, " FLUOR in SST. ", "TG ", 'Input Sheet'!I202, "U"))</f>
        <v/>
      </c>
      <c r="G200" s="31" t="str">
        <f>IF('Input Sheet'!C202="","",100-'Input Sheet'!C202)</f>
        <v/>
      </c>
      <c r="H2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0" s="31" t="str">
        <f t="shared" si="3"/>
        <v/>
      </c>
      <c r="J2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0" s="31" t="str">
        <f>IF('Input Sheet'!F201=0, "NO",CONCATENATE('Input Sheet'!F201, IF('Input Sheet'!F201&gt;0,"% ","")))</f>
        <v>NO</v>
      </c>
      <c r="L2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0" s="31" t="str">
        <f>CONCATENATE(L200, IF('Input Sheet'!J202="",""," siderite in "))</f>
        <v/>
      </c>
      <c r="N2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0" s="31" t="str">
        <f>CONCATENATE(N200, IF('Input Sheet'!K202="",""," siderite in "))</f>
        <v/>
      </c>
    </row>
    <row r="201" spans="1:15" x14ac:dyDescent="0.35">
      <c r="A201" s="42" t="str">
        <f>IF('Input Sheet'!C203="","",CONCATENATE("Sample ", 'Input Sheet'!B203, "m: ", M201, G201, "% ", "Siltstone, ", O201, 'Input Sheet'!C203, "% ", I201, " Sandstone, ", K201, J201, " FLUOR in SST. ", "TG ", 'Input Sheet'!I203, "U"))</f>
        <v/>
      </c>
      <c r="B201" s="28" t="str">
        <f>IF('Input Sheet'!C203="","",CONCATENATE("Sample ", 'Input Sheet'!B203, "m: ", N201, H201, "% ", "Siltstone, ", P201, 'Input Sheet'!C203, "% ", J201, " Sandstone "))</f>
        <v/>
      </c>
      <c r="C201" s="28" t="str">
        <f>IF('Input Sheet'!C203="","",CONCATENATE("Sample ", 'Input Sheet'!B203, "m: ", M201,, K201, J201, " FLUOR in SST. ", "TG ", 'Input Sheet'!I203, "U"))</f>
        <v/>
      </c>
      <c r="G201" s="31" t="str">
        <f>IF('Input Sheet'!C203="","",100-'Input Sheet'!C203)</f>
        <v/>
      </c>
      <c r="H2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1" s="31" t="str">
        <f t="shared" si="3"/>
        <v/>
      </c>
      <c r="J2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1" s="31" t="str">
        <f>IF('Input Sheet'!F202=0, "NO",CONCATENATE('Input Sheet'!F202, IF('Input Sheet'!F202&gt;0,"% ","")))</f>
        <v>NO</v>
      </c>
      <c r="L2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1" s="31" t="str">
        <f>CONCATENATE(L201, IF('Input Sheet'!J203="",""," siderite in "))</f>
        <v/>
      </c>
      <c r="N2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1" s="31" t="str">
        <f>CONCATENATE(N201, IF('Input Sheet'!K203="",""," siderite in "))</f>
        <v/>
      </c>
    </row>
    <row r="202" spans="1:15" x14ac:dyDescent="0.35">
      <c r="A202" s="42" t="str">
        <f>IF('Input Sheet'!C204="","",CONCATENATE("Sample ", 'Input Sheet'!B204, "m: ", M202, G202, "% ", "Siltstone, ", O202, 'Input Sheet'!C204, "% ", I202, " Sandstone, ", K202, J202, " FLUOR in SST. ", "TG ", 'Input Sheet'!I204, "U"))</f>
        <v/>
      </c>
      <c r="B202" s="28" t="str">
        <f>IF('Input Sheet'!C204="","",CONCATENATE("Sample ", 'Input Sheet'!B204, "m: ", N202, H202, "% ", "Siltstone, ", P202, 'Input Sheet'!C204, "% ", J202, " Sandstone "))</f>
        <v/>
      </c>
      <c r="C202" s="28" t="str">
        <f>IF('Input Sheet'!C204="","",CONCATENATE("Sample ", 'Input Sheet'!B204, "m: ", M202,, K202, J202, " FLUOR in SST. ", "TG ", 'Input Sheet'!I204, "U"))</f>
        <v/>
      </c>
      <c r="G202" s="31" t="str">
        <f>IF('Input Sheet'!C204="","",100-'Input Sheet'!C204)</f>
        <v/>
      </c>
      <c r="H2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2" s="31" t="str">
        <f t="shared" si="3"/>
        <v/>
      </c>
      <c r="J2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2" s="31" t="str">
        <f>IF('Input Sheet'!F203=0, "NO",CONCATENATE('Input Sheet'!F203, IF('Input Sheet'!F203&gt;0,"% ","")))</f>
        <v>NO</v>
      </c>
      <c r="L2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2" s="31" t="str">
        <f>CONCATENATE(L202, IF('Input Sheet'!J204="",""," siderite in "))</f>
        <v/>
      </c>
      <c r="N2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2" s="31" t="str">
        <f>CONCATENATE(N202, IF('Input Sheet'!K204="",""," siderite in "))</f>
        <v/>
      </c>
    </row>
    <row r="203" spans="1:15" x14ac:dyDescent="0.35">
      <c r="A203" s="42" t="str">
        <f>IF('Input Sheet'!C205="","",CONCATENATE("Sample ", 'Input Sheet'!B205, "m: ", M203, G203, "% ", "Siltstone, ", O203, 'Input Sheet'!C205, "% ", I203, " Sandstone, ", K203, J203, " FLUOR in SST. ", "TG ", 'Input Sheet'!I205, "U"))</f>
        <v/>
      </c>
      <c r="B203" s="28" t="str">
        <f>IF('Input Sheet'!C205="","",CONCATENATE("Sample ", 'Input Sheet'!B205, "m: ", N203, H203, "% ", "Siltstone, ", P203, 'Input Sheet'!C205, "% ", J203, " Sandstone "))</f>
        <v/>
      </c>
      <c r="C203" s="28" t="str">
        <f>IF('Input Sheet'!C205="","",CONCATENATE("Sample ", 'Input Sheet'!B205, "m: ", M203,, K203, J203, " FLUOR in SST. ", "TG ", 'Input Sheet'!I205, "U"))</f>
        <v/>
      </c>
      <c r="G203" s="31" t="str">
        <f>IF('Input Sheet'!C205="","",100-'Input Sheet'!C205)</f>
        <v/>
      </c>
      <c r="H2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3" s="31" t="str">
        <f t="shared" si="3"/>
        <v/>
      </c>
      <c r="J2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3" s="31" t="str">
        <f>IF('Input Sheet'!F204=0, "NO",CONCATENATE('Input Sheet'!F204, IF('Input Sheet'!F204&gt;0,"% ","")))</f>
        <v>NO</v>
      </c>
      <c r="L2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3" s="31" t="str">
        <f>CONCATENATE(L203, IF('Input Sheet'!J205="",""," siderite in "))</f>
        <v/>
      </c>
      <c r="N2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3" s="31" t="str">
        <f>CONCATENATE(N203, IF('Input Sheet'!K205="",""," siderite in "))</f>
        <v/>
      </c>
    </row>
    <row r="204" spans="1:15" x14ac:dyDescent="0.35">
      <c r="A204" s="42" t="str">
        <f>IF('Input Sheet'!C206="","",CONCATENATE("Sample ", 'Input Sheet'!B206, "m: ", M204, G204, "% ", "Siltstone, ", O204, 'Input Sheet'!C206, "% ", I204, " Sandstone, ", K204, J204, " FLUOR in SST. ", "TG ", 'Input Sheet'!I206, "U"))</f>
        <v/>
      </c>
      <c r="B204" s="28" t="str">
        <f>IF('Input Sheet'!C206="","",CONCATENATE("Sample ", 'Input Sheet'!B206, "m: ", N204, H204, "% ", "Siltstone, ", P204, 'Input Sheet'!C206, "% ", J204, " Sandstone "))</f>
        <v/>
      </c>
      <c r="C204" s="28" t="str">
        <f>IF('Input Sheet'!C206="","",CONCATENATE("Sample ", 'Input Sheet'!B206, "m: ", M204,, K204, J204, " FLUOR in SST. ", "TG ", 'Input Sheet'!I206, "U"))</f>
        <v/>
      </c>
      <c r="G204" s="31" t="str">
        <f>IF('Input Sheet'!C206="","",100-'Input Sheet'!C206)</f>
        <v/>
      </c>
      <c r="H2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4" s="31" t="str">
        <f t="shared" si="3"/>
        <v/>
      </c>
      <c r="J2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4" s="31" t="str">
        <f>IF('Input Sheet'!F205=0, "NO",CONCATENATE('Input Sheet'!F205, IF('Input Sheet'!F205&gt;0,"% ","")))</f>
        <v>NO</v>
      </c>
      <c r="L2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4" s="31" t="str">
        <f>CONCATENATE(L204, IF('Input Sheet'!J206="",""," siderite in "))</f>
        <v/>
      </c>
      <c r="N2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4" s="31" t="str">
        <f>CONCATENATE(N204, IF('Input Sheet'!K206="",""," siderite in "))</f>
        <v/>
      </c>
    </row>
    <row r="205" spans="1:15" x14ac:dyDescent="0.35">
      <c r="A205" s="42" t="str">
        <f>IF('Input Sheet'!C207="","",CONCATENATE("Sample ", 'Input Sheet'!B207, "m: ", M205, G205, "% ", "Siltstone, ", O205, 'Input Sheet'!C207, "% ", I205, " Sandstone, ", K205, J205, " FLUOR in SST. ", "TG ", 'Input Sheet'!I207, "U"))</f>
        <v/>
      </c>
      <c r="B205" s="28" t="str">
        <f>IF('Input Sheet'!C207="","",CONCATENATE("Sample ", 'Input Sheet'!B207, "m: ", N205, H205, "% ", "Siltstone, ", P205, 'Input Sheet'!C207, "% ", J205, " Sandstone "))</f>
        <v/>
      </c>
      <c r="C205" s="28" t="str">
        <f>IF('Input Sheet'!C207="","",CONCATENATE("Sample ", 'Input Sheet'!B207, "m: ", M205,, K205, J205, " FLUOR in SST. ", "TG ", 'Input Sheet'!I207, "U"))</f>
        <v/>
      </c>
      <c r="G205" s="31" t="str">
        <f>IF('Input Sheet'!C207="","",100-'Input Sheet'!C207)</f>
        <v/>
      </c>
      <c r="H2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5" s="31" t="str">
        <f t="shared" si="3"/>
        <v/>
      </c>
      <c r="J2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5" s="31" t="str">
        <f>IF('Input Sheet'!F206=0, "NO",CONCATENATE('Input Sheet'!F206, IF('Input Sheet'!F206&gt;0,"% ","")))</f>
        <v>NO</v>
      </c>
      <c r="L2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5" s="31" t="str">
        <f>CONCATENATE(L205, IF('Input Sheet'!J207="",""," siderite in "))</f>
        <v/>
      </c>
      <c r="N2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5" s="31" t="str">
        <f>CONCATENATE(N205, IF('Input Sheet'!K207="",""," siderite in "))</f>
        <v/>
      </c>
    </row>
    <row r="206" spans="1:15" x14ac:dyDescent="0.35">
      <c r="A206" s="42" t="str">
        <f>IF('Input Sheet'!C208="","",CONCATENATE("Sample ", 'Input Sheet'!B208, "m: ", M206, G206, "% ", "Siltstone, ", O206, 'Input Sheet'!C208, "% ", I206, " Sandstone, ", K206, J206, " FLUOR in SST. ", "TG ", 'Input Sheet'!I208, "U"))</f>
        <v/>
      </c>
      <c r="B206" s="28" t="str">
        <f>IF('Input Sheet'!C208="","",CONCATENATE("Sample ", 'Input Sheet'!B208, "m: ", N206, H206, "% ", "Siltstone, ", P206, 'Input Sheet'!C208, "% ", J206, " Sandstone "))</f>
        <v/>
      </c>
      <c r="C206" s="28" t="str">
        <f>IF('Input Sheet'!C208="","",CONCATENATE("Sample ", 'Input Sheet'!B208, "m: ", M206,, K206, J206, " FLUOR in SST. ", "TG ", 'Input Sheet'!I208, "U"))</f>
        <v/>
      </c>
      <c r="G206" s="31" t="str">
        <f>IF('Input Sheet'!C208="","",100-'Input Sheet'!C208)</f>
        <v/>
      </c>
      <c r="H2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6" s="31" t="str">
        <f t="shared" si="3"/>
        <v/>
      </c>
      <c r="J2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6" s="31" t="str">
        <f>IF('Input Sheet'!F207=0, "NO",CONCATENATE('Input Sheet'!F207, IF('Input Sheet'!F207&gt;0,"% ","")))</f>
        <v>NO</v>
      </c>
      <c r="L2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6" s="31" t="str">
        <f>CONCATENATE(L206, IF('Input Sheet'!J208="",""," siderite in "))</f>
        <v/>
      </c>
      <c r="N2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6" s="31" t="str">
        <f>CONCATENATE(N206, IF('Input Sheet'!K208="",""," siderite in "))</f>
        <v/>
      </c>
    </row>
    <row r="207" spans="1:15" x14ac:dyDescent="0.35">
      <c r="A207" s="42" t="str">
        <f>IF('Input Sheet'!C209="","",CONCATENATE("Sample ", 'Input Sheet'!B209, "m: ", M207, G207, "% ", "Siltstone, ", O207, 'Input Sheet'!C209, "% ", I207, " Sandstone, ", K207, J207, " FLUOR in SST. ", "TG ", 'Input Sheet'!I209, "U"))</f>
        <v/>
      </c>
      <c r="B207" s="28" t="str">
        <f>IF('Input Sheet'!C209="","",CONCATENATE("Sample ", 'Input Sheet'!B209, "m: ", N207, H207, "% ", "Siltstone, ", P207, 'Input Sheet'!C209, "% ", J207, " Sandstone "))</f>
        <v/>
      </c>
      <c r="C207" s="28" t="str">
        <f>IF('Input Sheet'!C209="","",CONCATENATE("Sample ", 'Input Sheet'!B209, "m: ", M207,, K207, J207, " FLUOR in SST. ", "TG ", 'Input Sheet'!I209, "U"))</f>
        <v/>
      </c>
      <c r="G207" s="31" t="str">
        <f>IF('Input Sheet'!C209="","",100-'Input Sheet'!C209)</f>
        <v/>
      </c>
      <c r="H2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7" s="31" t="str">
        <f t="shared" si="3"/>
        <v/>
      </c>
      <c r="J2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7" s="31" t="str">
        <f>IF('Input Sheet'!F208=0, "NO",CONCATENATE('Input Sheet'!F208, IF('Input Sheet'!F208&gt;0,"% ","")))</f>
        <v>NO</v>
      </c>
      <c r="L2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7" s="31" t="str">
        <f>CONCATENATE(L207, IF('Input Sheet'!J209="",""," siderite in "))</f>
        <v/>
      </c>
      <c r="N2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7" s="31" t="str">
        <f>CONCATENATE(N207, IF('Input Sheet'!K209="",""," siderite in "))</f>
        <v/>
      </c>
    </row>
    <row r="208" spans="1:15" x14ac:dyDescent="0.35">
      <c r="A208" s="42" t="str">
        <f>IF('Input Sheet'!C210="","",CONCATENATE("Sample ", 'Input Sheet'!B210, "m: ", M208, G208, "% ", "Siltstone, ", O208, 'Input Sheet'!C210, "% ", I208, " Sandstone, ", K208, J208, " FLUOR in SST. ", "TG ", 'Input Sheet'!I210, "U"))</f>
        <v/>
      </c>
      <c r="B208" s="28" t="str">
        <f>IF('Input Sheet'!C210="","",CONCATENATE("Sample ", 'Input Sheet'!B210, "m: ", N208, H208, "% ", "Siltstone, ", P208, 'Input Sheet'!C210, "% ", J208, " Sandstone "))</f>
        <v/>
      </c>
      <c r="C208" s="28" t="str">
        <f>IF('Input Sheet'!C210="","",CONCATENATE("Sample ", 'Input Sheet'!B210, "m: ", M208,, K208, J208, " FLUOR in SST. ", "TG ", 'Input Sheet'!I210, "U"))</f>
        <v/>
      </c>
      <c r="G208" s="31" t="str">
        <f>IF('Input Sheet'!C210="","",100-'Input Sheet'!C210)</f>
        <v/>
      </c>
      <c r="H2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8" s="31" t="str">
        <f t="shared" si="3"/>
        <v/>
      </c>
      <c r="J2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8" s="31" t="str">
        <f>IF('Input Sheet'!F209=0, "NO",CONCATENATE('Input Sheet'!F209, IF('Input Sheet'!F209&gt;0,"% ","")))</f>
        <v>NO</v>
      </c>
      <c r="L2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8" s="31" t="str">
        <f>CONCATENATE(L208, IF('Input Sheet'!J210="",""," siderite in "))</f>
        <v/>
      </c>
      <c r="N2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8" s="31" t="str">
        <f>CONCATENATE(N208, IF('Input Sheet'!K210="",""," siderite in "))</f>
        <v/>
      </c>
    </row>
    <row r="209" spans="1:15" x14ac:dyDescent="0.35">
      <c r="A209" s="42" t="str">
        <f>IF('Input Sheet'!C211="","",CONCATENATE("Sample ", 'Input Sheet'!B211, "m: ", M209, G209, "% ", "Siltstone, ", O209, 'Input Sheet'!C211, "% ", I209, " Sandstone, ", K209, J209, " FLUOR in SST. ", "TG ", 'Input Sheet'!I211, "U"))</f>
        <v/>
      </c>
      <c r="B209" s="28" t="str">
        <f>IF('Input Sheet'!C211="","",CONCATENATE("Sample ", 'Input Sheet'!B211, "m: ", N209, H209, "% ", "Siltstone, ", P209, 'Input Sheet'!C211, "% ", J209, " Sandstone "))</f>
        <v/>
      </c>
      <c r="C209" s="28" t="str">
        <f>IF('Input Sheet'!C211="","",CONCATENATE("Sample ", 'Input Sheet'!B211, "m: ", M209,, K209, J209, " FLUOR in SST. ", "TG ", 'Input Sheet'!I211, "U"))</f>
        <v/>
      </c>
      <c r="G209" s="31" t="str">
        <f>IF('Input Sheet'!C211="","",100-'Input Sheet'!C211)</f>
        <v/>
      </c>
      <c r="H2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9" s="31" t="str">
        <f t="shared" si="3"/>
        <v/>
      </c>
      <c r="J2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9" s="31" t="str">
        <f>IF('Input Sheet'!F210=0, "NO",CONCATENATE('Input Sheet'!F210, IF('Input Sheet'!F210&gt;0,"% ","")))</f>
        <v>NO</v>
      </c>
      <c r="L2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9" s="31" t="str">
        <f>CONCATENATE(L209, IF('Input Sheet'!J211="",""," siderite in "))</f>
        <v/>
      </c>
      <c r="N2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9" s="31" t="str">
        <f>CONCATENATE(N209, IF('Input Sheet'!K211="",""," siderite in "))</f>
        <v/>
      </c>
    </row>
    <row r="210" spans="1:15" x14ac:dyDescent="0.35">
      <c r="A210" s="42" t="str">
        <f>IF('Input Sheet'!C212="","",CONCATENATE("Sample ", 'Input Sheet'!B212, "m: ", M210, G210, "% ", "Siltstone, ", O210, 'Input Sheet'!C212, "% ", I210, " Sandstone, ", K210, J210, " FLUOR in SST. ", "TG ", 'Input Sheet'!I212, "U"))</f>
        <v/>
      </c>
      <c r="B210" s="28" t="str">
        <f>IF('Input Sheet'!C212="","",CONCATENATE("Sample ", 'Input Sheet'!B212, "m: ", N210, H210, "% ", "Siltstone, ", P210, 'Input Sheet'!C212, "% ", J210, " Sandstone "))</f>
        <v/>
      </c>
      <c r="C210" s="28" t="str">
        <f>IF('Input Sheet'!C212="","",CONCATENATE("Sample ", 'Input Sheet'!B212, "m: ", M210,, K210, J210, " FLUOR in SST. ", "TG ", 'Input Sheet'!I212, "U"))</f>
        <v/>
      </c>
      <c r="G210" s="31" t="str">
        <f>IF('Input Sheet'!C212="","",100-'Input Sheet'!C212)</f>
        <v/>
      </c>
      <c r="H2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0" s="31" t="str">
        <f t="shared" si="3"/>
        <v/>
      </c>
      <c r="J2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0" s="31" t="str">
        <f>IF('Input Sheet'!F211=0, "NO",CONCATENATE('Input Sheet'!F211, IF('Input Sheet'!F211&gt;0,"% ","")))</f>
        <v>NO</v>
      </c>
      <c r="L2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0" s="31" t="str">
        <f>CONCATENATE(L210, IF('Input Sheet'!J212="",""," siderite in "))</f>
        <v/>
      </c>
      <c r="N2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0" s="31" t="str">
        <f>CONCATENATE(N210, IF('Input Sheet'!K212="",""," siderite in "))</f>
        <v/>
      </c>
    </row>
    <row r="211" spans="1:15" x14ac:dyDescent="0.35">
      <c r="A211" s="42" t="str">
        <f>IF('Input Sheet'!C213="","",CONCATENATE("Sample ", 'Input Sheet'!B213, "m: ", M211, G211, "% ", "Siltstone, ", O211, 'Input Sheet'!C213, "% ", I211, " Sandstone, ", K211, J211, " FLUOR in SST. ", "TG ", 'Input Sheet'!I213, "U"))</f>
        <v/>
      </c>
      <c r="B211" s="28" t="str">
        <f>IF('Input Sheet'!C213="","",CONCATENATE("Sample ", 'Input Sheet'!B213, "m: ", N211, H211, "% ", "Siltstone, ", P211, 'Input Sheet'!C213, "% ", J211, " Sandstone "))</f>
        <v/>
      </c>
      <c r="C211" s="28" t="str">
        <f>IF('Input Sheet'!C213="","",CONCATENATE("Sample ", 'Input Sheet'!B213, "m: ", M211,, K211, J211, " FLUOR in SST. ", "TG ", 'Input Sheet'!I213, "U"))</f>
        <v/>
      </c>
      <c r="G211" s="31" t="str">
        <f>IF('Input Sheet'!C213="","",100-'Input Sheet'!C213)</f>
        <v/>
      </c>
      <c r="H2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1" s="31" t="str">
        <f t="shared" si="3"/>
        <v/>
      </c>
      <c r="J2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1" s="31" t="str">
        <f>IF('Input Sheet'!F212=0, "NO",CONCATENATE('Input Sheet'!F212, IF('Input Sheet'!F212&gt;0,"% ","")))</f>
        <v>NO</v>
      </c>
      <c r="L2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1" s="31" t="str">
        <f>CONCATENATE(L211, IF('Input Sheet'!J213="",""," siderite in "))</f>
        <v/>
      </c>
      <c r="N2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1" s="31" t="str">
        <f>CONCATENATE(N211, IF('Input Sheet'!K213="",""," siderite in "))</f>
        <v/>
      </c>
    </row>
    <row r="212" spans="1:15" x14ac:dyDescent="0.35">
      <c r="A212" s="42" t="str">
        <f>IF('Input Sheet'!C214="","",CONCATENATE("Sample ", 'Input Sheet'!B214, "m: ", M212, G212, "% ", "Siltstone, ", O212, 'Input Sheet'!C214, "% ", I212, " Sandstone, ", K212, J212, " FLUOR in SST. ", "TG ", 'Input Sheet'!I214, "U"))</f>
        <v/>
      </c>
      <c r="B212" s="28" t="str">
        <f>IF('Input Sheet'!C214="","",CONCATENATE("Sample ", 'Input Sheet'!B214, "m: ", N212, H212, "% ", "Siltstone, ", P212, 'Input Sheet'!C214, "% ", J212, " Sandstone "))</f>
        <v/>
      </c>
      <c r="C212" s="28" t="str">
        <f>IF('Input Sheet'!C214="","",CONCATENATE("Sample ", 'Input Sheet'!B214, "m: ", M212,, K212, J212, " FLUOR in SST. ", "TG ", 'Input Sheet'!I214, "U"))</f>
        <v/>
      </c>
      <c r="G212" s="31" t="str">
        <f>IF('Input Sheet'!C214="","",100-'Input Sheet'!C214)</f>
        <v/>
      </c>
      <c r="H2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2" s="31" t="str">
        <f t="shared" si="3"/>
        <v/>
      </c>
      <c r="J2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2" s="31" t="str">
        <f>IF('Input Sheet'!F213=0, "NO",CONCATENATE('Input Sheet'!F213, IF('Input Sheet'!F213&gt;0,"% ","")))</f>
        <v>NO</v>
      </c>
      <c r="L2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2" s="31" t="str">
        <f>CONCATENATE(L212, IF('Input Sheet'!J214="",""," siderite in "))</f>
        <v/>
      </c>
      <c r="N2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2" s="31" t="str">
        <f>CONCATENATE(N212, IF('Input Sheet'!K214="",""," siderite in "))</f>
        <v/>
      </c>
    </row>
    <row r="213" spans="1:15" x14ac:dyDescent="0.35">
      <c r="A213" s="42" t="str">
        <f>IF('Input Sheet'!C215="","",CONCATENATE("Sample ", 'Input Sheet'!B215, "m: ", M213, G213, "% ", "Siltstone, ", O213, 'Input Sheet'!C215, "% ", I213, " Sandstone, ", K213, J213, " FLUOR in SST. ", "TG ", 'Input Sheet'!I215, "U"))</f>
        <v/>
      </c>
      <c r="B213" s="28" t="str">
        <f>IF('Input Sheet'!C215="","",CONCATENATE("Sample ", 'Input Sheet'!B215, "m: ", N213, H213, "% ", "Siltstone, ", P213, 'Input Sheet'!C215, "% ", J213, " Sandstone "))</f>
        <v/>
      </c>
      <c r="C213" s="28" t="str">
        <f>IF('Input Sheet'!C215="","",CONCATENATE("Sample ", 'Input Sheet'!B215, "m: ", M213,, K213, J213, " FLUOR in SST. ", "TG ", 'Input Sheet'!I215, "U"))</f>
        <v/>
      </c>
      <c r="G213" s="31" t="str">
        <f>IF('Input Sheet'!C215="","",100-'Input Sheet'!C215)</f>
        <v/>
      </c>
      <c r="H2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3" s="31" t="str">
        <f t="shared" si="3"/>
        <v/>
      </c>
      <c r="J2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3" s="31" t="str">
        <f>IF('Input Sheet'!F214=0, "NO",CONCATENATE('Input Sheet'!F214, IF('Input Sheet'!F214&gt;0,"% ","")))</f>
        <v>NO</v>
      </c>
      <c r="L2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3" s="31" t="str">
        <f>CONCATENATE(L213, IF('Input Sheet'!J215="",""," siderite in "))</f>
        <v/>
      </c>
      <c r="N2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3" s="31" t="str">
        <f>CONCATENATE(N213, IF('Input Sheet'!K215="",""," siderite in "))</f>
        <v/>
      </c>
    </row>
    <row r="214" spans="1:15" x14ac:dyDescent="0.35">
      <c r="A214" s="42" t="str">
        <f>IF('Input Sheet'!C216="","",CONCATENATE("Sample ", 'Input Sheet'!B216, "m: ", M214, G214, "% ", "Siltstone, ", O214, 'Input Sheet'!C216, "% ", I214, " Sandstone, ", K214, J214, " FLUOR in SST. ", "TG ", 'Input Sheet'!I216, "U"))</f>
        <v/>
      </c>
      <c r="B214" s="28" t="str">
        <f>IF('Input Sheet'!C216="","",CONCATENATE("Sample ", 'Input Sheet'!B216, "m: ", N214, H214, "% ", "Siltstone, ", P214, 'Input Sheet'!C216, "% ", J214, " Sandstone "))</f>
        <v/>
      </c>
      <c r="C214" s="28" t="str">
        <f>IF('Input Sheet'!C216="","",CONCATENATE("Sample ", 'Input Sheet'!B216, "m: ", M214,, K214, J214, " FLUOR in SST. ", "TG ", 'Input Sheet'!I216, "U"))</f>
        <v/>
      </c>
      <c r="G214" s="31" t="str">
        <f>IF('Input Sheet'!C216="","",100-'Input Sheet'!C216)</f>
        <v/>
      </c>
      <c r="H2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4" s="31" t="str">
        <f t="shared" si="3"/>
        <v/>
      </c>
      <c r="J2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4" s="31" t="str">
        <f>IF('Input Sheet'!F215=0, "NO",CONCATENATE('Input Sheet'!F215, IF('Input Sheet'!F215&gt;0,"% ","")))</f>
        <v>NO</v>
      </c>
      <c r="L2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4" s="31" t="str">
        <f>CONCATENATE(L214, IF('Input Sheet'!J216="",""," siderite in "))</f>
        <v/>
      </c>
      <c r="N2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4" s="31" t="str">
        <f>CONCATENATE(N214, IF('Input Sheet'!K216="",""," siderite in "))</f>
        <v/>
      </c>
    </row>
    <row r="215" spans="1:15" x14ac:dyDescent="0.35">
      <c r="A215" s="42" t="str">
        <f>IF('Input Sheet'!C217="","",CONCATENATE("Sample ", 'Input Sheet'!B217, "m: ", M215, G215, "% ", "Siltstone, ", O215, 'Input Sheet'!C217, "% ", I215, " Sandstone, ", K215, J215, " FLUOR in SST. ", "TG ", 'Input Sheet'!I217, "U"))</f>
        <v/>
      </c>
      <c r="B215" s="28" t="str">
        <f>IF('Input Sheet'!C217="","",CONCATENATE("Sample ", 'Input Sheet'!B217, "m: ", N215, H215, "% ", "Siltstone, ", P215, 'Input Sheet'!C217, "% ", J215, " Sandstone "))</f>
        <v/>
      </c>
      <c r="C215" s="28" t="str">
        <f>IF('Input Sheet'!C217="","",CONCATENATE("Sample ", 'Input Sheet'!B217, "m: ", M215,, K215, J215, " FLUOR in SST. ", "TG ", 'Input Sheet'!I217, "U"))</f>
        <v/>
      </c>
      <c r="G215" s="31" t="str">
        <f>IF('Input Sheet'!C217="","",100-'Input Sheet'!C217)</f>
        <v/>
      </c>
      <c r="H2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5" s="31" t="str">
        <f t="shared" si="3"/>
        <v/>
      </c>
      <c r="J2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5" s="31" t="str">
        <f>IF('Input Sheet'!F216=0, "NO",CONCATENATE('Input Sheet'!F216, IF('Input Sheet'!F216&gt;0,"% ","")))</f>
        <v>NO</v>
      </c>
      <c r="L2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5" s="31" t="str">
        <f>CONCATENATE(L215, IF('Input Sheet'!J217="",""," siderite in "))</f>
        <v/>
      </c>
      <c r="N2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5" s="31" t="str">
        <f>CONCATENATE(N215, IF('Input Sheet'!K217="",""," siderite in "))</f>
        <v/>
      </c>
    </row>
    <row r="216" spans="1:15" x14ac:dyDescent="0.35">
      <c r="A216" s="42" t="str">
        <f>IF('Input Sheet'!C218="","",CONCATENATE("Sample ", 'Input Sheet'!B218, "m: ", M216, G216, "% ", "Siltstone, ", O216, 'Input Sheet'!C218, "% ", I216, " Sandstone, ", K216, J216, " FLUOR in SST. ", "TG ", 'Input Sheet'!I218, "U"))</f>
        <v/>
      </c>
      <c r="B216" s="28" t="str">
        <f>IF('Input Sheet'!C218="","",CONCATENATE("Sample ", 'Input Sheet'!B218, "m: ", N216, H216, "% ", "Siltstone, ", P216, 'Input Sheet'!C218, "% ", J216, " Sandstone "))</f>
        <v/>
      </c>
      <c r="C216" s="28" t="str">
        <f>IF('Input Sheet'!C218="","",CONCATENATE("Sample ", 'Input Sheet'!B218, "m: ", M216,, K216, J216, " FLUOR in SST. ", "TG ", 'Input Sheet'!I218, "U"))</f>
        <v/>
      </c>
      <c r="G216" s="31" t="str">
        <f>IF('Input Sheet'!C218="","",100-'Input Sheet'!C218)</f>
        <v/>
      </c>
      <c r="H2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6" s="31" t="str">
        <f t="shared" si="3"/>
        <v/>
      </c>
      <c r="J2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6" s="31" t="str">
        <f>IF('Input Sheet'!F217=0, "NO",CONCATENATE('Input Sheet'!F217, IF('Input Sheet'!F217&gt;0,"% ","")))</f>
        <v>NO</v>
      </c>
      <c r="L2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6" s="31" t="str">
        <f>CONCATENATE(L216, IF('Input Sheet'!J218="",""," siderite in "))</f>
        <v/>
      </c>
      <c r="N2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6" s="31" t="str">
        <f>CONCATENATE(N216, IF('Input Sheet'!K218="",""," siderite in "))</f>
        <v/>
      </c>
    </row>
    <row r="217" spans="1:15" x14ac:dyDescent="0.35">
      <c r="A217" s="42" t="str">
        <f>IF('Input Sheet'!C219="","",CONCATENATE("Sample ", 'Input Sheet'!B219, "m: ", M217, G217, "% ", "Siltstone, ", O217, 'Input Sheet'!C219, "% ", I217, " Sandstone, ", K217, J217, " FLUOR in SST. ", "TG ", 'Input Sheet'!I219, "U"))</f>
        <v/>
      </c>
      <c r="B217" s="28" t="str">
        <f>IF('Input Sheet'!C219="","",CONCATENATE("Sample ", 'Input Sheet'!B219, "m: ", N217, H217, "% ", "Siltstone, ", P217, 'Input Sheet'!C219, "% ", J217, " Sandstone "))</f>
        <v/>
      </c>
      <c r="C217" s="28" t="str">
        <f>IF('Input Sheet'!C219="","",CONCATENATE("Sample ", 'Input Sheet'!B219, "m: ", M217,, K217, J217, " FLUOR in SST. ", "TG ", 'Input Sheet'!I219, "U"))</f>
        <v/>
      </c>
      <c r="G217" s="31" t="str">
        <f>IF('Input Sheet'!C219="","",100-'Input Sheet'!C219)</f>
        <v/>
      </c>
      <c r="H2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7" s="31" t="str">
        <f t="shared" si="3"/>
        <v/>
      </c>
      <c r="J2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7" s="31" t="str">
        <f>IF('Input Sheet'!F218=0, "NO",CONCATENATE('Input Sheet'!F218, IF('Input Sheet'!F218&gt;0,"% ","")))</f>
        <v>NO</v>
      </c>
      <c r="L2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7" s="31" t="str">
        <f>CONCATENATE(L217, IF('Input Sheet'!J219="",""," siderite in "))</f>
        <v/>
      </c>
      <c r="N2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7" s="31" t="str">
        <f>CONCATENATE(N217, IF('Input Sheet'!K219="",""," siderite in "))</f>
        <v/>
      </c>
    </row>
    <row r="218" spans="1:15" x14ac:dyDescent="0.35">
      <c r="A218" s="42" t="str">
        <f>IF('Input Sheet'!C220="","",CONCATENATE("Sample ", 'Input Sheet'!B220, "m: ", M218, G218, "% ", "Siltstone, ", O218, 'Input Sheet'!C220, "% ", I218, " Sandstone, ", K218, J218, " FLUOR in SST. ", "TG ", 'Input Sheet'!I220, "U"))</f>
        <v/>
      </c>
      <c r="B218" s="28" t="str">
        <f>IF('Input Sheet'!C220="","",CONCATENATE("Sample ", 'Input Sheet'!B220, "m: ", N218, H218, "% ", "Siltstone, ", P218, 'Input Sheet'!C220, "% ", J218, " Sandstone "))</f>
        <v/>
      </c>
      <c r="C218" s="28" t="str">
        <f>IF('Input Sheet'!C220="","",CONCATENATE("Sample ", 'Input Sheet'!B220, "m: ", M218,, K218, J218, " FLUOR in SST. ", "TG ", 'Input Sheet'!I220, "U"))</f>
        <v/>
      </c>
      <c r="G218" s="31" t="str">
        <f>IF('Input Sheet'!C220="","",100-'Input Sheet'!C220)</f>
        <v/>
      </c>
      <c r="H2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8" s="31" t="str">
        <f t="shared" si="3"/>
        <v/>
      </c>
      <c r="J2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8" s="31" t="str">
        <f>IF('Input Sheet'!F219=0, "NO",CONCATENATE('Input Sheet'!F219, IF('Input Sheet'!F219&gt;0,"% ","")))</f>
        <v>NO</v>
      </c>
      <c r="L2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8" s="31" t="str">
        <f>CONCATENATE(L218, IF('Input Sheet'!J220="",""," siderite in "))</f>
        <v/>
      </c>
      <c r="N2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8" s="31" t="str">
        <f>CONCATENATE(N218, IF('Input Sheet'!K220="",""," siderite in "))</f>
        <v/>
      </c>
    </row>
    <row r="219" spans="1:15" x14ac:dyDescent="0.35">
      <c r="A219" s="42" t="str">
        <f>IF('Input Sheet'!C221="","",CONCATENATE("Sample ", 'Input Sheet'!B221, "m: ", M219, G219, "% ", "Siltstone, ", O219, 'Input Sheet'!C221, "% ", I219, " Sandstone, ", K219, J219, " FLUOR in SST. ", "TG ", 'Input Sheet'!I221, "U"))</f>
        <v/>
      </c>
      <c r="B219" s="28" t="str">
        <f>IF('Input Sheet'!C221="","",CONCATENATE("Sample ", 'Input Sheet'!B221, "m: ", N219, H219, "% ", "Siltstone, ", P219, 'Input Sheet'!C221, "% ", J219, " Sandstone "))</f>
        <v/>
      </c>
      <c r="C219" s="28" t="str">
        <f>IF('Input Sheet'!C221="","",CONCATENATE("Sample ", 'Input Sheet'!B221, "m: ", M219,, K219, J219, " FLUOR in SST. ", "TG ", 'Input Sheet'!I221, "U"))</f>
        <v/>
      </c>
      <c r="G219" s="31" t="str">
        <f>IF('Input Sheet'!C221="","",100-'Input Sheet'!C221)</f>
        <v/>
      </c>
      <c r="H2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9" s="31" t="str">
        <f t="shared" si="3"/>
        <v/>
      </c>
      <c r="J2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9" s="31" t="str">
        <f>IF('Input Sheet'!F220=0, "NO",CONCATENATE('Input Sheet'!F220, IF('Input Sheet'!F220&gt;0,"% ","")))</f>
        <v>NO</v>
      </c>
      <c r="L2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9" s="31" t="str">
        <f>CONCATENATE(L219, IF('Input Sheet'!J221="",""," siderite in "))</f>
        <v/>
      </c>
      <c r="N2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9" s="31" t="str">
        <f>CONCATENATE(N219, IF('Input Sheet'!K221="",""," siderite in "))</f>
        <v/>
      </c>
    </row>
    <row r="220" spans="1:15" x14ac:dyDescent="0.35">
      <c r="A220" s="42" t="str">
        <f>IF('Input Sheet'!C222="","",CONCATENATE("Sample ", 'Input Sheet'!B222, "m: ", M220, G220, "% ", "Siltstone, ", O220, 'Input Sheet'!C222, "% ", I220, " Sandstone, ", K220, J220, " FLUOR in SST. ", "TG ", 'Input Sheet'!I222, "U"))</f>
        <v/>
      </c>
      <c r="B220" s="28" t="str">
        <f>IF('Input Sheet'!C222="","",CONCATENATE("Sample ", 'Input Sheet'!B222, "m: ", N220, H220, "% ", "Siltstone, ", P220, 'Input Sheet'!C222, "% ", J220, " Sandstone "))</f>
        <v/>
      </c>
      <c r="C220" s="28" t="str">
        <f>IF('Input Sheet'!C222="","",CONCATENATE("Sample ", 'Input Sheet'!B222, "m: ", M220,, K220, J220, " FLUOR in SST. ", "TG ", 'Input Sheet'!I222, "U"))</f>
        <v/>
      </c>
      <c r="G220" s="31" t="str">
        <f>IF('Input Sheet'!C222="","",100-'Input Sheet'!C222)</f>
        <v/>
      </c>
      <c r="H2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0" s="31" t="str">
        <f t="shared" si="3"/>
        <v/>
      </c>
      <c r="J2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0" s="31" t="str">
        <f>IF('Input Sheet'!F221=0, "NO",CONCATENATE('Input Sheet'!F221, IF('Input Sheet'!F221&gt;0,"% ","")))</f>
        <v>NO</v>
      </c>
      <c r="L2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0" s="31" t="str">
        <f>CONCATENATE(L220, IF('Input Sheet'!J222="",""," siderite in "))</f>
        <v/>
      </c>
      <c r="N2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0" s="31" t="str">
        <f>CONCATENATE(N220, IF('Input Sheet'!K222="",""," siderite in "))</f>
        <v/>
      </c>
    </row>
    <row r="221" spans="1:15" x14ac:dyDescent="0.35">
      <c r="A221" s="42" t="str">
        <f>IF('Input Sheet'!C223="","",CONCATENATE("Sample ", 'Input Sheet'!B223, "m: ", M221, G221, "% ", "Siltstone, ", O221, 'Input Sheet'!C223, "% ", I221, " Sandstone, ", K221, J221, " FLUOR in SST. ", "TG ", 'Input Sheet'!I223, "U"))</f>
        <v/>
      </c>
      <c r="B221" s="28" t="str">
        <f>IF('Input Sheet'!C223="","",CONCATENATE("Sample ", 'Input Sheet'!B223, "m: ", N221, H221, "% ", "Siltstone, ", P221, 'Input Sheet'!C223, "% ", J221, " Sandstone "))</f>
        <v/>
      </c>
      <c r="C221" s="28" t="str">
        <f>IF('Input Sheet'!C223="","",CONCATENATE("Sample ", 'Input Sheet'!B223, "m: ", M221,, K221, J221, " FLUOR in SST. ", "TG ", 'Input Sheet'!I223, "U"))</f>
        <v/>
      </c>
      <c r="G221" s="31" t="str">
        <f>IF('Input Sheet'!C223="","",100-'Input Sheet'!C223)</f>
        <v/>
      </c>
      <c r="H2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1" s="31" t="str">
        <f t="shared" si="3"/>
        <v/>
      </c>
      <c r="J2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1" s="31" t="str">
        <f>IF('Input Sheet'!F222=0, "NO",CONCATENATE('Input Sheet'!F222, IF('Input Sheet'!F222&gt;0,"% ","")))</f>
        <v>NO</v>
      </c>
      <c r="L2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1" s="31" t="str">
        <f>CONCATENATE(L221, IF('Input Sheet'!J223="",""," siderite in "))</f>
        <v/>
      </c>
      <c r="N2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1" s="31" t="str">
        <f>CONCATENATE(N221, IF('Input Sheet'!K223="",""," siderite in "))</f>
        <v/>
      </c>
    </row>
    <row r="222" spans="1:15" x14ac:dyDescent="0.35">
      <c r="A222" s="42" t="str">
        <f>IF('Input Sheet'!C224="","",CONCATENATE("Sample ", 'Input Sheet'!B224, "m: ", M222, G222, "% ", "Siltstone, ", O222, 'Input Sheet'!C224, "% ", I222, " Sandstone, ", K222, J222, " FLUOR in SST. ", "TG ", 'Input Sheet'!I224, "U"))</f>
        <v/>
      </c>
      <c r="B222" s="28" t="str">
        <f>IF('Input Sheet'!C224="","",CONCATENATE("Sample ", 'Input Sheet'!B224, "m: ", N222, H222, "% ", "Siltstone, ", P222, 'Input Sheet'!C224, "% ", J222, " Sandstone "))</f>
        <v/>
      </c>
      <c r="C222" s="28" t="str">
        <f>IF('Input Sheet'!C224="","",CONCATENATE("Sample ", 'Input Sheet'!B224, "m: ", M222,, K222, J222, " FLUOR in SST. ", "TG ", 'Input Sheet'!I224, "U"))</f>
        <v/>
      </c>
      <c r="G222" s="31" t="str">
        <f>IF('Input Sheet'!C224="","",100-'Input Sheet'!C224)</f>
        <v/>
      </c>
      <c r="H2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2" s="31" t="str">
        <f t="shared" si="3"/>
        <v/>
      </c>
      <c r="J2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2" s="31" t="str">
        <f>IF('Input Sheet'!F223=0, "NO",CONCATENATE('Input Sheet'!F223, IF('Input Sheet'!F223&gt;0,"% ","")))</f>
        <v>NO</v>
      </c>
      <c r="L2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2" s="31" t="str">
        <f>CONCATENATE(L222, IF('Input Sheet'!J224="",""," siderite in "))</f>
        <v/>
      </c>
      <c r="N2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2" s="31" t="str">
        <f>CONCATENATE(N222, IF('Input Sheet'!K224="",""," siderite in "))</f>
        <v/>
      </c>
    </row>
    <row r="223" spans="1:15" x14ac:dyDescent="0.35">
      <c r="A223" s="42" t="str">
        <f>IF('Input Sheet'!C225="","",CONCATENATE("Sample ", 'Input Sheet'!B225, "m: ", M223, G223, "% ", "Siltstone, ", O223, 'Input Sheet'!C225, "% ", I223, " Sandstone, ", K223, J223, " FLUOR in SST. ", "TG ", 'Input Sheet'!I225, "U"))</f>
        <v/>
      </c>
      <c r="B223" s="28" t="str">
        <f>IF('Input Sheet'!C225="","",CONCATENATE("Sample ", 'Input Sheet'!B225, "m: ", N223, H223, "% ", "Siltstone, ", P223, 'Input Sheet'!C225, "% ", J223, " Sandstone "))</f>
        <v/>
      </c>
      <c r="C223" s="28" t="str">
        <f>IF('Input Sheet'!C225="","",CONCATENATE("Sample ", 'Input Sheet'!B225, "m: ", M223,, K223, J223, " FLUOR in SST. ", "TG ", 'Input Sheet'!I225, "U"))</f>
        <v/>
      </c>
      <c r="G223" s="31" t="str">
        <f>IF('Input Sheet'!C225="","",100-'Input Sheet'!C225)</f>
        <v/>
      </c>
      <c r="H2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3" s="31" t="str">
        <f t="shared" si="3"/>
        <v/>
      </c>
      <c r="J2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3" s="31" t="str">
        <f>IF('Input Sheet'!F224=0, "NO",CONCATENATE('Input Sheet'!F224, IF('Input Sheet'!F224&gt;0,"% ","")))</f>
        <v>NO</v>
      </c>
      <c r="L2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3" s="31" t="str">
        <f>CONCATENATE(L223, IF('Input Sheet'!J225="",""," siderite in "))</f>
        <v/>
      </c>
      <c r="N223" s="31"/>
      <c r="O223" s="31" t="str">
        <f>CONCATENATE(N223, IF('Input Sheet'!K225="",""," siderite in "))</f>
        <v/>
      </c>
    </row>
    <row r="224" spans="1:15" x14ac:dyDescent="0.35">
      <c r="A224" s="42" t="str">
        <f>IF('Input Sheet'!C226="","",CONCATENATE("Sample ", 'Input Sheet'!B226, "m: ", M224, G224, "% ", "Siltstone, ", O224, 'Input Sheet'!C226, "% ", I224, " Sandstone, ", K224, J224, " FLUOR in SST. ", "TG ", 'Input Sheet'!I226, "U"))</f>
        <v/>
      </c>
      <c r="B224" s="28" t="str">
        <f>IF('Input Sheet'!C226="","",CONCATENATE("Sample ", 'Input Sheet'!B226, "m: ", N224, H224, "% ", "Siltstone, ", P224, 'Input Sheet'!C226, "% ", J224, " Sandstone "))</f>
        <v/>
      </c>
      <c r="C224" s="28" t="str">
        <f>IF('Input Sheet'!C226="","",CONCATENATE("Sample ", 'Input Sheet'!B226, "m: ", M224,, K224, J224, " FLUOR in SST. ", "TG ", 'Input Sheet'!I226, "U"))</f>
        <v/>
      </c>
      <c r="G224" s="31" t="str">
        <f>IF('Input Sheet'!C226="","",100-'Input Sheet'!C226)</f>
        <v/>
      </c>
      <c r="H2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4" s="31" t="str">
        <f t="shared" si="3"/>
        <v/>
      </c>
      <c r="J2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4" s="31" t="str">
        <f>IF('Input Sheet'!F225=0, "NO",CONCATENATE('Input Sheet'!F225, IF('Input Sheet'!F225&gt;0,"% ","")))</f>
        <v>NO</v>
      </c>
      <c r="L2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4" s="31" t="str">
        <f>CONCATENATE(L224, IF('Input Sheet'!J226="",""," siderite in "))</f>
        <v/>
      </c>
      <c r="N2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4" s="31" t="str">
        <f>CONCATENATE(N224, IF('Input Sheet'!K226="",""," siderite in "))</f>
        <v/>
      </c>
    </row>
    <row r="225" spans="1:15" x14ac:dyDescent="0.35">
      <c r="A225" s="42" t="str">
        <f>IF('Input Sheet'!C227="","",CONCATENATE("Sample ", 'Input Sheet'!B227, "m: ", M225, G225, "% ", "Siltstone, ", O225, 'Input Sheet'!C227, "% ", I225, " Sandstone, ", K225, J225, " FLUOR in SST. ", "TG ", 'Input Sheet'!I227, "U"))</f>
        <v/>
      </c>
      <c r="B225" s="28" t="str">
        <f>IF('Input Sheet'!C227="","",CONCATENATE("Sample ", 'Input Sheet'!B227, "m: ", N225, H225, "% ", "Siltstone, ", P225, 'Input Sheet'!C227, "% ", J225, " Sandstone "))</f>
        <v/>
      </c>
      <c r="C225" s="28" t="str">
        <f>IF('Input Sheet'!C227="","",CONCATENATE("Sample ", 'Input Sheet'!B227, "m: ", M225,, K225, J225, " FLUOR in SST. ", "TG ", 'Input Sheet'!I227, "U"))</f>
        <v/>
      </c>
      <c r="G225" s="31" t="str">
        <f>IF('Input Sheet'!C227="","",100-'Input Sheet'!C227)</f>
        <v/>
      </c>
      <c r="H2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5" s="31" t="str">
        <f t="shared" si="3"/>
        <v/>
      </c>
      <c r="J2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5" s="31" t="str">
        <f>IF('Input Sheet'!F226=0, "NO",CONCATENATE('Input Sheet'!F226, IF('Input Sheet'!F226&gt;0,"% ","")))</f>
        <v>NO</v>
      </c>
      <c r="L2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5" s="31" t="str">
        <f>CONCATENATE(L225, IF('Input Sheet'!J227="",""," siderite in "))</f>
        <v/>
      </c>
      <c r="N2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5" s="31" t="str">
        <f>CONCATENATE(N225, IF('Input Sheet'!K227="",""," siderite in "))</f>
        <v/>
      </c>
    </row>
    <row r="226" spans="1:15" x14ac:dyDescent="0.35">
      <c r="A226" s="42" t="str">
        <f>IF('Input Sheet'!C228="","",CONCATENATE("Sample ", 'Input Sheet'!B228, "m: ", M226, G226, "% ", "Siltstone, ", O226, 'Input Sheet'!C228, "% ", I226, " Sandstone, ", K226, J226, " FLUOR in SST. ", "TG ", 'Input Sheet'!I228, "U"))</f>
        <v/>
      </c>
      <c r="B226" s="28" t="str">
        <f>IF('Input Sheet'!C228="","",CONCATENATE("Sample ", 'Input Sheet'!B228, "m: ", N226, H226, "% ", "Siltstone, ", P226, 'Input Sheet'!C228, "% ", J226, " Sandstone "))</f>
        <v/>
      </c>
      <c r="C226" s="28" t="str">
        <f>IF('Input Sheet'!C228="","",CONCATENATE("Sample ", 'Input Sheet'!B228, "m: ", M226,, K226, J226, " FLUOR in SST. ", "TG ", 'Input Sheet'!I228, "U"))</f>
        <v/>
      </c>
      <c r="G226" s="31" t="str">
        <f>IF('Input Sheet'!C228="","",100-'Input Sheet'!C228)</f>
        <v/>
      </c>
      <c r="H2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6" s="31" t="str">
        <f t="shared" si="3"/>
        <v/>
      </c>
      <c r="J2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6" s="31" t="str">
        <f>IF('Input Sheet'!F227=0, "NO",CONCATENATE('Input Sheet'!F227, IF('Input Sheet'!F227&gt;0,"% ","")))</f>
        <v>NO</v>
      </c>
      <c r="L2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6" s="31" t="str">
        <f>CONCATENATE(L226, IF('Input Sheet'!J228="",""," siderite in "))</f>
        <v/>
      </c>
      <c r="N2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6" s="31" t="str">
        <f>CONCATENATE(N226, IF('Input Sheet'!K228="",""," siderite in "))</f>
        <v/>
      </c>
    </row>
    <row r="227" spans="1:15" x14ac:dyDescent="0.35">
      <c r="A227" s="42" t="str">
        <f>IF('Input Sheet'!C229="","",CONCATENATE("Sample ", 'Input Sheet'!B229, "m: ", M227, G227, "% ", "Siltstone, ", O227, 'Input Sheet'!C229, "% ", I227, " Sandstone, ", K227, J227, " FLUOR in SST. ", "TG ", 'Input Sheet'!I229, "U"))</f>
        <v/>
      </c>
      <c r="B227" s="28" t="str">
        <f>IF('Input Sheet'!C229="","",CONCATENATE("Sample ", 'Input Sheet'!B229, "m: ", N227, H227, "% ", "Siltstone, ", P227, 'Input Sheet'!C229, "% ", J227, " Sandstone "))</f>
        <v/>
      </c>
      <c r="C227" s="28" t="str">
        <f>IF('Input Sheet'!C229="","",CONCATENATE("Sample ", 'Input Sheet'!B229, "m: ", M227,, K227, J227, " FLUOR in SST. ", "TG ", 'Input Sheet'!I229, "U"))</f>
        <v/>
      </c>
      <c r="G227" s="31" t="str">
        <f>IF('Input Sheet'!C229="","",100-'Input Sheet'!C229)</f>
        <v/>
      </c>
      <c r="H2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7" s="31" t="str">
        <f t="shared" si="3"/>
        <v/>
      </c>
      <c r="J2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7" s="31" t="str">
        <f>IF('Input Sheet'!F228=0, "NO",CONCATENATE('Input Sheet'!F228, IF('Input Sheet'!F228&gt;0,"% ","")))</f>
        <v>NO</v>
      </c>
      <c r="L2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7" s="31" t="str">
        <f>CONCATENATE(L227, IF('Input Sheet'!J229="",""," siderite in "))</f>
        <v/>
      </c>
      <c r="N2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7" s="31" t="str">
        <f>CONCATENATE(N227, IF('Input Sheet'!K229="",""," siderite in "))</f>
        <v/>
      </c>
    </row>
    <row r="228" spans="1:15" x14ac:dyDescent="0.35">
      <c r="A228" s="42" t="str">
        <f>IF('Input Sheet'!C230="","",CONCATENATE("Sample ", 'Input Sheet'!B230, "m: ", M228, G228, "% ", "Siltstone, ", O228, 'Input Sheet'!C230, "% ", I228, " Sandstone, ", K228, J228, " FLUOR in SST. ", "TG ", 'Input Sheet'!I230, "U"))</f>
        <v/>
      </c>
      <c r="B228" s="28" t="str">
        <f>IF('Input Sheet'!C230="","",CONCATENATE("Sample ", 'Input Sheet'!B230, "m: ", N228, H228, "% ", "Siltstone, ", P228, 'Input Sheet'!C230, "% ", J228, " Sandstone "))</f>
        <v/>
      </c>
      <c r="C228" s="28" t="str">
        <f>IF('Input Sheet'!C230="","",CONCATENATE("Sample ", 'Input Sheet'!B230, "m: ", M228,, K228, J228, " FLUOR in SST. ", "TG ", 'Input Sheet'!I230, "U"))</f>
        <v/>
      </c>
      <c r="G228" s="31" t="str">
        <f>IF('Input Sheet'!C230="","",100-'Input Sheet'!C230)</f>
        <v/>
      </c>
      <c r="H2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8" s="31" t="str">
        <f t="shared" si="3"/>
        <v/>
      </c>
      <c r="J2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8" s="31" t="str">
        <f>IF('Input Sheet'!F229=0, "NO",CONCATENATE('Input Sheet'!F229, IF('Input Sheet'!F229&gt;0,"% ","")))</f>
        <v>NO</v>
      </c>
      <c r="L2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8" s="31" t="str">
        <f>CONCATENATE(L228, IF('Input Sheet'!J230="",""," siderite in "))</f>
        <v/>
      </c>
      <c r="N2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8" s="31" t="str">
        <f>CONCATENATE(N228, IF('Input Sheet'!K230="",""," siderite in "))</f>
        <v/>
      </c>
    </row>
    <row r="229" spans="1:15" x14ac:dyDescent="0.35">
      <c r="A229" s="42" t="str">
        <f>IF('Input Sheet'!C231="","",CONCATENATE("Sample ", 'Input Sheet'!B231, "m: ", M229, G229, "% ", "Siltstone, ", O229, 'Input Sheet'!C231, "% ", I229, " Sandstone, ", K229, J229, " FLUOR in SST. ", "TG ", 'Input Sheet'!I231, "U"))</f>
        <v/>
      </c>
      <c r="B229" s="28" t="str">
        <f>IF('Input Sheet'!C231="","",CONCATENATE("Sample ", 'Input Sheet'!B231, "m: ", N229, H229, "% ", "Siltstone, ", P229, 'Input Sheet'!C231, "% ", J229, " Sandstone "))</f>
        <v/>
      </c>
      <c r="C229" s="28" t="str">
        <f>IF('Input Sheet'!C231="","",CONCATENATE("Sample ", 'Input Sheet'!B231, "m: ", M229,, K229, J229, " FLUOR in SST. ", "TG ", 'Input Sheet'!I231, "U"))</f>
        <v/>
      </c>
      <c r="G229" s="31" t="str">
        <f>IF('Input Sheet'!C231="","",100-'Input Sheet'!C231)</f>
        <v/>
      </c>
      <c r="H2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9" s="31" t="str">
        <f t="shared" si="3"/>
        <v/>
      </c>
      <c r="J2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9" s="31" t="str">
        <f>IF('Input Sheet'!F230=0, "NO",CONCATENATE('Input Sheet'!F230, IF('Input Sheet'!F230&gt;0,"% ","")))</f>
        <v>NO</v>
      </c>
      <c r="L2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9" s="31" t="str">
        <f>CONCATENATE(L229, IF('Input Sheet'!J231="",""," siderite in "))</f>
        <v/>
      </c>
      <c r="N2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9" s="31" t="str">
        <f>CONCATENATE(N229, IF('Input Sheet'!K231="",""," siderite in "))</f>
        <v/>
      </c>
    </row>
    <row r="230" spans="1:15" x14ac:dyDescent="0.35">
      <c r="A230" s="42" t="str">
        <f>IF('Input Sheet'!C232="","",CONCATENATE("Sample ", 'Input Sheet'!B232, "m: ", M230, G230, "% ", "Siltstone, ", O230, 'Input Sheet'!C232, "% ", I230, " Sandstone, ", K230, J230, " FLUOR in SST. ", "TG ", 'Input Sheet'!I232, "U"))</f>
        <v/>
      </c>
      <c r="B230" s="28" t="str">
        <f>IF('Input Sheet'!C232="","",CONCATENATE("Sample ", 'Input Sheet'!B232, "m: ", N230, H230, "% ", "Siltstone, ", P230, 'Input Sheet'!C232, "% ", J230, " Sandstone "))</f>
        <v/>
      </c>
      <c r="C230" s="28" t="str">
        <f>IF('Input Sheet'!C232="","",CONCATENATE("Sample ", 'Input Sheet'!B232, "m: ", M230,, K230, J230, " FLUOR in SST. ", "TG ", 'Input Sheet'!I232, "U"))</f>
        <v/>
      </c>
      <c r="G230" s="31" t="str">
        <f>IF('Input Sheet'!C232="","",100-'Input Sheet'!C232)</f>
        <v/>
      </c>
      <c r="H2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0" s="31" t="str">
        <f t="shared" si="3"/>
        <v/>
      </c>
      <c r="J2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0" s="31" t="str">
        <f>IF('Input Sheet'!F231=0, "NO",CONCATENATE('Input Sheet'!F231, IF('Input Sheet'!F231&gt;0,"% ","")))</f>
        <v>NO</v>
      </c>
      <c r="L2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0" s="31" t="str">
        <f>CONCATENATE(L230, IF('Input Sheet'!J232="",""," siderite in "))</f>
        <v/>
      </c>
      <c r="N2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0" s="31" t="str">
        <f>CONCATENATE(N230, IF('Input Sheet'!K232="",""," siderite in "))</f>
        <v/>
      </c>
    </row>
    <row r="231" spans="1:15" x14ac:dyDescent="0.35">
      <c r="A231" s="42" t="str">
        <f>IF('Input Sheet'!C233="","",CONCATENATE("Sample ", 'Input Sheet'!B233, "m: ", M231, G231, "% ", "Siltstone, ", O231, 'Input Sheet'!C233, "% ", I231, " Sandstone, ", K231, J231, " FLUOR in SST. ", "TG ", 'Input Sheet'!I233, "U"))</f>
        <v/>
      </c>
      <c r="B231" s="28" t="str">
        <f>IF('Input Sheet'!C233="","",CONCATENATE("Sample ", 'Input Sheet'!B233, "m: ", N231, H231, "% ", "Siltstone, ", P231, 'Input Sheet'!C233, "% ", J231, " Sandstone "))</f>
        <v/>
      </c>
      <c r="C231" s="28" t="str">
        <f>IF('Input Sheet'!C233="","",CONCATENATE("Sample ", 'Input Sheet'!B233, "m: ", M231,, K231, J231, " FLUOR in SST. ", "TG ", 'Input Sheet'!I233, "U"))</f>
        <v/>
      </c>
      <c r="G231" s="31" t="str">
        <f>IF('Input Sheet'!C233="","",100-'Input Sheet'!C233)</f>
        <v/>
      </c>
      <c r="H2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1" s="31" t="str">
        <f t="shared" si="3"/>
        <v/>
      </c>
      <c r="J2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1" s="31" t="str">
        <f>IF('Input Sheet'!F232=0, "NO",CONCATENATE('Input Sheet'!F232, IF('Input Sheet'!F232&gt;0,"% ","")))</f>
        <v>NO</v>
      </c>
      <c r="L2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1" s="31" t="str">
        <f>CONCATENATE(L231, IF('Input Sheet'!J233="",""," siderite in "))</f>
        <v/>
      </c>
      <c r="N2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1" s="31" t="str">
        <f>CONCATENATE(N231, IF('Input Sheet'!K233="",""," siderite in "))</f>
        <v/>
      </c>
    </row>
    <row r="232" spans="1:15" x14ac:dyDescent="0.35">
      <c r="A232" s="42" t="str">
        <f>IF('Input Sheet'!C234="","",CONCATENATE("Sample ", 'Input Sheet'!B234, "m: ", M232, G232, "% ", "Siltstone, ", O232, 'Input Sheet'!C234, "% ", I232, " Sandstone, ", K232, J232, " FLUOR in SST. ", "TG ", 'Input Sheet'!I234, "U"))</f>
        <v/>
      </c>
      <c r="B232" s="28" t="str">
        <f>IF('Input Sheet'!C234="","",CONCATENATE("Sample ", 'Input Sheet'!B234, "m: ", N232, H232, "% ", "Siltstone, ", P232, 'Input Sheet'!C234, "% ", J232, " Sandstone "))</f>
        <v/>
      </c>
      <c r="C232" s="28" t="str">
        <f>IF('Input Sheet'!C234="","",CONCATENATE("Sample ", 'Input Sheet'!B234, "m: ", M232,, K232, J232, " FLUOR in SST. ", "TG ", 'Input Sheet'!I234, "U"))</f>
        <v/>
      </c>
      <c r="G232" s="31" t="str">
        <f>IF('Input Sheet'!C234="","",100-'Input Sheet'!C234)</f>
        <v/>
      </c>
      <c r="H2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2" s="31" t="str">
        <f t="shared" si="3"/>
        <v/>
      </c>
      <c r="J2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2" s="31" t="str">
        <f>IF('Input Sheet'!F233=0, "NO",CONCATENATE('Input Sheet'!F233, IF('Input Sheet'!F233&gt;0,"% ","")))</f>
        <v>NO</v>
      </c>
      <c r="L2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2" s="31" t="str">
        <f>CONCATENATE(L232, IF('Input Sheet'!J234="",""," siderite in "))</f>
        <v/>
      </c>
      <c r="N2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2" s="31" t="str">
        <f>CONCATENATE(N232, IF('Input Sheet'!K234="",""," siderite in "))</f>
        <v/>
      </c>
    </row>
    <row r="233" spans="1:15" x14ac:dyDescent="0.35">
      <c r="A233" s="42" t="str">
        <f>IF('Input Sheet'!C235="","",CONCATENATE("Sample ", 'Input Sheet'!B235, "m: ", M233, G233, "% ", "Siltstone, ", O233, 'Input Sheet'!C235, "% ", I233, " Sandstone, ", K233, J233, " FLUOR in SST. ", "TG ", 'Input Sheet'!I235, "U"))</f>
        <v/>
      </c>
      <c r="B233" s="28" t="str">
        <f>IF('Input Sheet'!C235="","",CONCATENATE("Sample ", 'Input Sheet'!B235, "m: ", N233, H233, "% ", "Siltstone, ", P233, 'Input Sheet'!C235, "% ", J233, " Sandstone "))</f>
        <v/>
      </c>
      <c r="C233" s="28" t="str">
        <f>IF('Input Sheet'!C235="","",CONCATENATE("Sample ", 'Input Sheet'!B235, "m: ", M233,, K233, J233, " FLUOR in SST. ", "TG ", 'Input Sheet'!I235, "U"))</f>
        <v/>
      </c>
      <c r="G233" s="31" t="str">
        <f>IF('Input Sheet'!C235="","",100-'Input Sheet'!C235)</f>
        <v/>
      </c>
      <c r="H2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3" s="31" t="str">
        <f t="shared" si="3"/>
        <v/>
      </c>
      <c r="J2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3" s="31" t="str">
        <f>IF('Input Sheet'!F234=0, "NO",CONCATENATE('Input Sheet'!F234, IF('Input Sheet'!F234&gt;0,"% ","")))</f>
        <v>NO</v>
      </c>
      <c r="L2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3" s="31" t="str">
        <f>CONCATENATE(L233, IF('Input Sheet'!J235="",""," siderite in "))</f>
        <v/>
      </c>
      <c r="N2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3" s="31" t="str">
        <f>CONCATENATE(N233, IF('Input Sheet'!K235="",""," siderite in "))</f>
        <v/>
      </c>
    </row>
    <row r="234" spans="1:15" x14ac:dyDescent="0.35">
      <c r="A234" s="42" t="str">
        <f>IF('Input Sheet'!C236="","",CONCATENATE("Sample ", 'Input Sheet'!B236, "m: ", M234, G234, "% ", "Siltstone, ", O234, 'Input Sheet'!C236, "% ", I234, " Sandstone, ", K234, J234, " FLUOR in SST. ", "TG ", 'Input Sheet'!I236, "U"))</f>
        <v/>
      </c>
      <c r="B234" s="28" t="str">
        <f>IF('Input Sheet'!C236="","",CONCATENATE("Sample ", 'Input Sheet'!B236, "m: ", N234, H234, "% ", "Siltstone, ", P234, 'Input Sheet'!C236, "% ", J234, " Sandstone "))</f>
        <v/>
      </c>
      <c r="C234" s="28" t="str">
        <f>IF('Input Sheet'!C236="","",CONCATENATE("Sample ", 'Input Sheet'!B236, "m: ", M234,, K234, J234, " FLUOR in SST. ", "TG ", 'Input Sheet'!I236, "U"))</f>
        <v/>
      </c>
      <c r="G234" s="31" t="str">
        <f>IF('Input Sheet'!C236="","",100-'Input Sheet'!C236)</f>
        <v/>
      </c>
      <c r="H2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4" s="31" t="str">
        <f t="shared" si="3"/>
        <v/>
      </c>
      <c r="J2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4" s="31" t="str">
        <f>IF('Input Sheet'!F235=0, "NO",CONCATENATE('Input Sheet'!F235, IF('Input Sheet'!F235&gt;0,"% ","")))</f>
        <v>NO</v>
      </c>
      <c r="L2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4" s="31" t="str">
        <f>CONCATENATE(L234, IF('Input Sheet'!J236="",""," siderite in "))</f>
        <v/>
      </c>
      <c r="N2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4" s="31" t="str">
        <f>CONCATENATE(N234, IF('Input Sheet'!K236="",""," siderite in "))</f>
        <v/>
      </c>
    </row>
    <row r="235" spans="1:15" x14ac:dyDescent="0.35">
      <c r="A235" s="42" t="str">
        <f>IF('Input Sheet'!C237="","",CONCATENATE("Sample ", 'Input Sheet'!B237, "m: ", M235, G235, "% ", "Siltstone, ", O235, 'Input Sheet'!C237, "% ", I235, " Sandstone, ", K235, J235, " FLUOR in SST. ", "TG ", 'Input Sheet'!I237, "U"))</f>
        <v/>
      </c>
      <c r="B235" s="28" t="str">
        <f>IF('Input Sheet'!C237="","",CONCATENATE("Sample ", 'Input Sheet'!B237, "m: ", N235, H235, "% ", "Siltstone, ", P235, 'Input Sheet'!C237, "% ", J235, " Sandstone "))</f>
        <v/>
      </c>
      <c r="C235" s="28" t="str">
        <f>IF('Input Sheet'!C237="","",CONCATENATE("Sample ", 'Input Sheet'!B237, "m: ", M235,, K235, J235, " FLUOR in SST. ", "TG ", 'Input Sheet'!I237, "U"))</f>
        <v/>
      </c>
      <c r="G235" s="31" t="str">
        <f>IF('Input Sheet'!C237="","",100-'Input Sheet'!C237)</f>
        <v/>
      </c>
      <c r="H2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5" s="31" t="str">
        <f t="shared" si="3"/>
        <v/>
      </c>
      <c r="J2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5" s="31" t="str">
        <f>IF('Input Sheet'!F236=0, "NO",CONCATENATE('Input Sheet'!F236, IF('Input Sheet'!F236&gt;0,"% ","")))</f>
        <v>NO</v>
      </c>
      <c r="L2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5" s="31" t="str">
        <f>CONCATENATE(L235, IF('Input Sheet'!J237="",""," siderite in "))</f>
        <v/>
      </c>
      <c r="N2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5" s="31" t="str">
        <f>CONCATENATE(N235, IF('Input Sheet'!K237="",""," siderite in "))</f>
        <v/>
      </c>
    </row>
    <row r="236" spans="1:15" x14ac:dyDescent="0.35">
      <c r="A236" s="42" t="str">
        <f>IF('Input Sheet'!C238="","",CONCATENATE("Sample ", 'Input Sheet'!B238, "m: ", M236, G236, "% ", "Siltstone, ", O236, 'Input Sheet'!C238, "% ", I236, " Sandstone, ", K236, J236, " FLUOR in SST. ", "TG ", 'Input Sheet'!I238, "U"))</f>
        <v/>
      </c>
      <c r="B236" s="28" t="str">
        <f>IF('Input Sheet'!C238="","",CONCATENATE("Sample ", 'Input Sheet'!B238, "m: ", N236, H236, "% ", "Siltstone, ", P236, 'Input Sheet'!C238, "% ", J236, " Sandstone "))</f>
        <v/>
      </c>
      <c r="C236" s="28" t="str">
        <f>IF('Input Sheet'!C238="","",CONCATENATE("Sample ", 'Input Sheet'!B238, "m: ", M236,, K236, J236, " FLUOR in SST. ", "TG ", 'Input Sheet'!I238, "U"))</f>
        <v/>
      </c>
      <c r="G236" s="31" t="str">
        <f>IF('Input Sheet'!C238="","",100-'Input Sheet'!C238)</f>
        <v/>
      </c>
      <c r="H2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6" s="31" t="str">
        <f t="shared" si="3"/>
        <v/>
      </c>
      <c r="J2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6" s="31" t="str">
        <f>IF('Input Sheet'!F237=0, "NO",CONCATENATE('Input Sheet'!F237, IF('Input Sheet'!F237&gt;0,"% ","")))</f>
        <v>NO</v>
      </c>
      <c r="L2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6" s="31" t="str">
        <f>CONCATENATE(L236, IF('Input Sheet'!J238="",""," siderite in "))</f>
        <v/>
      </c>
      <c r="N2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6" s="31" t="str">
        <f>CONCATENATE(N236, IF('Input Sheet'!K238="",""," siderite in "))</f>
        <v/>
      </c>
    </row>
    <row r="237" spans="1:15" x14ac:dyDescent="0.35">
      <c r="A237" s="42" t="str">
        <f>IF('Input Sheet'!C239="","",CONCATENATE("Sample ", 'Input Sheet'!B239, "m: ", M237, G237, "% ", "Siltstone, ", O237, 'Input Sheet'!C239, "% ", I237, " Sandstone, ", K237, J237, " FLUOR in SST. ", "TG ", 'Input Sheet'!I239, "U"))</f>
        <v/>
      </c>
      <c r="B237" s="28" t="str">
        <f>IF('Input Sheet'!C239="","",CONCATENATE("Sample ", 'Input Sheet'!B239, "m: ", N237, H237, "% ", "Siltstone, ", P237, 'Input Sheet'!C239, "% ", J237, " Sandstone "))</f>
        <v/>
      </c>
      <c r="C237" s="28" t="str">
        <f>IF('Input Sheet'!C239="","",CONCATENATE("Sample ", 'Input Sheet'!B239, "m: ", M237,, K237, J237, " FLUOR in SST. ", "TG ", 'Input Sheet'!I239, "U"))</f>
        <v/>
      </c>
      <c r="G237" s="31" t="str">
        <f>IF('Input Sheet'!C239="","",100-'Input Sheet'!C239)</f>
        <v/>
      </c>
      <c r="H2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7" s="31" t="str">
        <f t="shared" si="3"/>
        <v/>
      </c>
      <c r="J2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7" s="31" t="str">
        <f>IF('Input Sheet'!F238=0, "NO",CONCATENATE('Input Sheet'!F238, IF('Input Sheet'!F238&gt;0,"% ","")))</f>
        <v>NO</v>
      </c>
      <c r="L2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7" s="31" t="str">
        <f>CONCATENATE(L237, IF('Input Sheet'!J239="",""," siderite in "))</f>
        <v/>
      </c>
      <c r="N2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7" s="31" t="str">
        <f>CONCATENATE(N237, IF('Input Sheet'!K239="",""," siderite in "))</f>
        <v/>
      </c>
    </row>
    <row r="238" spans="1:15" x14ac:dyDescent="0.35">
      <c r="A238" s="42" t="str">
        <f>IF('Input Sheet'!C240="","",CONCATENATE("Sample ", 'Input Sheet'!B240, "m: ", M238, G238, "% ", "Siltstone, ", O238, 'Input Sheet'!C240, "% ", I238, " Sandstone, ", K238, J238, " FLUOR in SST. ", "TG ", 'Input Sheet'!I240, "U"))</f>
        <v/>
      </c>
      <c r="B238" s="28" t="str">
        <f>IF('Input Sheet'!C240="","",CONCATENATE("Sample ", 'Input Sheet'!B240, "m: ", N238, H238, "% ", "Siltstone, ", P238, 'Input Sheet'!C240, "% ", J238, " Sandstone "))</f>
        <v/>
      </c>
      <c r="C238" s="28" t="str">
        <f>IF('Input Sheet'!C240="","",CONCATENATE("Sample ", 'Input Sheet'!B240, "m: ", M238,, K238, J238, " FLUOR in SST. ", "TG ", 'Input Sheet'!I240, "U"))</f>
        <v/>
      </c>
      <c r="G238" s="31" t="str">
        <f>IF('Input Sheet'!C240="","",100-'Input Sheet'!C240)</f>
        <v/>
      </c>
      <c r="H2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8" s="31" t="str">
        <f t="shared" si="3"/>
        <v/>
      </c>
      <c r="J2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8" s="31" t="str">
        <f>IF('Input Sheet'!F239=0, "NO",CONCATENATE('Input Sheet'!F239, IF('Input Sheet'!F239&gt;0,"% ","")))</f>
        <v>NO</v>
      </c>
      <c r="L2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8" s="31" t="str">
        <f>CONCATENATE(L238, IF('Input Sheet'!J240="",""," siderite in "))</f>
        <v/>
      </c>
      <c r="N2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8" s="31" t="str">
        <f>CONCATENATE(N238, IF('Input Sheet'!K240="",""," siderite in "))</f>
        <v/>
      </c>
    </row>
    <row r="239" spans="1:15" x14ac:dyDescent="0.35">
      <c r="A239" s="42" t="str">
        <f>IF('Input Sheet'!C241="","",CONCATENATE("Sample ", 'Input Sheet'!B241, "m: ", M239, G239, "% ", "Siltstone, ", O239, 'Input Sheet'!C241, "% ", I239, " Sandstone, ", K239, J239, " FLUOR in SST. ", "TG ", 'Input Sheet'!I241, "U"))</f>
        <v/>
      </c>
      <c r="B239" s="28" t="str">
        <f>IF('Input Sheet'!C241="","",CONCATENATE("Sample ", 'Input Sheet'!B241, "m: ", N239, H239, "% ", "Siltstone, ", P239, 'Input Sheet'!C241, "% ", J239, " Sandstone "))</f>
        <v/>
      </c>
      <c r="C239" s="28" t="str">
        <f>IF('Input Sheet'!C241="","",CONCATENATE("Sample ", 'Input Sheet'!B241, "m: ", M239,, K239, J239, " FLUOR in SST. ", "TG ", 'Input Sheet'!I241, "U"))</f>
        <v/>
      </c>
      <c r="G239" s="31" t="str">
        <f>IF('Input Sheet'!C241="","",100-'Input Sheet'!C241)</f>
        <v/>
      </c>
      <c r="H2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9" s="31" t="str">
        <f t="shared" si="3"/>
        <v/>
      </c>
      <c r="J2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9" s="31" t="str">
        <f>IF('Input Sheet'!F240=0, "NO",CONCATENATE('Input Sheet'!F240, IF('Input Sheet'!F240&gt;0,"% ","")))</f>
        <v>NO</v>
      </c>
      <c r="L2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9" s="31" t="str">
        <f>CONCATENATE(L239, IF('Input Sheet'!J241="",""," siderite in "))</f>
        <v/>
      </c>
      <c r="N2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9" s="31" t="str">
        <f>CONCATENATE(N239, IF('Input Sheet'!K241="",""," siderite in "))</f>
        <v/>
      </c>
    </row>
    <row r="240" spans="1:15" x14ac:dyDescent="0.35">
      <c r="A240" s="42" t="str">
        <f>IF('Input Sheet'!C242="","",CONCATENATE("Sample ", 'Input Sheet'!B242, "m: ", M240, G240, "% ", "Siltstone, ", O240, 'Input Sheet'!C242, "% ", I240, " Sandstone, ", K240, J240, " FLUOR in SST. ", "TG ", 'Input Sheet'!I242, "U"))</f>
        <v/>
      </c>
      <c r="B240" s="28" t="str">
        <f>IF('Input Sheet'!C242="","",CONCATENATE("Sample ", 'Input Sheet'!B242, "m: ", N240, H240, "% ", "Siltstone, ", P240, 'Input Sheet'!C242, "% ", J240, " Sandstone "))</f>
        <v/>
      </c>
      <c r="C240" s="28" t="str">
        <f>IF('Input Sheet'!C242="","",CONCATENATE("Sample ", 'Input Sheet'!B242, "m: ", M240,, K240, J240, " FLUOR in SST. ", "TG ", 'Input Sheet'!I242, "U"))</f>
        <v/>
      </c>
      <c r="G240" s="31" t="str">
        <f>IF('Input Sheet'!C242="","",100-'Input Sheet'!C242)</f>
        <v/>
      </c>
      <c r="H2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0" s="31" t="str">
        <f t="shared" si="3"/>
        <v/>
      </c>
      <c r="J2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0" s="31" t="str">
        <f>IF('Input Sheet'!F241=0, "NO",CONCATENATE('Input Sheet'!F241, IF('Input Sheet'!F241&gt;0,"% ","")))</f>
        <v>NO</v>
      </c>
      <c r="L2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0" s="31" t="str">
        <f>CONCATENATE(L240, IF('Input Sheet'!J242="",""," siderite in "))</f>
        <v/>
      </c>
      <c r="N2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0" s="31" t="str">
        <f>CONCATENATE(N240, IF('Input Sheet'!K242="",""," siderite in "))</f>
        <v/>
      </c>
    </row>
    <row r="241" spans="1:15" x14ac:dyDescent="0.35">
      <c r="A241" s="42" t="str">
        <f>IF('Input Sheet'!C243="","",CONCATENATE("Sample ", 'Input Sheet'!B243, "m: ", M241, G241, "% ", "Siltstone, ", O241, 'Input Sheet'!C243, "% ", I241, " Sandstone, ", K241, J241, " FLUOR in SST. ", "TG ", 'Input Sheet'!I243, "U"))</f>
        <v/>
      </c>
      <c r="B241" s="28" t="str">
        <f>IF('Input Sheet'!C243="","",CONCATENATE("Sample ", 'Input Sheet'!B243, "m: ", N241, H241, "% ", "Siltstone, ", P241, 'Input Sheet'!C243, "% ", J241, " Sandstone "))</f>
        <v/>
      </c>
      <c r="C241" s="28" t="str">
        <f>IF('Input Sheet'!C243="","",CONCATENATE("Sample ", 'Input Sheet'!B243, "m: ", M241,, K241, J241, " FLUOR in SST. ", "TG ", 'Input Sheet'!I243, "U"))</f>
        <v/>
      </c>
      <c r="G241" s="31" t="str">
        <f>IF('Input Sheet'!C243="","",100-'Input Sheet'!C243)</f>
        <v/>
      </c>
      <c r="H2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1" s="31" t="str">
        <f t="shared" si="3"/>
        <v/>
      </c>
      <c r="J2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1" s="31" t="str">
        <f>IF('Input Sheet'!F242=0, "NO",CONCATENATE('Input Sheet'!F242, IF('Input Sheet'!F242&gt;0,"% ","")))</f>
        <v>NO</v>
      </c>
      <c r="L2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1" s="31" t="str">
        <f>CONCATENATE(L241, IF('Input Sheet'!J243="",""," siderite in "))</f>
        <v/>
      </c>
      <c r="N2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1" s="31" t="str">
        <f>CONCATENATE(N241, IF('Input Sheet'!K243="",""," siderite in "))</f>
        <v/>
      </c>
    </row>
    <row r="242" spans="1:15" x14ac:dyDescent="0.35">
      <c r="A242" s="42" t="str">
        <f>IF('Input Sheet'!C244="","",CONCATENATE("Sample ", 'Input Sheet'!B244, "m: ", M242, G242, "% ", "Siltstone, ", O242, 'Input Sheet'!C244, "% ", I242, " Sandstone, ", K242, J242, " FLUOR in SST. ", "TG ", 'Input Sheet'!I244, "U"))</f>
        <v/>
      </c>
      <c r="B242" s="28" t="str">
        <f>IF('Input Sheet'!C244="","",CONCATENATE("Sample ", 'Input Sheet'!B244, "m: ", N242, H242, "% ", "Siltstone, ", P242, 'Input Sheet'!C244, "% ", J242, " Sandstone "))</f>
        <v/>
      </c>
      <c r="C242" s="28" t="str">
        <f>IF('Input Sheet'!C244="","",CONCATENATE("Sample ", 'Input Sheet'!B244, "m: ", M242,, K242, J242, " FLUOR in SST. ", "TG ", 'Input Sheet'!I244, "U"))</f>
        <v/>
      </c>
      <c r="G242" s="31" t="str">
        <f>IF('Input Sheet'!C244="","",100-'Input Sheet'!C244)</f>
        <v/>
      </c>
      <c r="H2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2" s="31" t="str">
        <f t="shared" si="3"/>
        <v/>
      </c>
      <c r="J2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2" s="31" t="str">
        <f>IF('Input Sheet'!F243=0, "NO",CONCATENATE('Input Sheet'!F243, IF('Input Sheet'!F243&gt;0,"% ","")))</f>
        <v>NO</v>
      </c>
      <c r="L2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2" s="31" t="str">
        <f>CONCATENATE(L242, IF('Input Sheet'!J244="",""," siderite in "))</f>
        <v/>
      </c>
      <c r="N2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2" s="31" t="str">
        <f>CONCATENATE(N242, IF('Input Sheet'!K244="",""," siderite in "))</f>
        <v/>
      </c>
    </row>
    <row r="243" spans="1:15" x14ac:dyDescent="0.35">
      <c r="A243" s="42" t="str">
        <f>IF('Input Sheet'!C245="","",CONCATENATE("Sample ", 'Input Sheet'!B245, "m: ", M243, G243, "% ", "Siltstone, ", O243, 'Input Sheet'!C245, "% ", I243, " Sandstone, ", K243, J243, " FLUOR in SST. ", "TG ", 'Input Sheet'!I245, "U"))</f>
        <v/>
      </c>
      <c r="B243" s="28" t="str">
        <f>IF('Input Sheet'!C245="","",CONCATENATE("Sample ", 'Input Sheet'!B245, "m: ", N243, H243, "% ", "Siltstone, ", P243, 'Input Sheet'!C245, "% ", J243, " Sandstone "))</f>
        <v/>
      </c>
      <c r="C243" s="28" t="str">
        <f>IF('Input Sheet'!C245="","",CONCATENATE("Sample ", 'Input Sheet'!B245, "m: ", M243,, K243, J243, " FLUOR in SST. ", "TG ", 'Input Sheet'!I245, "U"))</f>
        <v/>
      </c>
      <c r="G243" s="31" t="str">
        <f>IF('Input Sheet'!C245="","",100-'Input Sheet'!C245)</f>
        <v/>
      </c>
      <c r="H2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3" s="31" t="str">
        <f t="shared" si="3"/>
        <v/>
      </c>
      <c r="J2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3" s="31" t="str">
        <f>IF('Input Sheet'!F244=0, "NO",CONCATENATE('Input Sheet'!F244, IF('Input Sheet'!F244&gt;0,"% ","")))</f>
        <v>NO</v>
      </c>
      <c r="L2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3" s="31" t="str">
        <f>CONCATENATE(L243, IF('Input Sheet'!J245="",""," siderite in "))</f>
        <v/>
      </c>
      <c r="N2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3" s="31" t="str">
        <f>CONCATENATE(N243, IF('Input Sheet'!K245="",""," siderite in "))</f>
        <v/>
      </c>
    </row>
    <row r="244" spans="1:15" x14ac:dyDescent="0.35">
      <c r="A244" s="42" t="str">
        <f>IF('Input Sheet'!C246="","",CONCATENATE("Sample ", 'Input Sheet'!B246, "m: ", M244, G244, "% ", "Siltstone, ", O244, 'Input Sheet'!C246, "% ", I244, " Sandstone, ", K244, J244, " FLUOR in SST. ", "TG ", 'Input Sheet'!I246, "U"))</f>
        <v/>
      </c>
      <c r="B244" s="28" t="str">
        <f>IF('Input Sheet'!C246="","",CONCATENATE("Sample ", 'Input Sheet'!B246, "m: ", N244, H244, "% ", "Siltstone, ", P244, 'Input Sheet'!C246, "% ", J244, " Sandstone "))</f>
        <v/>
      </c>
      <c r="C244" s="28" t="str">
        <f>IF('Input Sheet'!C246="","",CONCATENATE("Sample ", 'Input Sheet'!B246, "m: ", M244,, K244, J244, " FLUOR in SST. ", "TG ", 'Input Sheet'!I246, "U"))</f>
        <v/>
      </c>
      <c r="G244" s="31" t="str">
        <f>IF('Input Sheet'!C246="","",100-'Input Sheet'!C246)</f>
        <v/>
      </c>
      <c r="H2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4" s="31" t="str">
        <f t="shared" si="3"/>
        <v/>
      </c>
      <c r="J2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4" s="31" t="str">
        <f>IF('Input Sheet'!F245=0, "NO",CONCATENATE('Input Sheet'!F245, IF('Input Sheet'!F245&gt;0,"% ","")))</f>
        <v>NO</v>
      </c>
      <c r="L2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4" s="31" t="str">
        <f>CONCATENATE(L244, IF('Input Sheet'!J246="",""," siderite in "))</f>
        <v/>
      </c>
      <c r="N2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4" s="31" t="str">
        <f>CONCATENATE(N244, IF('Input Sheet'!K246="",""," siderite in "))</f>
        <v/>
      </c>
    </row>
    <row r="245" spans="1:15" x14ac:dyDescent="0.35">
      <c r="A245" s="42" t="str">
        <f>IF('Input Sheet'!C247="","",CONCATENATE("Sample ", 'Input Sheet'!B247, "m: ", M245, G245, "% ", "Siltstone, ", O245, 'Input Sheet'!C247, "% ", I245, " Sandstone, ", K245, J245, " FLUOR in SST. ", "TG ", 'Input Sheet'!I247, "U"))</f>
        <v/>
      </c>
      <c r="B245" s="28" t="str">
        <f>IF('Input Sheet'!C247="","",CONCATENATE("Sample ", 'Input Sheet'!B247, "m: ", N245, H245, "% ", "Siltstone, ", P245, 'Input Sheet'!C247, "% ", J245, " Sandstone "))</f>
        <v/>
      </c>
      <c r="C245" s="28" t="str">
        <f>IF('Input Sheet'!C247="","",CONCATENATE("Sample ", 'Input Sheet'!B247, "m: ", M245,, K245, J245, " FLUOR in SST. ", "TG ", 'Input Sheet'!I247, "U"))</f>
        <v/>
      </c>
      <c r="G245" s="31" t="str">
        <f>IF('Input Sheet'!C247="","",100-'Input Sheet'!C247)</f>
        <v/>
      </c>
      <c r="H2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5" s="31" t="str">
        <f t="shared" si="3"/>
        <v/>
      </c>
      <c r="J2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5" s="31" t="str">
        <f>IF('Input Sheet'!F246=0, "NO",CONCATENATE('Input Sheet'!F246, IF('Input Sheet'!F246&gt;0,"% ","")))</f>
        <v>NO</v>
      </c>
      <c r="L2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5" s="31" t="str">
        <f>CONCATENATE(L245, IF('Input Sheet'!J247="",""," siderite in "))</f>
        <v/>
      </c>
      <c r="N2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5" s="31" t="str">
        <f>CONCATENATE(N245, IF('Input Sheet'!K247="",""," siderite in "))</f>
        <v/>
      </c>
    </row>
    <row r="246" spans="1:15" x14ac:dyDescent="0.35">
      <c r="A246" s="42" t="str">
        <f>IF('Input Sheet'!C248="","",CONCATENATE("Sample ", 'Input Sheet'!B248, "m: ", M246, G246, "% ", "Siltstone, ", O246, 'Input Sheet'!C248, "% ", I246, " Sandstone, ", K246, J246, " FLUOR in SST. ", "TG ", 'Input Sheet'!I248, "U"))</f>
        <v/>
      </c>
      <c r="B246" s="28" t="str">
        <f>IF('Input Sheet'!C248="","",CONCATENATE("Sample ", 'Input Sheet'!B248, "m: ", N246, H246, "% ", "Siltstone, ", P246, 'Input Sheet'!C248, "% ", J246, " Sandstone "))</f>
        <v/>
      </c>
      <c r="C246" s="28" t="str">
        <f>IF('Input Sheet'!C248="","",CONCATENATE("Sample ", 'Input Sheet'!B248, "m: ", M246,, K246, J246, " FLUOR in SST. ", "TG ", 'Input Sheet'!I248, "U"))</f>
        <v/>
      </c>
      <c r="G246" s="31" t="str">
        <f>IF('Input Sheet'!C248="","",100-'Input Sheet'!C248)</f>
        <v/>
      </c>
      <c r="H2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6" s="31" t="str">
        <f t="shared" si="3"/>
        <v/>
      </c>
      <c r="J2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6" s="31" t="str">
        <f>IF('Input Sheet'!F247=0, "NO",CONCATENATE('Input Sheet'!F247, IF('Input Sheet'!F247&gt;0,"% ","")))</f>
        <v>NO</v>
      </c>
      <c r="L2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6" s="31" t="str">
        <f>CONCATENATE(L246, IF('Input Sheet'!J248="",""," siderite in "))</f>
        <v/>
      </c>
      <c r="N2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6" s="31" t="str">
        <f>CONCATENATE(N246, IF('Input Sheet'!K248="",""," siderite in "))</f>
        <v/>
      </c>
    </row>
    <row r="247" spans="1:15" x14ac:dyDescent="0.35">
      <c r="A247" s="42" t="str">
        <f>IF('Input Sheet'!C249="","",CONCATENATE("Sample ", 'Input Sheet'!B249, "m: ", M247, G247, "% ", "Siltstone, ", O247, 'Input Sheet'!C249, "% ", I247, " Sandstone, ", K247, J247, " FLUOR in SST. ", "TG ", 'Input Sheet'!I249, "U"))</f>
        <v/>
      </c>
      <c r="B247" s="28" t="str">
        <f>IF('Input Sheet'!C249="","",CONCATENATE("Sample ", 'Input Sheet'!B249, "m: ", N247, H247, "% ", "Siltstone, ", P247, 'Input Sheet'!C249, "% ", J247, " Sandstone "))</f>
        <v/>
      </c>
      <c r="C247" s="28" t="str">
        <f>IF('Input Sheet'!C249="","",CONCATENATE("Sample ", 'Input Sheet'!B249, "m: ", M247,, K247, J247, " FLUOR in SST. ", "TG ", 'Input Sheet'!I249, "U"))</f>
        <v/>
      </c>
      <c r="G247" s="31" t="str">
        <f>IF('Input Sheet'!C249="","",100-'Input Sheet'!C249)</f>
        <v/>
      </c>
      <c r="H2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7" s="31" t="str">
        <f t="shared" si="3"/>
        <v/>
      </c>
      <c r="J2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7" s="31" t="str">
        <f>IF('Input Sheet'!F248=0, "NO",CONCATENATE('Input Sheet'!F248, IF('Input Sheet'!F248&gt;0,"% ","")))</f>
        <v>NO</v>
      </c>
      <c r="L2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7" s="31" t="str">
        <f>CONCATENATE(L247, IF('Input Sheet'!J249="",""," siderite in "))</f>
        <v/>
      </c>
      <c r="N2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7" s="31" t="str">
        <f>CONCATENATE(N247, IF('Input Sheet'!K249="",""," siderite in "))</f>
        <v/>
      </c>
    </row>
    <row r="248" spans="1:15" x14ac:dyDescent="0.35">
      <c r="A248" s="42" t="str">
        <f>IF('Input Sheet'!C250="","",CONCATENATE("Sample ", 'Input Sheet'!B250, "m: ", M248, G248, "% ", "Siltstone, ", O248, 'Input Sheet'!C250, "% ", I248, " Sandstone, ", K248, J248, " FLUOR in SST. ", "TG ", 'Input Sheet'!I250, "U"))</f>
        <v/>
      </c>
      <c r="B248" s="28" t="str">
        <f>IF('Input Sheet'!C250="","",CONCATENATE("Sample ", 'Input Sheet'!B250, "m: ", N248, H248, "% ", "Siltstone, ", P248, 'Input Sheet'!C250, "% ", J248, " Sandstone "))</f>
        <v/>
      </c>
      <c r="C248" s="28" t="str">
        <f>IF('Input Sheet'!C250="","",CONCATENATE("Sample ", 'Input Sheet'!B250, "m: ", M248,, K248, J248, " FLUOR in SST. ", "TG ", 'Input Sheet'!I250, "U"))</f>
        <v/>
      </c>
      <c r="G248" s="31" t="str">
        <f>IF('Input Sheet'!C250="","",100-'Input Sheet'!C250)</f>
        <v/>
      </c>
      <c r="H2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8" s="31" t="str">
        <f t="shared" si="3"/>
        <v/>
      </c>
      <c r="J2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8" s="31" t="str">
        <f>IF('Input Sheet'!F249=0, "NO",CONCATENATE('Input Sheet'!F249, IF('Input Sheet'!F249&gt;0,"% ","")))</f>
        <v>NO</v>
      </c>
      <c r="L2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8" s="31" t="str">
        <f>CONCATENATE(L248, IF('Input Sheet'!J250="",""," siderite in "))</f>
        <v/>
      </c>
      <c r="N2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8" s="31" t="str">
        <f>CONCATENATE(N248, IF('Input Sheet'!K250="",""," siderite in "))</f>
        <v/>
      </c>
    </row>
    <row r="249" spans="1:15" x14ac:dyDescent="0.35">
      <c r="A249" s="42" t="str">
        <f>IF('Input Sheet'!C251="","",CONCATENATE("Sample ", 'Input Sheet'!B251, "m: ", M249, G249, "% ", "Siltstone, ", O249, 'Input Sheet'!C251, "% ", I249, " Sandstone, ", K249, J249, " FLUOR in SST. ", "TG ", 'Input Sheet'!I251, "U"))</f>
        <v/>
      </c>
      <c r="B249" s="28" t="str">
        <f>IF('Input Sheet'!C251="","",CONCATENATE("Sample ", 'Input Sheet'!B251, "m: ", N249, H249, "% ", "Siltstone, ", P249, 'Input Sheet'!C251, "% ", J249, " Sandstone "))</f>
        <v/>
      </c>
      <c r="C249" s="28" t="str">
        <f>IF('Input Sheet'!C251="","",CONCATENATE("Sample ", 'Input Sheet'!B251, "m: ", M249,, K249, J249, " FLUOR in SST. ", "TG ", 'Input Sheet'!I251, "U"))</f>
        <v/>
      </c>
      <c r="G249" s="31" t="str">
        <f>IF('Input Sheet'!C251="","",100-'Input Sheet'!C251)</f>
        <v/>
      </c>
      <c r="H2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9" s="31" t="str">
        <f t="shared" si="3"/>
        <v/>
      </c>
      <c r="J2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9" s="31" t="str">
        <f>IF('Input Sheet'!F250=0, "NO",CONCATENATE('Input Sheet'!F250, IF('Input Sheet'!F250&gt;0,"% ","")))</f>
        <v>NO</v>
      </c>
      <c r="L2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9" s="31" t="str">
        <f>CONCATENATE(L249, IF('Input Sheet'!J251="",""," siderite in "))</f>
        <v/>
      </c>
      <c r="N2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9" s="31" t="str">
        <f>CONCATENATE(N249, IF('Input Sheet'!K251="",""," siderite in "))</f>
        <v/>
      </c>
    </row>
    <row r="250" spans="1:15" x14ac:dyDescent="0.35">
      <c r="A250" s="42" t="str">
        <f>IF('Input Sheet'!C252="","",CONCATENATE("Sample ", 'Input Sheet'!B252, "m: ", M250, G250, "% ", "Siltstone, ", O250, 'Input Sheet'!C252, "% ", I250, " Sandstone, ", K250, J250, " FLUOR in SST. ", "TG ", 'Input Sheet'!I252, "U"))</f>
        <v/>
      </c>
      <c r="B250" s="28" t="str">
        <f>IF('Input Sheet'!C252="","",CONCATENATE("Sample ", 'Input Sheet'!B252, "m: ", N250, H250, "% ", "Siltstone, ", P250, 'Input Sheet'!C252, "% ", J250, " Sandstone "))</f>
        <v/>
      </c>
      <c r="C250" s="28" t="str">
        <f>IF('Input Sheet'!C252="","",CONCATENATE("Sample ", 'Input Sheet'!B252, "m: ", M250,, K250, J250, " FLUOR in SST. ", "TG ", 'Input Sheet'!I252, "U"))</f>
        <v/>
      </c>
      <c r="G250" s="31" t="str">
        <f>IF('Input Sheet'!C252="","",100-'Input Sheet'!C252)</f>
        <v/>
      </c>
      <c r="H2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0" s="31" t="str">
        <f t="shared" si="3"/>
        <v/>
      </c>
      <c r="J2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0" s="31" t="str">
        <f>IF('Input Sheet'!F251=0, "NO",CONCATENATE('Input Sheet'!F251, IF('Input Sheet'!F251&gt;0,"% ","")))</f>
        <v>NO</v>
      </c>
      <c r="L2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0" s="31" t="str">
        <f>CONCATENATE(L250, IF('Input Sheet'!J252="",""," siderite in "))</f>
        <v/>
      </c>
      <c r="N2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0" s="31" t="str">
        <f>CONCATENATE(N250, IF('Input Sheet'!K252="",""," siderite in "))</f>
        <v/>
      </c>
    </row>
    <row r="251" spans="1:15" x14ac:dyDescent="0.35">
      <c r="A251" s="42" t="str">
        <f>IF('Input Sheet'!C253="","",CONCATENATE("Sample ", 'Input Sheet'!B253, "m: ", M251, G251, "% ", "Siltstone, ", O251, 'Input Sheet'!C253, "% ", I251, " Sandstone, ", K251, J251, " FLUOR in SST. ", "TG ", 'Input Sheet'!I253, "U"))</f>
        <v/>
      </c>
      <c r="B251" s="28" t="str">
        <f>IF('Input Sheet'!C253="","",CONCATENATE("Sample ", 'Input Sheet'!B253, "m: ", N251, H251, "% ", "Siltstone, ", P251, 'Input Sheet'!C253, "% ", J251, " Sandstone "))</f>
        <v/>
      </c>
      <c r="C251" s="28" t="str">
        <f>IF('Input Sheet'!C253="","",CONCATENATE("Sample ", 'Input Sheet'!B253, "m: ", M251,, K251, J251, " FLUOR in SST. ", "TG ", 'Input Sheet'!I253, "U"))</f>
        <v/>
      </c>
      <c r="G251" s="31" t="str">
        <f>IF('Input Sheet'!C253="","",100-'Input Sheet'!C253)</f>
        <v/>
      </c>
      <c r="H2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1" s="31" t="str">
        <f t="shared" si="3"/>
        <v/>
      </c>
      <c r="J2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1" s="31" t="str">
        <f>IF('Input Sheet'!F252=0, "NO",CONCATENATE('Input Sheet'!F252, IF('Input Sheet'!F252&gt;0,"% ","")))</f>
        <v>NO</v>
      </c>
      <c r="L2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1" s="31" t="str">
        <f>CONCATENATE(L251, IF('Input Sheet'!J253="",""," siderite in "))</f>
        <v/>
      </c>
      <c r="N2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1" s="31" t="str">
        <f>CONCATENATE(N251, IF('Input Sheet'!K253="",""," siderite in "))</f>
        <v/>
      </c>
    </row>
    <row r="252" spans="1:15" x14ac:dyDescent="0.35">
      <c r="A252" s="42" t="str">
        <f>IF('Input Sheet'!C254="","",CONCATENATE("Sample ", 'Input Sheet'!B254, "m: ", M252, G252, "% ", "Siltstone, ", O252, 'Input Sheet'!C254, "% ", I252, " Sandstone, ", K252, J252, " FLUOR in SST. ", "TG ", 'Input Sheet'!I254, "U"))</f>
        <v/>
      </c>
      <c r="B252" s="28" t="str">
        <f>IF('Input Sheet'!C254="","",CONCATENATE("Sample ", 'Input Sheet'!B254, "m: ", N252, H252, "% ", "Siltstone, ", P252, 'Input Sheet'!C254, "% ", J252, " Sandstone "))</f>
        <v/>
      </c>
      <c r="C252" s="28" t="str">
        <f>IF('Input Sheet'!C254="","",CONCATENATE("Sample ", 'Input Sheet'!B254, "m: ", M252,, K252, J252, " FLUOR in SST. ", "TG ", 'Input Sheet'!I254, "U"))</f>
        <v/>
      </c>
      <c r="G252" s="31" t="str">
        <f>IF('Input Sheet'!C254="","",100-'Input Sheet'!C254)</f>
        <v/>
      </c>
      <c r="H2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2" s="31" t="str">
        <f t="shared" si="3"/>
        <v/>
      </c>
      <c r="J2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2" s="31" t="str">
        <f>IF('Input Sheet'!F253=0, "NO",CONCATENATE('Input Sheet'!F253, IF('Input Sheet'!F253&gt;0,"% ","")))</f>
        <v>NO</v>
      </c>
      <c r="L2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2" s="31" t="str">
        <f>CONCATENATE(L252, IF('Input Sheet'!J254="",""," siderite in "))</f>
        <v/>
      </c>
      <c r="N2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2" s="31" t="str">
        <f>CONCATENATE(N252, IF('Input Sheet'!K254="",""," siderite in "))</f>
        <v/>
      </c>
    </row>
    <row r="253" spans="1:15" x14ac:dyDescent="0.35">
      <c r="A253" s="42" t="str">
        <f>IF('Input Sheet'!C255="","",CONCATENATE("Sample ", 'Input Sheet'!B255, "m: ", M253, G253, "% ", "Siltstone, ", O253, 'Input Sheet'!C255, "% ", I253, " Sandstone, ", K253, J253, " FLUOR in SST. ", "TG ", 'Input Sheet'!I255, "U"))</f>
        <v/>
      </c>
      <c r="B253" s="28" t="str">
        <f>IF('Input Sheet'!C255="","",CONCATENATE("Sample ", 'Input Sheet'!B255, "m: ", N253, H253, "% ", "Siltstone, ", P253, 'Input Sheet'!C255, "% ", J253, " Sandstone "))</f>
        <v/>
      </c>
      <c r="C253" s="28" t="str">
        <f>IF('Input Sheet'!C255="","",CONCATENATE("Sample ", 'Input Sheet'!B255, "m: ", M253,, K253, J253, " FLUOR in SST. ", "TG ", 'Input Sheet'!I255, "U"))</f>
        <v/>
      </c>
      <c r="G253" s="31" t="str">
        <f>IF('Input Sheet'!C255="","",100-'Input Sheet'!C255)</f>
        <v/>
      </c>
      <c r="H2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3" s="31" t="str">
        <f t="shared" si="3"/>
        <v/>
      </c>
      <c r="J2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3" s="31" t="str">
        <f>IF('Input Sheet'!F254=0, "NO",CONCATENATE('Input Sheet'!F254, IF('Input Sheet'!F254&gt;0,"% ","")))</f>
        <v>NO</v>
      </c>
      <c r="L2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3" s="31" t="str">
        <f>CONCATENATE(L253, IF('Input Sheet'!J255="",""," siderite in "))</f>
        <v/>
      </c>
      <c r="N2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3" s="31" t="str">
        <f>CONCATENATE(N253, IF('Input Sheet'!K255="",""," siderite in "))</f>
        <v/>
      </c>
    </row>
    <row r="254" spans="1:15" x14ac:dyDescent="0.35">
      <c r="A254" s="42" t="str">
        <f>IF('Input Sheet'!C256="","",CONCATENATE("Sample ", 'Input Sheet'!B256, "m: ", M254, G254, "% ", "Siltstone, ", O254, 'Input Sheet'!C256, "% ", I254, " Sandstone, ", K254, J254, " FLUOR in SST. ", "TG ", 'Input Sheet'!I256, "U"))</f>
        <v/>
      </c>
      <c r="B254" s="28" t="str">
        <f>IF('Input Sheet'!C256="","",CONCATENATE("Sample ", 'Input Sheet'!B256, "m: ", N254, H254, "% ", "Siltstone, ", P254, 'Input Sheet'!C256, "% ", J254, " Sandstone "))</f>
        <v/>
      </c>
      <c r="C254" s="28" t="str">
        <f>IF('Input Sheet'!C256="","",CONCATENATE("Sample ", 'Input Sheet'!B256, "m: ", M254,, K254, J254, " FLUOR in SST. ", "TG ", 'Input Sheet'!I256, "U"))</f>
        <v/>
      </c>
      <c r="G254" s="31" t="str">
        <f>IF('Input Sheet'!C256="","",100-'Input Sheet'!C256)</f>
        <v/>
      </c>
      <c r="H2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4" s="31" t="str">
        <f t="shared" si="3"/>
        <v/>
      </c>
      <c r="J2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4" s="31" t="str">
        <f>IF('Input Sheet'!F255=0, "NO",CONCATENATE('Input Sheet'!F255, IF('Input Sheet'!F255&gt;0,"% ","")))</f>
        <v>NO</v>
      </c>
      <c r="L2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4" s="31" t="str">
        <f>CONCATENATE(L254, IF('Input Sheet'!J256="",""," siderite in "))</f>
        <v/>
      </c>
      <c r="N2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4" s="31" t="str">
        <f>CONCATENATE(N254, IF('Input Sheet'!K256="",""," siderite in "))</f>
        <v/>
      </c>
    </row>
    <row r="255" spans="1:15" x14ac:dyDescent="0.35">
      <c r="A255" s="42" t="str">
        <f>IF('Input Sheet'!C257="","",CONCATENATE("Sample ", 'Input Sheet'!B257, "m: ", M255, G255, "% ", "Siltstone, ", O255, 'Input Sheet'!C257, "% ", I255, " Sandstone, ", K255, J255, " FLUOR in SST. ", "TG ", 'Input Sheet'!I257, "U"))</f>
        <v/>
      </c>
      <c r="B255" s="28" t="str">
        <f>IF('Input Sheet'!C257="","",CONCATENATE("Sample ", 'Input Sheet'!B257, "m: ", N255, H255, "% ", "Siltstone, ", P255, 'Input Sheet'!C257, "% ", J255, " Sandstone "))</f>
        <v/>
      </c>
      <c r="C255" s="28" t="str">
        <f>IF('Input Sheet'!C257="","",CONCATENATE("Sample ", 'Input Sheet'!B257, "m: ", M255,, K255, J255, " FLUOR in SST. ", "TG ", 'Input Sheet'!I257, "U"))</f>
        <v/>
      </c>
      <c r="G255" s="31" t="str">
        <f>IF('Input Sheet'!C257="","",100-'Input Sheet'!C257)</f>
        <v/>
      </c>
      <c r="H2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5" s="31" t="str">
        <f t="shared" si="3"/>
        <v/>
      </c>
      <c r="J2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5" s="31" t="str">
        <f>IF('Input Sheet'!F256=0, "NO",CONCATENATE('Input Sheet'!F256, IF('Input Sheet'!F256&gt;0,"% ","")))</f>
        <v>NO</v>
      </c>
      <c r="L2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5" s="31" t="str">
        <f>CONCATENATE(L255, IF('Input Sheet'!J257="",""," siderite in "))</f>
        <v/>
      </c>
      <c r="N2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5" s="31" t="str">
        <f>CONCATENATE(N255, IF('Input Sheet'!K257="",""," siderite in "))</f>
        <v/>
      </c>
    </row>
    <row r="256" spans="1:15" x14ac:dyDescent="0.35">
      <c r="A256" s="42" t="str">
        <f>IF('Input Sheet'!C258="","",CONCATENATE("Sample ", 'Input Sheet'!B258, "m: ", M256, G256, "% ", "Siltstone, ", O256, 'Input Sheet'!C258, "% ", I256, " Sandstone, ", K256, J256, " FLUOR in SST. ", "TG ", 'Input Sheet'!I258, "U"))</f>
        <v/>
      </c>
      <c r="B256" s="28" t="str">
        <f>IF('Input Sheet'!C258="","",CONCATENATE("Sample ", 'Input Sheet'!B258, "m: ", N256, H256, "% ", "Siltstone, ", P256, 'Input Sheet'!C258, "% ", J256, " Sandstone "))</f>
        <v/>
      </c>
      <c r="C256" s="28" t="str">
        <f>IF('Input Sheet'!C258="","",CONCATENATE("Sample ", 'Input Sheet'!B258, "m: ", M256,, K256, J256, " FLUOR in SST. ", "TG ", 'Input Sheet'!I258, "U"))</f>
        <v/>
      </c>
      <c r="G256" s="31" t="str">
        <f>IF('Input Sheet'!C258="","",100-'Input Sheet'!C258)</f>
        <v/>
      </c>
      <c r="H2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6" s="31" t="str">
        <f t="shared" si="3"/>
        <v/>
      </c>
      <c r="J2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6" s="31" t="str">
        <f>IF('Input Sheet'!F257=0, "NO",CONCATENATE('Input Sheet'!F257, IF('Input Sheet'!F257&gt;0,"% ","")))</f>
        <v>NO</v>
      </c>
      <c r="L2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6" s="31" t="str">
        <f>CONCATENATE(L256, IF('Input Sheet'!J258="",""," siderite in "))</f>
        <v/>
      </c>
      <c r="N2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6" s="31" t="str">
        <f>CONCATENATE(N256, IF('Input Sheet'!K258="",""," siderite in "))</f>
        <v/>
      </c>
    </row>
    <row r="257" spans="1:15" x14ac:dyDescent="0.35">
      <c r="A257" s="42" t="str">
        <f>IF('Input Sheet'!C259="","",CONCATENATE("Sample ", 'Input Sheet'!B259, "m: ", M257, G257, "% ", "Siltstone, ", O257, 'Input Sheet'!C259, "% ", I257, " Sandstone, ", K257, J257, " FLUOR in SST. ", "TG ", 'Input Sheet'!I259, "U"))</f>
        <v/>
      </c>
      <c r="B257" s="28" t="str">
        <f>IF('Input Sheet'!C259="","",CONCATENATE("Sample ", 'Input Sheet'!B259, "m: ", N257, H257, "% ", "Siltstone, ", P257, 'Input Sheet'!C259, "% ", J257, " Sandstone "))</f>
        <v/>
      </c>
      <c r="C257" s="28" t="str">
        <f>IF('Input Sheet'!C259="","",CONCATENATE("Sample ", 'Input Sheet'!B259, "m: ", M257,, K257, J257, " FLUOR in SST. ", "TG ", 'Input Sheet'!I259, "U"))</f>
        <v/>
      </c>
      <c r="G257" s="31" t="str">
        <f>IF('Input Sheet'!C259="","",100-'Input Sheet'!C259)</f>
        <v/>
      </c>
      <c r="H2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7" s="31" t="str">
        <f t="shared" si="3"/>
        <v/>
      </c>
      <c r="J2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7" s="31" t="str">
        <f>IF('Input Sheet'!F258=0, "NO",CONCATENATE('Input Sheet'!F258, IF('Input Sheet'!F258&gt;0,"% ","")))</f>
        <v>NO</v>
      </c>
      <c r="L2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7" s="31" t="str">
        <f>CONCATENATE(L257, IF('Input Sheet'!J259="",""," siderite in "))</f>
        <v/>
      </c>
      <c r="N2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7" s="31" t="str">
        <f>CONCATENATE(N257, IF('Input Sheet'!K259="",""," siderite in "))</f>
        <v/>
      </c>
    </row>
    <row r="258" spans="1:15" x14ac:dyDescent="0.35">
      <c r="A258" s="42" t="str">
        <f>IF('Input Sheet'!C260="","",CONCATENATE("Sample ", 'Input Sheet'!B260, "m: ", M258, G258, "% ", "Siltstone, ", O258, 'Input Sheet'!C260, "% ", I258, " Sandstone, ", K258, J258, " FLUOR in SST. ", "TG ", 'Input Sheet'!I260, "U"))</f>
        <v/>
      </c>
      <c r="B258" s="28" t="str">
        <f>IF('Input Sheet'!C260="","",CONCATENATE("Sample ", 'Input Sheet'!B260, "m: ", N258, H258, "% ", "Siltstone, ", P258, 'Input Sheet'!C260, "% ", J258, " Sandstone "))</f>
        <v/>
      </c>
      <c r="C258" s="28" t="str">
        <f>IF('Input Sheet'!C260="","",CONCATENATE("Sample ", 'Input Sheet'!B260, "m: ", M258,, K258, J258, " FLUOR in SST. ", "TG ", 'Input Sheet'!I260, "U"))</f>
        <v/>
      </c>
      <c r="G258" s="31" t="str">
        <f>IF('Input Sheet'!C260="","",100-'Input Sheet'!C260)</f>
        <v/>
      </c>
      <c r="H2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8" s="31" t="str">
        <f t="shared" ref="I258:I321" si="4">SUBSTITUTE(H258, "veryfine", "very fine")</f>
        <v/>
      </c>
      <c r="J2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8" s="31" t="str">
        <f>IF('Input Sheet'!F259=0, "NO",CONCATENATE('Input Sheet'!F259, IF('Input Sheet'!F259&gt;0,"% ","")))</f>
        <v>NO</v>
      </c>
      <c r="L2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8" s="31" t="str">
        <f>CONCATENATE(L258, IF('Input Sheet'!J260="",""," siderite in "))</f>
        <v/>
      </c>
      <c r="N2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8" s="31" t="str">
        <f>CONCATENATE(N258, IF('Input Sheet'!K260="",""," siderite in "))</f>
        <v/>
      </c>
    </row>
    <row r="259" spans="1:15" x14ac:dyDescent="0.35">
      <c r="A259" s="42" t="str">
        <f>IF('Input Sheet'!C261="","",CONCATENATE("Sample ", 'Input Sheet'!B261, "m: ", M259, G259, "% ", "Siltstone, ", O259, 'Input Sheet'!C261, "% ", I259, " Sandstone, ", K259, J259, " FLUOR in SST. ", "TG ", 'Input Sheet'!I261, "U"))</f>
        <v/>
      </c>
      <c r="B259" s="28" t="str">
        <f>IF('Input Sheet'!C261="","",CONCATENATE("Sample ", 'Input Sheet'!B261, "m: ", N259, H259, "% ", "Siltstone, ", P259, 'Input Sheet'!C261, "% ", J259, " Sandstone "))</f>
        <v/>
      </c>
      <c r="C259" s="28" t="str">
        <f>IF('Input Sheet'!C261="","",CONCATENATE("Sample ", 'Input Sheet'!B261, "m: ", M259,, K259, J259, " FLUOR in SST. ", "TG ", 'Input Sheet'!I261, "U"))</f>
        <v/>
      </c>
      <c r="G259" s="31" t="str">
        <f>IF('Input Sheet'!C261="","",100-'Input Sheet'!C261)</f>
        <v/>
      </c>
      <c r="H2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9" s="31" t="str">
        <f t="shared" si="4"/>
        <v/>
      </c>
      <c r="J2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9" s="31" t="str">
        <f>IF('Input Sheet'!F260=0, "NO",CONCATENATE('Input Sheet'!F260, IF('Input Sheet'!F260&gt;0,"% ","")))</f>
        <v>NO</v>
      </c>
      <c r="L2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9" s="31" t="str">
        <f>CONCATENATE(L259, IF('Input Sheet'!J261="",""," siderite in "))</f>
        <v/>
      </c>
      <c r="N2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9" s="31" t="str">
        <f>CONCATENATE(N259, IF('Input Sheet'!K261="",""," siderite in "))</f>
        <v/>
      </c>
    </row>
    <row r="260" spans="1:15" x14ac:dyDescent="0.35">
      <c r="A260" s="42" t="str">
        <f>IF('Input Sheet'!C262="","",CONCATENATE("Sample ", 'Input Sheet'!B262, "m: ", M260, G260, "% ", "Siltstone, ", O260, 'Input Sheet'!C262, "% ", I260, " Sandstone, ", K260, J260, " FLUOR in SST. ", "TG ", 'Input Sheet'!I262, "U"))</f>
        <v/>
      </c>
      <c r="B260" s="28" t="str">
        <f>IF('Input Sheet'!C262="","",CONCATENATE("Sample ", 'Input Sheet'!B262, "m: ", N260, H260, "% ", "Siltstone, ", P260, 'Input Sheet'!C262, "% ", J260, " Sandstone "))</f>
        <v/>
      </c>
      <c r="C260" s="28" t="str">
        <f>IF('Input Sheet'!C262="","",CONCATENATE("Sample ", 'Input Sheet'!B262, "m: ", M260,, K260, J260, " FLUOR in SST. ", "TG ", 'Input Sheet'!I262, "U"))</f>
        <v/>
      </c>
      <c r="G260" s="31" t="str">
        <f>IF('Input Sheet'!C262="","",100-'Input Sheet'!C262)</f>
        <v/>
      </c>
      <c r="H2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0" s="31" t="str">
        <f t="shared" si="4"/>
        <v/>
      </c>
      <c r="J2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0" s="31" t="str">
        <f>IF('Input Sheet'!F261=0, "NO",CONCATENATE('Input Sheet'!F261, IF('Input Sheet'!F261&gt;0,"% ","")))</f>
        <v>NO</v>
      </c>
      <c r="L2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0" s="31" t="str">
        <f>CONCATENATE(L260, IF('Input Sheet'!J262="",""," siderite in "))</f>
        <v/>
      </c>
      <c r="N2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0" s="31" t="str">
        <f>CONCATENATE(N260, IF('Input Sheet'!K262="",""," siderite in "))</f>
        <v/>
      </c>
    </row>
    <row r="261" spans="1:15" x14ac:dyDescent="0.35">
      <c r="A261" s="42" t="str">
        <f>IF('Input Sheet'!C263="","",CONCATENATE("Sample ", 'Input Sheet'!B263, "m: ", M261, G261, "% ", "Siltstone, ", O261, 'Input Sheet'!C263, "% ", I261, " Sandstone, ", K261, J261, " FLUOR in SST. ", "TG ", 'Input Sheet'!I263, "U"))</f>
        <v/>
      </c>
      <c r="B261" s="28" t="str">
        <f>IF('Input Sheet'!C263="","",CONCATENATE("Sample ", 'Input Sheet'!B263, "m: ", N261, H261, "% ", "Siltstone, ", P261, 'Input Sheet'!C263, "% ", J261, " Sandstone "))</f>
        <v/>
      </c>
      <c r="C261" s="28" t="str">
        <f>IF('Input Sheet'!C263="","",CONCATENATE("Sample ", 'Input Sheet'!B263, "m: ", M261,, K261, J261, " FLUOR in SST. ", "TG ", 'Input Sheet'!I263, "U"))</f>
        <v/>
      </c>
      <c r="G261" s="31" t="str">
        <f>IF('Input Sheet'!C263="","",100-'Input Sheet'!C263)</f>
        <v/>
      </c>
      <c r="H2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1" s="31" t="str">
        <f t="shared" si="4"/>
        <v/>
      </c>
      <c r="J2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1" s="31" t="str">
        <f>IF('Input Sheet'!F262=0, "NO",CONCATENATE('Input Sheet'!F262, IF('Input Sheet'!F262&gt;0,"% ","")))</f>
        <v>NO</v>
      </c>
      <c r="L2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1" s="31" t="str">
        <f>CONCATENATE(L261, IF('Input Sheet'!J263="",""," siderite in "))</f>
        <v/>
      </c>
      <c r="N2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1" s="31" t="str">
        <f>CONCATENATE(N261, IF('Input Sheet'!K263="",""," siderite in "))</f>
        <v/>
      </c>
    </row>
    <row r="262" spans="1:15" x14ac:dyDescent="0.35">
      <c r="A262" s="42" t="str">
        <f>IF('Input Sheet'!C264="","",CONCATENATE("Sample ", 'Input Sheet'!B264, "m: ", M262, G262, "% ", "Siltstone, ", O262, 'Input Sheet'!C264, "% ", I262, " Sandstone, ", K262, J262, " FLUOR in SST. ", "TG ", 'Input Sheet'!I264, "U"))</f>
        <v/>
      </c>
      <c r="B262" s="28" t="str">
        <f>IF('Input Sheet'!C264="","",CONCATENATE("Sample ", 'Input Sheet'!B264, "m: ", N262, H262, "% ", "Siltstone, ", P262, 'Input Sheet'!C264, "% ", J262, " Sandstone "))</f>
        <v/>
      </c>
      <c r="C262" s="28" t="str">
        <f>IF('Input Sheet'!C264="","",CONCATENATE("Sample ", 'Input Sheet'!B264, "m: ", M262,, K262, J262, " FLUOR in SST. ", "TG ", 'Input Sheet'!I264, "U"))</f>
        <v/>
      </c>
      <c r="G262" s="31" t="str">
        <f>IF('Input Sheet'!C264="","",100-'Input Sheet'!C264)</f>
        <v/>
      </c>
      <c r="H2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2" s="31" t="str">
        <f t="shared" si="4"/>
        <v/>
      </c>
      <c r="J2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2" s="31" t="str">
        <f>IF('Input Sheet'!F263=0, "NO",CONCATENATE('Input Sheet'!F263, IF('Input Sheet'!F263&gt;0,"% ","")))</f>
        <v>NO</v>
      </c>
      <c r="L2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2" s="31" t="str">
        <f>CONCATENATE(L262, IF('Input Sheet'!J264="",""," siderite in "))</f>
        <v/>
      </c>
      <c r="N2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2" s="31" t="str">
        <f>CONCATENATE(N262, IF('Input Sheet'!K264="",""," siderite in "))</f>
        <v/>
      </c>
    </row>
    <row r="263" spans="1:15" x14ac:dyDescent="0.35">
      <c r="A263" s="42" t="str">
        <f>IF('Input Sheet'!C265="","",CONCATENATE("Sample ", 'Input Sheet'!B265, "m: ", M263, G263, "% ", "Siltstone, ", O263, 'Input Sheet'!C265, "% ", I263, " Sandstone, ", K263, J263, " FLUOR in SST. ", "TG ", 'Input Sheet'!I265, "U"))</f>
        <v/>
      </c>
      <c r="B263" s="28" t="str">
        <f>IF('Input Sheet'!C265="","",CONCATENATE("Sample ", 'Input Sheet'!B265, "m: ", N263, H263, "% ", "Siltstone, ", P263, 'Input Sheet'!C265, "% ", J263, " Sandstone "))</f>
        <v/>
      </c>
      <c r="C263" s="28" t="str">
        <f>IF('Input Sheet'!C265="","",CONCATENATE("Sample ", 'Input Sheet'!B265, "m: ", M263,, K263, J263, " FLUOR in SST. ", "TG ", 'Input Sheet'!I265, "U"))</f>
        <v/>
      </c>
      <c r="G263" s="31" t="str">
        <f>IF('Input Sheet'!C265="","",100-'Input Sheet'!C265)</f>
        <v/>
      </c>
      <c r="H2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3" s="31" t="str">
        <f t="shared" si="4"/>
        <v/>
      </c>
      <c r="J2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3" s="31" t="str">
        <f>IF('Input Sheet'!F264=0, "NO",CONCATENATE('Input Sheet'!F264, IF('Input Sheet'!F264&gt;0,"% ","")))</f>
        <v>NO</v>
      </c>
      <c r="L2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3" s="31" t="str">
        <f>CONCATENATE(L263, IF('Input Sheet'!J265="",""," siderite in "))</f>
        <v/>
      </c>
      <c r="N2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3" s="31" t="str">
        <f>CONCATENATE(N263, IF('Input Sheet'!K265="",""," siderite in "))</f>
        <v/>
      </c>
    </row>
    <row r="264" spans="1:15" x14ac:dyDescent="0.35">
      <c r="A264" s="42" t="str">
        <f>IF('Input Sheet'!C266="","",CONCATENATE("Sample ", 'Input Sheet'!B266, "m: ", M264, G264, "% ", "Siltstone, ", O264, 'Input Sheet'!C266, "% ", I264, " Sandstone, ", K264, J264, " FLUOR in SST. ", "TG ", 'Input Sheet'!I266, "U"))</f>
        <v/>
      </c>
      <c r="B264" s="28" t="str">
        <f>IF('Input Sheet'!C266="","",CONCATENATE("Sample ", 'Input Sheet'!B266, "m: ", N264, H264, "% ", "Siltstone, ", P264, 'Input Sheet'!C266, "% ", J264, " Sandstone "))</f>
        <v/>
      </c>
      <c r="C264" s="28" t="str">
        <f>IF('Input Sheet'!C266="","",CONCATENATE("Sample ", 'Input Sheet'!B266, "m: ", M264,, K264, J264, " FLUOR in SST. ", "TG ", 'Input Sheet'!I266, "U"))</f>
        <v/>
      </c>
      <c r="G264" s="31" t="str">
        <f>IF('Input Sheet'!C266="","",100-'Input Sheet'!C266)</f>
        <v/>
      </c>
      <c r="H2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4" s="31" t="str">
        <f t="shared" si="4"/>
        <v/>
      </c>
      <c r="J2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4" s="31" t="str">
        <f>IF('Input Sheet'!F265=0, "NO",CONCATENATE('Input Sheet'!F265, IF('Input Sheet'!F265&gt;0,"% ","")))</f>
        <v>NO</v>
      </c>
      <c r="L2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4" s="31" t="str">
        <f>CONCATENATE(L264, IF('Input Sheet'!J266="",""," siderite in "))</f>
        <v/>
      </c>
      <c r="N2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4" s="31" t="str">
        <f>CONCATENATE(N264, IF('Input Sheet'!K266="",""," siderite in "))</f>
        <v/>
      </c>
    </row>
    <row r="265" spans="1:15" x14ac:dyDescent="0.35">
      <c r="A265" s="42" t="str">
        <f>IF('Input Sheet'!C267="","",CONCATENATE("Sample ", 'Input Sheet'!B267, "m: ", M265, G265, "% ", "Siltstone, ", O265, 'Input Sheet'!C267, "% ", I265, " Sandstone, ", K265, J265, " FLUOR in SST. ", "TG ", 'Input Sheet'!I267, "U"))</f>
        <v/>
      </c>
      <c r="B265" s="28" t="str">
        <f>IF('Input Sheet'!C267="","",CONCATENATE("Sample ", 'Input Sheet'!B267, "m: ", N265, H265, "% ", "Siltstone, ", P265, 'Input Sheet'!C267, "% ", J265, " Sandstone "))</f>
        <v/>
      </c>
      <c r="C265" s="28" t="str">
        <f>IF('Input Sheet'!C267="","",CONCATENATE("Sample ", 'Input Sheet'!B267, "m: ", M265,, K265, J265, " FLUOR in SST. ", "TG ", 'Input Sheet'!I267, "U"))</f>
        <v/>
      </c>
      <c r="G265" s="31" t="str">
        <f>IF('Input Sheet'!C267="","",100-'Input Sheet'!C267)</f>
        <v/>
      </c>
      <c r="H2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5" s="31" t="str">
        <f t="shared" si="4"/>
        <v/>
      </c>
      <c r="J2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5" s="31" t="str">
        <f>IF('Input Sheet'!F266=0, "NO",CONCATENATE('Input Sheet'!F266, IF('Input Sheet'!F266&gt;0,"% ","")))</f>
        <v>NO</v>
      </c>
      <c r="L2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5" s="31" t="str">
        <f>CONCATENATE(L265, IF('Input Sheet'!J267="",""," siderite in "))</f>
        <v/>
      </c>
      <c r="N2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5" s="31" t="str">
        <f>CONCATENATE(N265, IF('Input Sheet'!K267="",""," siderite in "))</f>
        <v/>
      </c>
    </row>
    <row r="266" spans="1:15" x14ac:dyDescent="0.35">
      <c r="A266" s="42" t="str">
        <f>IF('Input Sheet'!C268="","",CONCATENATE("Sample ", 'Input Sheet'!B268, "m: ", M266, G266, "% ", "Siltstone, ", O266, 'Input Sheet'!C268, "% ", I266, " Sandstone, ", K266, J266, " FLUOR in SST. ", "TG ", 'Input Sheet'!I268, "U"))</f>
        <v/>
      </c>
      <c r="B266" s="28" t="str">
        <f>IF('Input Sheet'!C268="","",CONCATENATE("Sample ", 'Input Sheet'!B268, "m: ", N266, H266, "% ", "Siltstone, ", P266, 'Input Sheet'!C268, "% ", J266, " Sandstone "))</f>
        <v/>
      </c>
      <c r="C266" s="28" t="str">
        <f>IF('Input Sheet'!C268="","",CONCATENATE("Sample ", 'Input Sheet'!B268, "m: ", M266,, K266, J266, " FLUOR in SST. ", "TG ", 'Input Sheet'!I268, "U"))</f>
        <v/>
      </c>
      <c r="G266" s="31" t="str">
        <f>IF('Input Sheet'!C268="","",100-'Input Sheet'!C268)</f>
        <v/>
      </c>
      <c r="H2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6" s="31" t="str">
        <f t="shared" si="4"/>
        <v/>
      </c>
      <c r="J2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6" s="31" t="str">
        <f>IF('Input Sheet'!F267=0, "NO",CONCATENATE('Input Sheet'!F267, IF('Input Sheet'!F267&gt;0,"% ","")))</f>
        <v>NO</v>
      </c>
      <c r="L2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6" s="31" t="str">
        <f>CONCATENATE(L266, IF('Input Sheet'!J268="",""," siderite in "))</f>
        <v/>
      </c>
      <c r="N2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6" s="31" t="str">
        <f>CONCATENATE(N266, IF('Input Sheet'!K268="",""," siderite in "))</f>
        <v/>
      </c>
    </row>
    <row r="267" spans="1:15" x14ac:dyDescent="0.35">
      <c r="A267" s="42" t="str">
        <f>IF('Input Sheet'!C269="","",CONCATENATE("Sample ", 'Input Sheet'!B269, "m: ", M267, G267, "% ", "Siltstone, ", O267, 'Input Sheet'!C269, "% ", I267, " Sandstone, ", K267, J267, " FLUOR in SST. ", "TG ", 'Input Sheet'!I269, "U"))</f>
        <v/>
      </c>
      <c r="B267" s="28" t="str">
        <f>IF('Input Sheet'!C269="","",CONCATENATE("Sample ", 'Input Sheet'!B269, "m: ", N267, H267, "% ", "Siltstone, ", P267, 'Input Sheet'!C269, "% ", J267, " Sandstone "))</f>
        <v/>
      </c>
      <c r="C267" s="28" t="str">
        <f>IF('Input Sheet'!C269="","",CONCATENATE("Sample ", 'Input Sheet'!B269, "m: ", M267,, K267, J267, " FLUOR in SST. ", "TG ", 'Input Sheet'!I269, "U"))</f>
        <v/>
      </c>
      <c r="G267" s="31" t="str">
        <f>IF('Input Sheet'!C269="","",100-'Input Sheet'!C269)</f>
        <v/>
      </c>
      <c r="H2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7" s="31" t="str">
        <f t="shared" si="4"/>
        <v/>
      </c>
      <c r="J2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7" s="31" t="str">
        <f>IF('Input Sheet'!F268=0, "NO",CONCATENATE('Input Sheet'!F268, IF('Input Sheet'!F268&gt;0,"% ","")))</f>
        <v>NO</v>
      </c>
      <c r="L2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7" s="31" t="str">
        <f>CONCATENATE(L267, IF('Input Sheet'!J269="",""," siderite in "))</f>
        <v/>
      </c>
      <c r="N2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7" s="31" t="str">
        <f>CONCATENATE(N267, IF('Input Sheet'!K269="",""," siderite in "))</f>
        <v/>
      </c>
    </row>
    <row r="268" spans="1:15" x14ac:dyDescent="0.35">
      <c r="A268" s="42" t="str">
        <f>IF('Input Sheet'!C270="","",CONCATENATE("Sample ", 'Input Sheet'!B270, "m: ", M268, G268, "% ", "Siltstone, ", O268, 'Input Sheet'!C270, "% ", I268, " Sandstone, ", K268, J268, " FLUOR in SST. ", "TG ", 'Input Sheet'!I270, "U"))</f>
        <v/>
      </c>
      <c r="B268" s="28" t="str">
        <f>IF('Input Sheet'!C270="","",CONCATENATE("Sample ", 'Input Sheet'!B270, "m: ", N268, H268, "% ", "Siltstone, ", P268, 'Input Sheet'!C270, "% ", J268, " Sandstone "))</f>
        <v/>
      </c>
      <c r="C268" s="28" t="str">
        <f>IF('Input Sheet'!C270="","",CONCATENATE("Sample ", 'Input Sheet'!B270, "m: ", M268,, K268, J268, " FLUOR in SST. ", "TG ", 'Input Sheet'!I270, "U"))</f>
        <v/>
      </c>
      <c r="G268" s="31" t="str">
        <f>IF('Input Sheet'!C270="","",100-'Input Sheet'!C270)</f>
        <v/>
      </c>
      <c r="H2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8" s="31" t="str">
        <f t="shared" si="4"/>
        <v/>
      </c>
      <c r="J2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8" s="31" t="str">
        <f>IF('Input Sheet'!F269=0, "NO",CONCATENATE('Input Sheet'!F269, IF('Input Sheet'!F269&gt;0,"% ","")))</f>
        <v>NO</v>
      </c>
      <c r="L2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8" s="31" t="str">
        <f>CONCATENATE(L268, IF('Input Sheet'!J270="",""," siderite in "))</f>
        <v/>
      </c>
      <c r="N2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8" s="31" t="str">
        <f>CONCATENATE(N268, IF('Input Sheet'!K270="",""," siderite in "))</f>
        <v/>
      </c>
    </row>
    <row r="269" spans="1:15" x14ac:dyDescent="0.35">
      <c r="A269" s="42" t="str">
        <f>IF('Input Sheet'!C271="","",CONCATENATE("Sample ", 'Input Sheet'!B271, "m: ", M269, G269, "% ", "Siltstone, ", O269, 'Input Sheet'!C271, "% ", I269, " Sandstone, ", K269, J269, " FLUOR in SST. ", "TG ", 'Input Sheet'!I271, "U"))</f>
        <v/>
      </c>
      <c r="B269" s="28" t="str">
        <f>IF('Input Sheet'!C271="","",CONCATENATE("Sample ", 'Input Sheet'!B271, "m: ", N269, H269, "% ", "Siltstone, ", P269, 'Input Sheet'!C271, "% ", J269, " Sandstone "))</f>
        <v/>
      </c>
      <c r="C269" s="28" t="str">
        <f>IF('Input Sheet'!C271="","",CONCATENATE("Sample ", 'Input Sheet'!B271, "m: ", M269,, K269, J269, " FLUOR in SST. ", "TG ", 'Input Sheet'!I271, "U"))</f>
        <v/>
      </c>
      <c r="G269" s="31" t="str">
        <f>IF('Input Sheet'!C271="","",100-'Input Sheet'!C271)</f>
        <v/>
      </c>
      <c r="H2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9" s="31" t="str">
        <f t="shared" si="4"/>
        <v/>
      </c>
      <c r="J2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9" s="31" t="str">
        <f>IF('Input Sheet'!F270=0, "NO",CONCATENATE('Input Sheet'!F270, IF('Input Sheet'!F270&gt;0,"% ","")))</f>
        <v>NO</v>
      </c>
      <c r="L2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9" s="31" t="str">
        <f>CONCATENATE(L269, IF('Input Sheet'!J271="",""," siderite in "))</f>
        <v/>
      </c>
      <c r="N2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9" s="31" t="str">
        <f>CONCATENATE(N269, IF('Input Sheet'!K271="",""," siderite in "))</f>
        <v/>
      </c>
    </row>
    <row r="270" spans="1:15" x14ac:dyDescent="0.35">
      <c r="A270" s="42" t="str">
        <f>IF('Input Sheet'!C272="","",CONCATENATE("Sample ", 'Input Sheet'!B272, "m: ", M270, G270, "% ", "Siltstone, ", O270, 'Input Sheet'!C272, "% ", I270, " Sandstone, ", K270, J270, " FLUOR in SST. ", "TG ", 'Input Sheet'!I272, "U"))</f>
        <v/>
      </c>
      <c r="B270" s="28" t="str">
        <f>IF('Input Sheet'!C272="","",CONCATENATE("Sample ", 'Input Sheet'!B272, "m: ", N270, H270, "% ", "Siltstone, ", P270, 'Input Sheet'!C272, "% ", J270, " Sandstone "))</f>
        <v/>
      </c>
      <c r="C270" s="28" t="str">
        <f>IF('Input Sheet'!C272="","",CONCATENATE("Sample ", 'Input Sheet'!B272, "m: ", M270,, K270, J270, " FLUOR in SST. ", "TG ", 'Input Sheet'!I272, "U"))</f>
        <v/>
      </c>
      <c r="G270" s="31" t="str">
        <f>IF('Input Sheet'!C272="","",100-'Input Sheet'!C272)</f>
        <v/>
      </c>
      <c r="H2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0" s="31" t="str">
        <f t="shared" si="4"/>
        <v/>
      </c>
      <c r="J2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0" s="31" t="str">
        <f>IF('Input Sheet'!F271=0, "NO",CONCATENATE('Input Sheet'!F271, IF('Input Sheet'!F271&gt;0,"% ","")))</f>
        <v>NO</v>
      </c>
      <c r="L2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0" s="31" t="str">
        <f>CONCATENATE(L270, IF('Input Sheet'!J272="",""," siderite in "))</f>
        <v/>
      </c>
      <c r="N2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0" s="31" t="str">
        <f>CONCATENATE(N270, IF('Input Sheet'!K272="",""," siderite in "))</f>
        <v/>
      </c>
    </row>
    <row r="271" spans="1:15" x14ac:dyDescent="0.35">
      <c r="A271" s="42" t="str">
        <f>IF('Input Sheet'!C273="","",CONCATENATE("Sample ", 'Input Sheet'!B273, "m: ", M271, G271, "% ", "Siltstone, ", O271, 'Input Sheet'!C273, "% ", I271, " Sandstone, ", K271, J271, " FLUOR in SST. ", "TG ", 'Input Sheet'!I273, "U"))</f>
        <v/>
      </c>
      <c r="B271" s="28" t="str">
        <f>IF('Input Sheet'!C273="","",CONCATENATE("Sample ", 'Input Sheet'!B273, "m: ", N271, H271, "% ", "Siltstone, ", P271, 'Input Sheet'!C273, "% ", J271, " Sandstone "))</f>
        <v/>
      </c>
      <c r="C271" s="28" t="str">
        <f>IF('Input Sheet'!C273="","",CONCATENATE("Sample ", 'Input Sheet'!B273, "m: ", M271,, K271, J271, " FLUOR in SST. ", "TG ", 'Input Sheet'!I273, "U"))</f>
        <v/>
      </c>
      <c r="G271" s="31" t="str">
        <f>IF('Input Sheet'!C273="","",100-'Input Sheet'!C273)</f>
        <v/>
      </c>
      <c r="H2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1" s="31" t="str">
        <f t="shared" si="4"/>
        <v/>
      </c>
      <c r="J2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1" s="31" t="str">
        <f>IF('Input Sheet'!F272=0, "NO",CONCATENATE('Input Sheet'!F272, IF('Input Sheet'!F272&gt;0,"% ","")))</f>
        <v>NO</v>
      </c>
      <c r="L2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1" s="31" t="str">
        <f>CONCATENATE(L271, IF('Input Sheet'!J273="",""," siderite in "))</f>
        <v/>
      </c>
      <c r="N2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1" s="31" t="str">
        <f>CONCATENATE(N271, IF('Input Sheet'!K273="",""," siderite in "))</f>
        <v/>
      </c>
    </row>
    <row r="272" spans="1:15" x14ac:dyDescent="0.35">
      <c r="A272" s="42" t="str">
        <f>IF('Input Sheet'!C274="","",CONCATENATE("Sample ", 'Input Sheet'!B274, "m: ", M272, G272, "% ", "Siltstone, ", O272, 'Input Sheet'!C274, "% ", I272, " Sandstone, ", K272, J272, " FLUOR in SST. ", "TG ", 'Input Sheet'!I274, "U"))</f>
        <v/>
      </c>
      <c r="B272" s="28" t="str">
        <f>IF('Input Sheet'!C274="","",CONCATENATE("Sample ", 'Input Sheet'!B274, "m: ", N272, H272, "% ", "Siltstone, ", P272, 'Input Sheet'!C274, "% ", J272, " Sandstone "))</f>
        <v/>
      </c>
      <c r="C272" s="28" t="str">
        <f>IF('Input Sheet'!C274="","",CONCATENATE("Sample ", 'Input Sheet'!B274, "m: ", M272,, K272, J272, " FLUOR in SST. ", "TG ", 'Input Sheet'!I274, "U"))</f>
        <v/>
      </c>
      <c r="G272" s="31" t="str">
        <f>IF('Input Sheet'!C274="","",100-'Input Sheet'!C274)</f>
        <v/>
      </c>
      <c r="H2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2" s="31" t="str">
        <f t="shared" si="4"/>
        <v/>
      </c>
      <c r="J2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2" s="31" t="str">
        <f>IF('Input Sheet'!F273=0, "NO",CONCATENATE('Input Sheet'!F273, IF('Input Sheet'!F273&gt;0,"% ","")))</f>
        <v>NO</v>
      </c>
      <c r="L2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2" s="31" t="str">
        <f>CONCATENATE(L272, IF('Input Sheet'!J274="",""," siderite in "))</f>
        <v/>
      </c>
      <c r="N2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2" s="31" t="str">
        <f>CONCATENATE(N272, IF('Input Sheet'!K274="",""," siderite in "))</f>
        <v/>
      </c>
    </row>
    <row r="273" spans="1:15" x14ac:dyDescent="0.35">
      <c r="A273" s="42" t="str">
        <f>IF('Input Sheet'!C275="","",CONCATENATE("Sample ", 'Input Sheet'!B275, "m: ", M273, G273, "% ", "Siltstone, ", O273, 'Input Sheet'!C275, "% ", I273, " Sandstone, ", K273, J273, " FLUOR in SST. ", "TG ", 'Input Sheet'!I275, "U"))</f>
        <v/>
      </c>
      <c r="B273" s="28" t="str">
        <f>IF('Input Sheet'!C275="","",CONCATENATE("Sample ", 'Input Sheet'!B275, "m: ", N273, H273, "% ", "Siltstone, ", P273, 'Input Sheet'!C275, "% ", J273, " Sandstone "))</f>
        <v/>
      </c>
      <c r="C273" s="28" t="str">
        <f>IF('Input Sheet'!C275="","",CONCATENATE("Sample ", 'Input Sheet'!B275, "m: ", M273,, K273, J273, " FLUOR in SST. ", "TG ", 'Input Sheet'!I275, "U"))</f>
        <v/>
      </c>
      <c r="G273" s="31" t="str">
        <f>IF('Input Sheet'!C275="","",100-'Input Sheet'!C275)</f>
        <v/>
      </c>
      <c r="H2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3" s="31" t="str">
        <f t="shared" si="4"/>
        <v/>
      </c>
      <c r="J2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3" s="31" t="str">
        <f>IF('Input Sheet'!F274=0, "NO",CONCATENATE('Input Sheet'!F274, IF('Input Sheet'!F274&gt;0,"% ","")))</f>
        <v>NO</v>
      </c>
      <c r="L2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3" s="31" t="str">
        <f>CONCATENATE(L273, IF('Input Sheet'!J275="",""," siderite in "))</f>
        <v/>
      </c>
      <c r="N2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3" s="31" t="str">
        <f>CONCATENATE(N273, IF('Input Sheet'!K275="",""," siderite in "))</f>
        <v/>
      </c>
    </row>
    <row r="274" spans="1:15" x14ac:dyDescent="0.35">
      <c r="A274" s="42" t="str">
        <f>IF('Input Sheet'!C276="","",CONCATENATE("Sample ", 'Input Sheet'!B276, "m: ", M274, G274, "% ", "Siltstone, ", O274, 'Input Sheet'!C276, "% ", I274, " Sandstone, ", K274, J274, " FLUOR in SST. ", "TG ", 'Input Sheet'!I276, "U"))</f>
        <v/>
      </c>
      <c r="B274" s="28" t="str">
        <f>IF('Input Sheet'!C276="","",CONCATENATE("Sample ", 'Input Sheet'!B276, "m: ", N274, H274, "% ", "Siltstone, ", P274, 'Input Sheet'!C276, "% ", J274, " Sandstone "))</f>
        <v/>
      </c>
      <c r="C274" s="28" t="str">
        <f>IF('Input Sheet'!C276="","",CONCATENATE("Sample ", 'Input Sheet'!B276, "m: ", M274,, K274, J274, " FLUOR in SST. ", "TG ", 'Input Sheet'!I276, "U"))</f>
        <v/>
      </c>
      <c r="G274" s="31" t="str">
        <f>IF('Input Sheet'!C276="","",100-'Input Sheet'!C276)</f>
        <v/>
      </c>
      <c r="H2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4" s="31" t="str">
        <f t="shared" si="4"/>
        <v/>
      </c>
      <c r="J2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4" s="31" t="str">
        <f>IF('Input Sheet'!F275=0, "NO",CONCATENATE('Input Sheet'!F275, IF('Input Sheet'!F275&gt;0,"% ","")))</f>
        <v>NO</v>
      </c>
      <c r="L2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4" s="31" t="str">
        <f>CONCATENATE(L274, IF('Input Sheet'!J276="",""," siderite in "))</f>
        <v/>
      </c>
      <c r="N2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4" s="31" t="str">
        <f>CONCATENATE(N274, IF('Input Sheet'!K276="",""," siderite in "))</f>
        <v/>
      </c>
    </row>
    <row r="275" spans="1:15" x14ac:dyDescent="0.35">
      <c r="A275" s="42" t="str">
        <f>IF('Input Sheet'!C277="","",CONCATENATE("Sample ", 'Input Sheet'!B277, "m: ", M275, G275, "% ", "Siltstone, ", O275, 'Input Sheet'!C277, "% ", I275, " Sandstone, ", K275, J275, " FLUOR in SST. ", "TG ", 'Input Sheet'!I277, "U"))</f>
        <v/>
      </c>
      <c r="B275" s="28" t="str">
        <f>IF('Input Sheet'!C277="","",CONCATENATE("Sample ", 'Input Sheet'!B277, "m: ", N275, H275, "% ", "Siltstone, ", P275, 'Input Sheet'!C277, "% ", J275, " Sandstone "))</f>
        <v/>
      </c>
      <c r="C275" s="28" t="str">
        <f>IF('Input Sheet'!C277="","",CONCATENATE("Sample ", 'Input Sheet'!B277, "m: ", M275,, K275, J275, " FLUOR in SST. ", "TG ", 'Input Sheet'!I277, "U"))</f>
        <v/>
      </c>
      <c r="G275" s="31" t="str">
        <f>IF('Input Sheet'!C277="","",100-'Input Sheet'!C277)</f>
        <v/>
      </c>
      <c r="H2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5" s="31" t="str">
        <f t="shared" si="4"/>
        <v/>
      </c>
      <c r="J2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5" s="31" t="str">
        <f>IF('Input Sheet'!F276=0, "NO",CONCATENATE('Input Sheet'!F276, IF('Input Sheet'!F276&gt;0,"% ","")))</f>
        <v>NO</v>
      </c>
      <c r="L2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5" s="31" t="str">
        <f>CONCATENATE(L275, IF('Input Sheet'!J277="",""," siderite in "))</f>
        <v/>
      </c>
      <c r="N2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5" s="31" t="str">
        <f>CONCATENATE(N275, IF('Input Sheet'!K277="",""," siderite in "))</f>
        <v/>
      </c>
    </row>
    <row r="276" spans="1:15" x14ac:dyDescent="0.35">
      <c r="A276" s="42" t="str">
        <f>IF('Input Sheet'!C278="","",CONCATENATE("Sample ", 'Input Sheet'!B278, "m: ", M276, G276, "% ", "Siltstone, ", O276, 'Input Sheet'!C278, "% ", I276, " Sandstone, ", K276, J276, " FLUOR in SST. ", "TG ", 'Input Sheet'!I278, "U"))</f>
        <v/>
      </c>
      <c r="B276" s="28" t="str">
        <f>IF('Input Sheet'!C278="","",CONCATENATE("Sample ", 'Input Sheet'!B278, "m: ", N276, H276, "% ", "Siltstone, ", P276, 'Input Sheet'!C278, "% ", J276, " Sandstone "))</f>
        <v/>
      </c>
      <c r="C276" s="28" t="str">
        <f>IF('Input Sheet'!C278="","",CONCATENATE("Sample ", 'Input Sheet'!B278, "m: ", M276,, K276, J276, " FLUOR in SST. ", "TG ", 'Input Sheet'!I278, "U"))</f>
        <v/>
      </c>
      <c r="G276" s="31" t="str">
        <f>IF('Input Sheet'!C278="","",100-'Input Sheet'!C278)</f>
        <v/>
      </c>
      <c r="H2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6" s="31" t="str">
        <f t="shared" si="4"/>
        <v/>
      </c>
      <c r="J2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6" s="31" t="str">
        <f>IF('Input Sheet'!F277=0, "NO",CONCATENATE('Input Sheet'!F277, IF('Input Sheet'!F277&gt;0,"% ","")))</f>
        <v>NO</v>
      </c>
      <c r="L2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6" s="31" t="str">
        <f>CONCATENATE(L276, IF('Input Sheet'!J278="",""," siderite in "))</f>
        <v/>
      </c>
      <c r="N2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6" s="31" t="str">
        <f>CONCATENATE(N276, IF('Input Sheet'!K278="",""," siderite in "))</f>
        <v/>
      </c>
    </row>
    <row r="277" spans="1:15" x14ac:dyDescent="0.35">
      <c r="A277" s="42" t="str">
        <f>IF('Input Sheet'!C279="","",CONCATENATE("Sample ", 'Input Sheet'!B279, "m: ", M277, G277, "% ", "Siltstone, ", O277, 'Input Sheet'!C279, "% ", I277, " Sandstone, ", K277, J277, " FLUOR in SST. ", "TG ", 'Input Sheet'!I279, "U"))</f>
        <v/>
      </c>
      <c r="B277" s="28" t="str">
        <f>IF('Input Sheet'!C279="","",CONCATENATE("Sample ", 'Input Sheet'!B279, "m: ", N277, H277, "% ", "Siltstone, ", P277, 'Input Sheet'!C279, "% ", J277, " Sandstone "))</f>
        <v/>
      </c>
      <c r="C277" s="28" t="str">
        <f>IF('Input Sheet'!C279="","",CONCATENATE("Sample ", 'Input Sheet'!B279, "m: ", M277,, K277, J277, " FLUOR in SST. ", "TG ", 'Input Sheet'!I279, "U"))</f>
        <v/>
      </c>
      <c r="G277" s="31" t="str">
        <f>IF('Input Sheet'!C279="","",100-'Input Sheet'!C279)</f>
        <v/>
      </c>
      <c r="H2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7" s="31" t="str">
        <f t="shared" si="4"/>
        <v/>
      </c>
      <c r="J2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7" s="31" t="str">
        <f>IF('Input Sheet'!F278=0, "NO",CONCATENATE('Input Sheet'!F278, IF('Input Sheet'!F278&gt;0,"% ","")))</f>
        <v>NO</v>
      </c>
      <c r="L2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7" s="31" t="str">
        <f>CONCATENATE(L277, IF('Input Sheet'!J279="",""," siderite in "))</f>
        <v/>
      </c>
      <c r="N2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7" s="31" t="str">
        <f>CONCATENATE(N277, IF('Input Sheet'!K279="",""," siderite in "))</f>
        <v/>
      </c>
    </row>
    <row r="278" spans="1:15" x14ac:dyDescent="0.35">
      <c r="A278" s="42" t="str">
        <f>IF('Input Sheet'!C280="","",CONCATENATE("Sample ", 'Input Sheet'!B280, "m: ", M278, G278, "% ", "Siltstone, ", O278, 'Input Sheet'!C280, "% ", I278, " Sandstone, ", K278, J278, " FLUOR in SST. ", "TG ", 'Input Sheet'!I280, "U"))</f>
        <v/>
      </c>
      <c r="B278" s="28" t="str">
        <f>IF('Input Sheet'!C280="","",CONCATENATE("Sample ", 'Input Sheet'!B280, "m: ", N278, H278, "% ", "Siltstone, ", P278, 'Input Sheet'!C280, "% ", J278, " Sandstone "))</f>
        <v/>
      </c>
      <c r="C278" s="28" t="str">
        <f>IF('Input Sheet'!C280="","",CONCATENATE("Sample ", 'Input Sheet'!B280, "m: ", M278,, K278, J278, " FLUOR in SST. ", "TG ", 'Input Sheet'!I280, "U"))</f>
        <v/>
      </c>
      <c r="G278" s="31" t="str">
        <f>IF('Input Sheet'!C280="","",100-'Input Sheet'!C280)</f>
        <v/>
      </c>
      <c r="H2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8" s="31" t="str">
        <f t="shared" si="4"/>
        <v/>
      </c>
      <c r="J2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8" s="31" t="str">
        <f>IF('Input Sheet'!F279=0, "NO",CONCATENATE('Input Sheet'!F279, IF('Input Sheet'!F279&gt;0,"% ","")))</f>
        <v>NO</v>
      </c>
      <c r="L2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8" s="31" t="str">
        <f>CONCATENATE(L278, IF('Input Sheet'!J280="",""," siderite in "))</f>
        <v/>
      </c>
      <c r="N2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8" s="31" t="str">
        <f>CONCATENATE(N278, IF('Input Sheet'!K280="",""," siderite in "))</f>
        <v/>
      </c>
    </row>
    <row r="279" spans="1:15" x14ac:dyDescent="0.35">
      <c r="A279" s="42" t="str">
        <f>IF('Input Sheet'!C281="","",CONCATENATE("Sample ", 'Input Sheet'!B281, "m: ", M279, G279, "% ", "Siltstone, ", O279, 'Input Sheet'!C281, "% ", I279, " Sandstone, ", K279, J279, " FLUOR in SST. ", "TG ", 'Input Sheet'!I281, "U"))</f>
        <v/>
      </c>
      <c r="B279" s="28" t="str">
        <f>IF('Input Sheet'!C281="","",CONCATENATE("Sample ", 'Input Sheet'!B281, "m: ", N279, H279, "% ", "Siltstone, ", P279, 'Input Sheet'!C281, "% ", J279, " Sandstone "))</f>
        <v/>
      </c>
      <c r="C279" s="28" t="str">
        <f>IF('Input Sheet'!C281="","",CONCATENATE("Sample ", 'Input Sheet'!B281, "m: ", M279,, K279, J279, " FLUOR in SST. ", "TG ", 'Input Sheet'!I281, "U"))</f>
        <v/>
      </c>
      <c r="G279" s="31" t="str">
        <f>IF('Input Sheet'!C281="","",100-'Input Sheet'!C281)</f>
        <v/>
      </c>
      <c r="H2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9" s="31" t="str">
        <f t="shared" si="4"/>
        <v/>
      </c>
      <c r="J2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9" s="31" t="str">
        <f>IF('Input Sheet'!F280=0, "NO",CONCATENATE('Input Sheet'!F280, IF('Input Sheet'!F280&gt;0,"% ","")))</f>
        <v>NO</v>
      </c>
      <c r="L2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9" s="31" t="str">
        <f>CONCATENATE(L279, IF('Input Sheet'!J281="",""," siderite in "))</f>
        <v/>
      </c>
      <c r="N2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9" s="31" t="str">
        <f>CONCATENATE(N279, IF('Input Sheet'!K281="",""," siderite in "))</f>
        <v/>
      </c>
    </row>
    <row r="280" spans="1:15" x14ac:dyDescent="0.35">
      <c r="A280" s="42" t="str">
        <f>IF('Input Sheet'!C282="","",CONCATENATE("Sample ", 'Input Sheet'!B282, "m: ", M280, G280, "% ", "Siltstone, ", O280, 'Input Sheet'!C282, "% ", I280, " Sandstone, ", K280, J280, " FLUOR in SST. ", "TG ", 'Input Sheet'!I282, "U"))</f>
        <v/>
      </c>
      <c r="B280" s="28" t="str">
        <f>IF('Input Sheet'!C282="","",CONCATENATE("Sample ", 'Input Sheet'!B282, "m: ", N280, H280, "% ", "Siltstone, ", P280, 'Input Sheet'!C282, "% ", J280, " Sandstone "))</f>
        <v/>
      </c>
      <c r="C280" s="28" t="str">
        <f>IF('Input Sheet'!C282="","",CONCATENATE("Sample ", 'Input Sheet'!B282, "m: ", M280,, K280, J280, " FLUOR in SST. ", "TG ", 'Input Sheet'!I282, "U"))</f>
        <v/>
      </c>
      <c r="G280" s="31" t="str">
        <f>IF('Input Sheet'!C282="","",100-'Input Sheet'!C282)</f>
        <v/>
      </c>
      <c r="H2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0" s="31" t="str">
        <f t="shared" si="4"/>
        <v/>
      </c>
      <c r="J2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0" s="31" t="str">
        <f>IF('Input Sheet'!F281=0, "NO",CONCATENATE('Input Sheet'!F281, IF('Input Sheet'!F281&gt;0,"% ","")))</f>
        <v>NO</v>
      </c>
      <c r="L2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0" s="31" t="str">
        <f>CONCATENATE(L280, IF('Input Sheet'!J282="",""," siderite in "))</f>
        <v/>
      </c>
      <c r="N2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0" s="31" t="str">
        <f>CONCATENATE(N280, IF('Input Sheet'!K282="",""," siderite in "))</f>
        <v/>
      </c>
    </row>
    <row r="281" spans="1:15" x14ac:dyDescent="0.35">
      <c r="A281" s="42" t="str">
        <f>IF('Input Sheet'!C283="","",CONCATENATE("Sample ", 'Input Sheet'!B283, "m: ", M281, G281, "% ", "Siltstone, ", O281, 'Input Sheet'!C283, "% ", I281, " Sandstone, ", K281, J281, " FLUOR in SST. ", "TG ", 'Input Sheet'!I283, "U"))</f>
        <v/>
      </c>
      <c r="B281" s="28" t="str">
        <f>IF('Input Sheet'!C283="","",CONCATENATE("Sample ", 'Input Sheet'!B283, "m: ", N281, H281, "% ", "Siltstone, ", P281, 'Input Sheet'!C283, "% ", J281, " Sandstone "))</f>
        <v/>
      </c>
      <c r="C281" s="28" t="str">
        <f>IF('Input Sheet'!C283="","",CONCATENATE("Sample ", 'Input Sheet'!B283, "m: ", M281,, K281, J281, " FLUOR in SST. ", "TG ", 'Input Sheet'!I283, "U"))</f>
        <v/>
      </c>
      <c r="G281" s="31" t="str">
        <f>IF('Input Sheet'!C283="","",100-'Input Sheet'!C283)</f>
        <v/>
      </c>
      <c r="H2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1" s="31" t="str">
        <f t="shared" si="4"/>
        <v/>
      </c>
      <c r="J2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1" s="31" t="str">
        <f>IF('Input Sheet'!F282=0, "NO",CONCATENATE('Input Sheet'!F282, IF('Input Sheet'!F282&gt;0,"% ","")))</f>
        <v>NO</v>
      </c>
      <c r="L2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1" s="31" t="str">
        <f>CONCATENATE(L281, IF('Input Sheet'!J283="",""," siderite in "))</f>
        <v/>
      </c>
      <c r="N2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1" s="31" t="str">
        <f>CONCATENATE(N281, IF('Input Sheet'!K283="",""," siderite in "))</f>
        <v/>
      </c>
    </row>
    <row r="282" spans="1:15" x14ac:dyDescent="0.35">
      <c r="A282" s="42" t="str">
        <f>IF('Input Sheet'!C284="","",CONCATENATE("Sample ", 'Input Sheet'!B284, "m: ", M282, G282, "% ", "Siltstone, ", O282, 'Input Sheet'!C284, "% ", I282, " Sandstone, ", K282, J282, " FLUOR in SST. ", "TG ", 'Input Sheet'!I284, "U"))</f>
        <v/>
      </c>
      <c r="B282" s="28" t="str">
        <f>IF('Input Sheet'!C284="","",CONCATENATE("Sample ", 'Input Sheet'!B284, "m: ", N282, H282, "% ", "Siltstone, ", P282, 'Input Sheet'!C284, "% ", J282, " Sandstone "))</f>
        <v/>
      </c>
      <c r="C282" s="28" t="str">
        <f>IF('Input Sheet'!C284="","",CONCATENATE("Sample ", 'Input Sheet'!B284, "m: ", M282,, K282, J282, " FLUOR in SST. ", "TG ", 'Input Sheet'!I284, "U"))</f>
        <v/>
      </c>
      <c r="G282" s="31" t="str">
        <f>IF('Input Sheet'!C284="","",100-'Input Sheet'!C284)</f>
        <v/>
      </c>
      <c r="H2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2" s="31" t="str">
        <f t="shared" si="4"/>
        <v/>
      </c>
      <c r="J2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2" s="31" t="str">
        <f>IF('Input Sheet'!F283=0, "NO",CONCATENATE('Input Sheet'!F283, IF('Input Sheet'!F283&gt;0,"% ","")))</f>
        <v>NO</v>
      </c>
      <c r="L2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2" s="31" t="str">
        <f>CONCATENATE(L282, IF('Input Sheet'!J284="",""," siderite in "))</f>
        <v/>
      </c>
      <c r="N2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2" s="31" t="str">
        <f>CONCATENATE(N282, IF('Input Sheet'!K284="",""," siderite in "))</f>
        <v/>
      </c>
    </row>
    <row r="283" spans="1:15" x14ac:dyDescent="0.35">
      <c r="A283" s="42" t="str">
        <f>IF('Input Sheet'!C285="","",CONCATENATE("Sample ", 'Input Sheet'!B285, "m: ", M283, G283, "% ", "Siltstone, ", O283, 'Input Sheet'!C285, "% ", I283, " Sandstone, ", K283, J283, " FLUOR in SST. ", "TG ", 'Input Sheet'!I285, "U"))</f>
        <v/>
      </c>
      <c r="B283" s="28" t="str">
        <f>IF('Input Sheet'!C285="","",CONCATENATE("Sample ", 'Input Sheet'!B285, "m: ", N283, H283, "% ", "Siltstone, ", P283, 'Input Sheet'!C285, "% ", J283, " Sandstone "))</f>
        <v/>
      </c>
      <c r="C283" s="28" t="str">
        <f>IF('Input Sheet'!C285="","",CONCATENATE("Sample ", 'Input Sheet'!B285, "m: ", M283,, K283, J283, " FLUOR in SST. ", "TG ", 'Input Sheet'!I285, "U"))</f>
        <v/>
      </c>
      <c r="G283" s="31" t="str">
        <f>IF('Input Sheet'!C285="","",100-'Input Sheet'!C285)</f>
        <v/>
      </c>
      <c r="H2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3" s="31" t="str">
        <f t="shared" si="4"/>
        <v/>
      </c>
      <c r="J2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3" s="31" t="str">
        <f>IF('Input Sheet'!F284=0, "NO",CONCATENATE('Input Sheet'!F284, IF('Input Sheet'!F284&gt;0,"% ","")))</f>
        <v>NO</v>
      </c>
      <c r="L2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3" s="31" t="str">
        <f>CONCATENATE(L283, IF('Input Sheet'!J285="",""," siderite in "))</f>
        <v/>
      </c>
      <c r="N2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3" s="31" t="str">
        <f>CONCATENATE(N283, IF('Input Sheet'!K285="",""," siderite in "))</f>
        <v/>
      </c>
    </row>
    <row r="284" spans="1:15" x14ac:dyDescent="0.35">
      <c r="A284" s="42" t="str">
        <f>IF('Input Sheet'!C286="","",CONCATENATE("Sample ", 'Input Sheet'!B286, "m: ", M284, G284, "% ", "Siltstone, ", O284, 'Input Sheet'!C286, "% ", I284, " Sandstone, ", K284, J284, " FLUOR in SST. ", "TG ", 'Input Sheet'!I286, "U"))</f>
        <v/>
      </c>
      <c r="B284" s="28" t="str">
        <f>IF('Input Sheet'!C286="","",CONCATENATE("Sample ", 'Input Sheet'!B286, "m: ", N284, H284, "% ", "Siltstone, ", P284, 'Input Sheet'!C286, "% ", J284, " Sandstone "))</f>
        <v/>
      </c>
      <c r="C284" s="28" t="str">
        <f>IF('Input Sheet'!C286="","",CONCATENATE("Sample ", 'Input Sheet'!B286, "m: ", M284,, K284, J284, " FLUOR in SST. ", "TG ", 'Input Sheet'!I286, "U"))</f>
        <v/>
      </c>
      <c r="G284" s="31" t="str">
        <f>IF('Input Sheet'!C286="","",100-'Input Sheet'!C286)</f>
        <v/>
      </c>
      <c r="H2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4" s="31" t="str">
        <f t="shared" si="4"/>
        <v/>
      </c>
      <c r="J2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4" s="31" t="str">
        <f>IF('Input Sheet'!F285=0, "NO",CONCATENATE('Input Sheet'!F285, IF('Input Sheet'!F285&gt;0,"% ","")))</f>
        <v>NO</v>
      </c>
      <c r="L2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4" s="31" t="str">
        <f>CONCATENATE(L284, IF('Input Sheet'!J286="",""," siderite in "))</f>
        <v/>
      </c>
      <c r="N2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4" s="31" t="str">
        <f>CONCATENATE(N284, IF('Input Sheet'!K286="",""," siderite in "))</f>
        <v/>
      </c>
    </row>
    <row r="285" spans="1:15" x14ac:dyDescent="0.35">
      <c r="A285" s="42" t="str">
        <f>IF('Input Sheet'!C287="","",CONCATENATE("Sample ", 'Input Sheet'!B287, "m: ", M285, G285, "% ", "Siltstone, ", O285, 'Input Sheet'!C287, "% ", I285, " Sandstone, ", K285, J285, " FLUOR in SST. ", "TG ", 'Input Sheet'!I287, "U"))</f>
        <v/>
      </c>
      <c r="B285" s="28" t="str">
        <f>IF('Input Sheet'!C287="","",CONCATENATE("Sample ", 'Input Sheet'!B287, "m: ", N285, H285, "% ", "Siltstone, ", P285, 'Input Sheet'!C287, "% ", J285, " Sandstone "))</f>
        <v/>
      </c>
      <c r="C285" s="28" t="str">
        <f>IF('Input Sheet'!C287="","",CONCATENATE("Sample ", 'Input Sheet'!B287, "m: ", M285,, K285, J285, " FLUOR in SST. ", "TG ", 'Input Sheet'!I287, "U"))</f>
        <v/>
      </c>
      <c r="G285" s="31" t="str">
        <f>IF('Input Sheet'!C287="","",100-'Input Sheet'!C287)</f>
        <v/>
      </c>
      <c r="H2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5" s="31" t="str">
        <f t="shared" si="4"/>
        <v/>
      </c>
      <c r="J2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5" s="31" t="str">
        <f>IF('Input Sheet'!F286=0, "NO",CONCATENATE('Input Sheet'!F286, IF('Input Sheet'!F286&gt;0,"% ","")))</f>
        <v>NO</v>
      </c>
      <c r="L2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5" s="31" t="str">
        <f>CONCATENATE(L285, IF('Input Sheet'!J287="",""," siderite in "))</f>
        <v/>
      </c>
      <c r="N2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5" s="31" t="str">
        <f>CONCATENATE(N285, IF('Input Sheet'!K287="",""," siderite in "))</f>
        <v/>
      </c>
    </row>
    <row r="286" spans="1:15" x14ac:dyDescent="0.35">
      <c r="A286" s="42" t="str">
        <f>IF('Input Sheet'!C288="","",CONCATENATE("Sample ", 'Input Sheet'!B288, "m: ", M286, G286, "% ", "Siltstone, ", O286, 'Input Sheet'!C288, "% ", I286, " Sandstone, ", K286, J286, " FLUOR in SST. ", "TG ", 'Input Sheet'!I288, "U"))</f>
        <v/>
      </c>
      <c r="B286" s="28" t="str">
        <f>IF('Input Sheet'!C288="","",CONCATENATE("Sample ", 'Input Sheet'!B288, "m: ", N286, H286, "% ", "Siltstone, ", P286, 'Input Sheet'!C288, "% ", J286, " Sandstone "))</f>
        <v/>
      </c>
      <c r="C286" s="28" t="str">
        <f>IF('Input Sheet'!C288="","",CONCATENATE("Sample ", 'Input Sheet'!B288, "m: ", M286,, K286, J286, " FLUOR in SST. ", "TG ", 'Input Sheet'!I288, "U"))</f>
        <v/>
      </c>
      <c r="G286" s="31" t="str">
        <f>IF('Input Sheet'!C288="","",100-'Input Sheet'!C288)</f>
        <v/>
      </c>
      <c r="H2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6" s="31" t="str">
        <f t="shared" si="4"/>
        <v/>
      </c>
      <c r="J2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6" s="31" t="str">
        <f>IF('Input Sheet'!F287=0, "NO",CONCATENATE('Input Sheet'!F287, IF('Input Sheet'!F287&gt;0,"% ","")))</f>
        <v>NO</v>
      </c>
      <c r="L2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6" s="31" t="str">
        <f>CONCATENATE(L286, IF('Input Sheet'!J288="",""," siderite in "))</f>
        <v/>
      </c>
      <c r="N2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6" s="31" t="str">
        <f>CONCATENATE(N286, IF('Input Sheet'!K288="",""," siderite in "))</f>
        <v/>
      </c>
    </row>
    <row r="287" spans="1:15" x14ac:dyDescent="0.35">
      <c r="A287" s="42" t="str">
        <f>IF('Input Sheet'!C289="","",CONCATENATE("Sample ", 'Input Sheet'!B289, "m: ", M287, G287, "% ", "Siltstone, ", O287, 'Input Sheet'!C289, "% ", I287, " Sandstone, ", K287, J287, " FLUOR in SST. ", "TG ", 'Input Sheet'!I289, "U"))</f>
        <v/>
      </c>
      <c r="B287" s="28" t="str">
        <f>IF('Input Sheet'!C289="","",CONCATENATE("Sample ", 'Input Sheet'!B289, "m: ", N287, H287, "% ", "Siltstone, ", P287, 'Input Sheet'!C289, "% ", J287, " Sandstone "))</f>
        <v/>
      </c>
      <c r="C287" s="28" t="str">
        <f>IF('Input Sheet'!C289="","",CONCATENATE("Sample ", 'Input Sheet'!B289, "m: ", M287,, K287, J287, " FLUOR in SST. ", "TG ", 'Input Sheet'!I289, "U"))</f>
        <v/>
      </c>
      <c r="G287" s="31" t="str">
        <f>IF('Input Sheet'!C289="","",100-'Input Sheet'!C289)</f>
        <v/>
      </c>
      <c r="H2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7" s="31" t="str">
        <f t="shared" si="4"/>
        <v/>
      </c>
      <c r="J2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7" s="31" t="str">
        <f>IF('Input Sheet'!F288=0, "NO",CONCATENATE('Input Sheet'!F288, IF('Input Sheet'!F288&gt;0,"% ","")))</f>
        <v>NO</v>
      </c>
      <c r="L2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7" s="31" t="str">
        <f>CONCATENATE(L287, IF('Input Sheet'!J289="",""," siderite in "))</f>
        <v/>
      </c>
      <c r="N2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7" s="31" t="str">
        <f>CONCATENATE(N287, IF('Input Sheet'!K289="",""," siderite in "))</f>
        <v/>
      </c>
    </row>
    <row r="288" spans="1:15" x14ac:dyDescent="0.35">
      <c r="A288" s="42" t="str">
        <f>IF('Input Sheet'!C290="","",CONCATENATE("Sample ", 'Input Sheet'!B290, "m: ", M288, G288, "% ", "Siltstone, ", O288, 'Input Sheet'!C290, "% ", I288, " Sandstone, ", K288, J288, " FLUOR in SST. ", "TG ", 'Input Sheet'!I290, "U"))</f>
        <v/>
      </c>
      <c r="B288" s="28" t="str">
        <f>IF('Input Sheet'!C290="","",CONCATENATE("Sample ", 'Input Sheet'!B290, "m: ", N288, H288, "% ", "Siltstone, ", P288, 'Input Sheet'!C290, "% ", J288, " Sandstone "))</f>
        <v/>
      </c>
      <c r="C288" s="28" t="str">
        <f>IF('Input Sheet'!C290="","",CONCATENATE("Sample ", 'Input Sheet'!B290, "m: ", M288,, K288, J288, " FLUOR in SST. ", "TG ", 'Input Sheet'!I290, "U"))</f>
        <v/>
      </c>
      <c r="G288" s="31" t="str">
        <f>IF('Input Sheet'!C290="","",100-'Input Sheet'!C290)</f>
        <v/>
      </c>
      <c r="H2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8" s="31" t="str">
        <f t="shared" si="4"/>
        <v/>
      </c>
      <c r="J2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8" s="31" t="str">
        <f>IF('Input Sheet'!F289=0, "NO",CONCATENATE('Input Sheet'!F289, IF('Input Sheet'!F289&gt;0,"% ","")))</f>
        <v>NO</v>
      </c>
      <c r="L2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8" s="31" t="str">
        <f>CONCATENATE(L288, IF('Input Sheet'!J290="",""," siderite in "))</f>
        <v/>
      </c>
      <c r="N2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8" s="31" t="str">
        <f>CONCATENATE(N288, IF('Input Sheet'!K290="",""," siderite in "))</f>
        <v/>
      </c>
    </row>
    <row r="289" spans="1:15" x14ac:dyDescent="0.35">
      <c r="A289" s="42" t="str">
        <f>IF('Input Sheet'!C291="","",CONCATENATE("Sample ", 'Input Sheet'!B291, "m: ", M289, G289, "% ", "Siltstone, ", O289, 'Input Sheet'!C291, "% ", I289, " Sandstone, ", K289, J289, " FLUOR in SST. ", "TG ", 'Input Sheet'!I291, "U"))</f>
        <v/>
      </c>
      <c r="B289" s="28" t="str">
        <f>IF('Input Sheet'!C291="","",CONCATENATE("Sample ", 'Input Sheet'!B291, "m: ", N289, H289, "% ", "Siltstone, ", P289, 'Input Sheet'!C291, "% ", J289, " Sandstone "))</f>
        <v/>
      </c>
      <c r="C289" s="28" t="str">
        <f>IF('Input Sheet'!C291="","",CONCATENATE("Sample ", 'Input Sheet'!B291, "m: ", M289,, K289, J289, " FLUOR in SST. ", "TG ", 'Input Sheet'!I291, "U"))</f>
        <v/>
      </c>
      <c r="G289" s="31" t="str">
        <f>IF('Input Sheet'!C291="","",100-'Input Sheet'!C291)</f>
        <v/>
      </c>
      <c r="H2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9" s="31" t="str">
        <f t="shared" si="4"/>
        <v/>
      </c>
      <c r="J2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9" s="31" t="str">
        <f>IF('Input Sheet'!F290=0, "NO",CONCATENATE('Input Sheet'!F290, IF('Input Sheet'!F290&gt;0,"% ","")))</f>
        <v>NO</v>
      </c>
      <c r="L2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9" s="31" t="str">
        <f>CONCATENATE(L289, IF('Input Sheet'!J291="",""," siderite in "))</f>
        <v/>
      </c>
      <c r="N2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9" s="31" t="str">
        <f>CONCATENATE(N289, IF('Input Sheet'!K291="",""," siderite in "))</f>
        <v/>
      </c>
    </row>
    <row r="290" spans="1:15" x14ac:dyDescent="0.35">
      <c r="A290" s="42" t="str">
        <f>IF('Input Sheet'!C292="","",CONCATENATE("Sample ", 'Input Sheet'!B292, "m: ", M290, G290, "% ", "Siltstone, ", O290, 'Input Sheet'!C292, "% ", I290, " Sandstone, ", K290, J290, " FLUOR in SST. ", "TG ", 'Input Sheet'!I292, "U"))</f>
        <v/>
      </c>
      <c r="B290" s="28" t="str">
        <f>IF('Input Sheet'!C292="","",CONCATENATE("Sample ", 'Input Sheet'!B292, "m: ", N290, H290, "% ", "Siltstone, ", P290, 'Input Sheet'!C292, "% ", J290, " Sandstone "))</f>
        <v/>
      </c>
      <c r="C290" s="28" t="str">
        <f>IF('Input Sheet'!C292="","",CONCATENATE("Sample ", 'Input Sheet'!B292, "m: ", M290,, K290, J290, " FLUOR in SST. ", "TG ", 'Input Sheet'!I292, "U"))</f>
        <v/>
      </c>
      <c r="G290" s="31" t="str">
        <f>IF('Input Sheet'!C292="","",100-'Input Sheet'!C292)</f>
        <v/>
      </c>
      <c r="H2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0" s="31" t="str">
        <f t="shared" si="4"/>
        <v/>
      </c>
      <c r="J2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0" s="31" t="str">
        <f>IF('Input Sheet'!F291=0, "NO",CONCATENATE('Input Sheet'!F291, IF('Input Sheet'!F291&gt;0,"% ","")))</f>
        <v>NO</v>
      </c>
      <c r="L2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0" s="31" t="str">
        <f>CONCATENATE(L290, IF('Input Sheet'!J292="",""," siderite in "))</f>
        <v/>
      </c>
      <c r="N2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0" s="31" t="str">
        <f>CONCATENATE(N290, IF('Input Sheet'!K292="",""," siderite in "))</f>
        <v/>
      </c>
    </row>
    <row r="291" spans="1:15" x14ac:dyDescent="0.35">
      <c r="A291" s="42" t="str">
        <f>IF('Input Sheet'!C293="","",CONCATENATE("Sample ", 'Input Sheet'!B293, "m: ", M291, G291, "% ", "Siltstone, ", O291, 'Input Sheet'!C293, "% ", I291, " Sandstone, ", K291, J291, " FLUOR in SST. ", "TG ", 'Input Sheet'!I293, "U"))</f>
        <v/>
      </c>
      <c r="B291" s="28" t="str">
        <f>IF('Input Sheet'!C293="","",CONCATENATE("Sample ", 'Input Sheet'!B293, "m: ", N291, H291, "% ", "Siltstone, ", P291, 'Input Sheet'!C293, "% ", J291, " Sandstone "))</f>
        <v/>
      </c>
      <c r="C291" s="28" t="str">
        <f>IF('Input Sheet'!C293="","",CONCATENATE("Sample ", 'Input Sheet'!B293, "m: ", M291,, K291, J291, " FLUOR in SST. ", "TG ", 'Input Sheet'!I293, "U"))</f>
        <v/>
      </c>
      <c r="G291" s="31" t="str">
        <f>IF('Input Sheet'!C293="","",100-'Input Sheet'!C293)</f>
        <v/>
      </c>
      <c r="H2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1" s="31" t="str">
        <f t="shared" si="4"/>
        <v/>
      </c>
      <c r="J2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1" s="31" t="str">
        <f>IF('Input Sheet'!F292=0, "NO",CONCATENATE('Input Sheet'!F292, IF('Input Sheet'!F292&gt;0,"% ","")))</f>
        <v>NO</v>
      </c>
      <c r="L2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1" s="31" t="str">
        <f>CONCATENATE(L291, IF('Input Sheet'!J293="",""," siderite in "))</f>
        <v/>
      </c>
      <c r="N2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1" s="31" t="str">
        <f>CONCATENATE(N291, IF('Input Sheet'!K293="",""," siderite in "))</f>
        <v/>
      </c>
    </row>
    <row r="292" spans="1:15" x14ac:dyDescent="0.35">
      <c r="A292" s="42" t="str">
        <f>IF('Input Sheet'!C294="","",CONCATENATE("Sample ", 'Input Sheet'!B294, "m: ", M292, G292, "% ", "Siltstone, ", O292, 'Input Sheet'!C294, "% ", I292, " Sandstone, ", K292, J292, " FLUOR in SST. ", "TG ", 'Input Sheet'!I294, "U"))</f>
        <v/>
      </c>
      <c r="B292" s="28" t="str">
        <f>IF('Input Sheet'!C294="","",CONCATENATE("Sample ", 'Input Sheet'!B294, "m: ", N292, H292, "% ", "Siltstone, ", P292, 'Input Sheet'!C294, "% ", J292, " Sandstone "))</f>
        <v/>
      </c>
      <c r="C292" s="28" t="str">
        <f>IF('Input Sheet'!C294="","",CONCATENATE("Sample ", 'Input Sheet'!B294, "m: ", M292,, K292, J292, " FLUOR in SST. ", "TG ", 'Input Sheet'!I294, "U"))</f>
        <v/>
      </c>
      <c r="G292" s="31" t="str">
        <f>IF('Input Sheet'!C294="","",100-'Input Sheet'!C294)</f>
        <v/>
      </c>
      <c r="H2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2" s="31" t="str">
        <f t="shared" si="4"/>
        <v/>
      </c>
      <c r="J2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2" s="31" t="str">
        <f>IF('Input Sheet'!F293=0, "NO",CONCATENATE('Input Sheet'!F293, IF('Input Sheet'!F293&gt;0,"% ","")))</f>
        <v>NO</v>
      </c>
      <c r="L2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2" s="31" t="str">
        <f>CONCATENATE(L292, IF('Input Sheet'!J294="",""," siderite in "))</f>
        <v/>
      </c>
      <c r="N2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2" s="31" t="str">
        <f>CONCATENATE(N292, IF('Input Sheet'!K294="",""," siderite in "))</f>
        <v/>
      </c>
    </row>
    <row r="293" spans="1:15" x14ac:dyDescent="0.35">
      <c r="A293" s="42" t="str">
        <f>IF('Input Sheet'!C295="","",CONCATENATE("Sample ", 'Input Sheet'!B295, "m: ", M293, G293, "% ", "Siltstone, ", O293, 'Input Sheet'!C295, "% ", I293, " Sandstone, ", K293, J293, " FLUOR in SST. ", "TG ", 'Input Sheet'!I295, "U"))</f>
        <v/>
      </c>
      <c r="B293" s="28" t="str">
        <f>IF('Input Sheet'!C295="","",CONCATENATE("Sample ", 'Input Sheet'!B295, "m: ", N293, H293, "% ", "Siltstone, ", P293, 'Input Sheet'!C295, "% ", J293, " Sandstone "))</f>
        <v/>
      </c>
      <c r="C293" s="28" t="str">
        <f>IF('Input Sheet'!C295="","",CONCATENATE("Sample ", 'Input Sheet'!B295, "m: ", M293,, K293, J293, " FLUOR in SST. ", "TG ", 'Input Sheet'!I295, "U"))</f>
        <v/>
      </c>
      <c r="G293" s="31" t="str">
        <f>IF('Input Sheet'!C295="","",100-'Input Sheet'!C295)</f>
        <v/>
      </c>
      <c r="H2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3" s="31" t="str">
        <f t="shared" si="4"/>
        <v/>
      </c>
      <c r="J2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3" s="31" t="str">
        <f>IF('Input Sheet'!F294=0, "NO",CONCATENATE('Input Sheet'!F294, IF('Input Sheet'!F294&gt;0,"% ","")))</f>
        <v>NO</v>
      </c>
      <c r="L2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3" s="31" t="str">
        <f>CONCATENATE(L293, IF('Input Sheet'!J295="",""," siderite in "))</f>
        <v/>
      </c>
      <c r="N2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3" s="31" t="str">
        <f>CONCATENATE(N293, IF('Input Sheet'!K295="",""," siderite in "))</f>
        <v/>
      </c>
    </row>
    <row r="294" spans="1:15" x14ac:dyDescent="0.35">
      <c r="A294" s="42" t="str">
        <f>IF('Input Sheet'!C296="","",CONCATENATE("Sample ", 'Input Sheet'!B296, "m: ", M294, G294, "% ", "Siltstone, ", O294, 'Input Sheet'!C296, "% ", I294, " Sandstone, ", K294, J294, " FLUOR in SST. ", "TG ", 'Input Sheet'!I296, "U"))</f>
        <v/>
      </c>
      <c r="B294" s="28" t="str">
        <f>IF('Input Sheet'!C296="","",CONCATENATE("Sample ", 'Input Sheet'!B296, "m: ", N294, H294, "% ", "Siltstone, ", P294, 'Input Sheet'!C296, "% ", J294, " Sandstone "))</f>
        <v/>
      </c>
      <c r="C294" s="28" t="str">
        <f>IF('Input Sheet'!C296="","",CONCATENATE("Sample ", 'Input Sheet'!B296, "m: ", M294,, K294, J294, " FLUOR in SST. ", "TG ", 'Input Sheet'!I296, "U"))</f>
        <v/>
      </c>
      <c r="G294" s="31" t="str">
        <f>IF('Input Sheet'!C296="","",100-'Input Sheet'!C296)</f>
        <v/>
      </c>
      <c r="H2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4" s="31" t="str">
        <f t="shared" si="4"/>
        <v/>
      </c>
      <c r="J2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4" s="31" t="str">
        <f>IF('Input Sheet'!F295=0, "NO",CONCATENATE('Input Sheet'!F295, IF('Input Sheet'!F295&gt;0,"% ","")))</f>
        <v>NO</v>
      </c>
      <c r="L2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4" s="31" t="str">
        <f>CONCATENATE(L294, IF('Input Sheet'!J296="",""," siderite in "))</f>
        <v/>
      </c>
      <c r="N2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4" s="31" t="str">
        <f>CONCATENATE(N294, IF('Input Sheet'!K296="",""," siderite in "))</f>
        <v/>
      </c>
    </row>
    <row r="295" spans="1:15" x14ac:dyDescent="0.35">
      <c r="A295" s="42" t="str">
        <f>IF('Input Sheet'!C297="","",CONCATENATE("Sample ", 'Input Sheet'!B297, "m: ", M295, G295, "% ", "Siltstone, ", O295, 'Input Sheet'!C297, "% ", I295, " Sandstone, ", K295, J295, " FLUOR in SST. ", "TG ", 'Input Sheet'!I297, "U"))</f>
        <v/>
      </c>
      <c r="B295" s="28" t="str">
        <f>IF('Input Sheet'!C297="","",CONCATENATE("Sample ", 'Input Sheet'!B297, "m: ", N295, H295, "% ", "Siltstone, ", P295, 'Input Sheet'!C297, "% ", J295, " Sandstone "))</f>
        <v/>
      </c>
      <c r="C295" s="28" t="str">
        <f>IF('Input Sheet'!C297="","",CONCATENATE("Sample ", 'Input Sheet'!B297, "m: ", M295,, K295, J295, " FLUOR in SST. ", "TG ", 'Input Sheet'!I297, "U"))</f>
        <v/>
      </c>
      <c r="G295" s="31" t="str">
        <f>IF('Input Sheet'!C297="","",100-'Input Sheet'!C297)</f>
        <v/>
      </c>
      <c r="H2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5" s="31" t="str">
        <f t="shared" si="4"/>
        <v/>
      </c>
      <c r="J2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5" s="31" t="str">
        <f>IF('Input Sheet'!F296=0, "NO",CONCATENATE('Input Sheet'!F296, IF('Input Sheet'!F296&gt;0,"% ","")))</f>
        <v>NO</v>
      </c>
      <c r="L2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5" s="31" t="str">
        <f>CONCATENATE(L295, IF('Input Sheet'!J297="",""," siderite in "))</f>
        <v/>
      </c>
      <c r="N2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5" s="31" t="str">
        <f>CONCATENATE(N295, IF('Input Sheet'!K297="",""," siderite in "))</f>
        <v/>
      </c>
    </row>
    <row r="296" spans="1:15" x14ac:dyDescent="0.35">
      <c r="A296" s="42" t="str">
        <f>IF('Input Sheet'!C298="","",CONCATENATE("Sample ", 'Input Sheet'!B298, "m: ", M296, G296, "% ", "Siltstone, ", O296, 'Input Sheet'!C298, "% ", I296, " Sandstone, ", K296, J296, " FLUOR in SST. ", "TG ", 'Input Sheet'!I298, "U"))</f>
        <v/>
      </c>
      <c r="B296" s="28" t="str">
        <f>IF('Input Sheet'!C298="","",CONCATENATE("Sample ", 'Input Sheet'!B298, "m: ", N296, H296, "% ", "Siltstone, ", P296, 'Input Sheet'!C298, "% ", J296, " Sandstone "))</f>
        <v/>
      </c>
      <c r="C296" s="28" t="str">
        <f>IF('Input Sheet'!C298="","",CONCATENATE("Sample ", 'Input Sheet'!B298, "m: ", M296,, K296, J296, " FLUOR in SST. ", "TG ", 'Input Sheet'!I298, "U"))</f>
        <v/>
      </c>
      <c r="G296" s="31" t="str">
        <f>IF('Input Sheet'!C298="","",100-'Input Sheet'!C298)</f>
        <v/>
      </c>
      <c r="H2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6" s="31" t="str">
        <f t="shared" si="4"/>
        <v/>
      </c>
      <c r="J2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6" s="31" t="str">
        <f>IF('Input Sheet'!F297=0, "NO",CONCATENATE('Input Sheet'!F297, IF('Input Sheet'!F297&gt;0,"% ","")))</f>
        <v>NO</v>
      </c>
      <c r="L2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6" s="31" t="str">
        <f>CONCATENATE(L296, IF('Input Sheet'!J298="",""," siderite in "))</f>
        <v/>
      </c>
      <c r="N2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6" s="31" t="str">
        <f>CONCATENATE(N296, IF('Input Sheet'!K298="",""," siderite in "))</f>
        <v/>
      </c>
    </row>
    <row r="297" spans="1:15" x14ac:dyDescent="0.35">
      <c r="A297" s="42" t="str">
        <f>IF('Input Sheet'!C299="","",CONCATENATE("Sample ", 'Input Sheet'!B299, "m: ", M297, G297, "% ", "Siltstone, ", O297, 'Input Sheet'!C299, "% ", I297, " Sandstone, ", K297, J297, " FLUOR in SST. ", "TG ", 'Input Sheet'!I299, "U"))</f>
        <v/>
      </c>
      <c r="B297" s="28" t="str">
        <f>IF('Input Sheet'!C299="","",CONCATENATE("Sample ", 'Input Sheet'!B299, "m: ", N297, H297, "% ", "Siltstone, ", P297, 'Input Sheet'!C299, "% ", J297, " Sandstone "))</f>
        <v/>
      </c>
      <c r="C297" s="28" t="str">
        <f>IF('Input Sheet'!C299="","",CONCATENATE("Sample ", 'Input Sheet'!B299, "m: ", M297,, K297, J297, " FLUOR in SST. ", "TG ", 'Input Sheet'!I299, "U"))</f>
        <v/>
      </c>
      <c r="G297" s="31" t="str">
        <f>IF('Input Sheet'!C299="","",100-'Input Sheet'!C299)</f>
        <v/>
      </c>
      <c r="H2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7" s="31" t="str">
        <f t="shared" si="4"/>
        <v/>
      </c>
      <c r="J2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7" s="31" t="str">
        <f>IF('Input Sheet'!F298=0, "NO",CONCATENATE('Input Sheet'!F298, IF('Input Sheet'!F298&gt;0,"% ","")))</f>
        <v>NO</v>
      </c>
      <c r="L2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7" s="31" t="str">
        <f>CONCATENATE(L297, IF('Input Sheet'!J299="",""," siderite in "))</f>
        <v/>
      </c>
      <c r="N2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7" s="31" t="str">
        <f>CONCATENATE(N297, IF('Input Sheet'!K299="",""," siderite in "))</f>
        <v/>
      </c>
    </row>
    <row r="298" spans="1:15" x14ac:dyDescent="0.35">
      <c r="A298" s="42" t="str">
        <f>IF('Input Sheet'!C300="","",CONCATENATE("Sample ", 'Input Sheet'!B300, "m: ", M298, G298, "% ", "Siltstone, ", O298, 'Input Sheet'!C300, "% ", I298, " Sandstone, ", K298, J298, " FLUOR in SST. ", "TG ", 'Input Sheet'!I300, "U"))</f>
        <v/>
      </c>
      <c r="B298" s="28" t="str">
        <f>IF('Input Sheet'!C300="","",CONCATENATE("Sample ", 'Input Sheet'!B300, "m: ", N298, H298, "% ", "Siltstone, ", P298, 'Input Sheet'!C300, "% ", J298, " Sandstone "))</f>
        <v/>
      </c>
      <c r="C298" s="28" t="str">
        <f>IF('Input Sheet'!C300="","",CONCATENATE("Sample ", 'Input Sheet'!B300, "m: ", M298,, K298, J298, " FLUOR in SST. ", "TG ", 'Input Sheet'!I300, "U"))</f>
        <v/>
      </c>
      <c r="G298" s="31" t="str">
        <f>IF('Input Sheet'!C300="","",100-'Input Sheet'!C300)</f>
        <v/>
      </c>
      <c r="H2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8" s="31" t="str">
        <f t="shared" si="4"/>
        <v/>
      </c>
      <c r="J2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8" s="31" t="str">
        <f>IF('Input Sheet'!F299=0, "NO",CONCATENATE('Input Sheet'!F299, IF('Input Sheet'!F299&gt;0,"% ","")))</f>
        <v>NO</v>
      </c>
      <c r="L2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8" s="31" t="str">
        <f>CONCATENATE(L298, IF('Input Sheet'!J300="",""," siderite in "))</f>
        <v/>
      </c>
      <c r="N2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8" s="31" t="str">
        <f>CONCATENATE(N298, IF('Input Sheet'!K300="",""," siderite in "))</f>
        <v/>
      </c>
    </row>
    <row r="299" spans="1:15" x14ac:dyDescent="0.35">
      <c r="A299" s="42" t="str">
        <f>IF('Input Sheet'!C301="","",CONCATENATE("Sample ", 'Input Sheet'!B301, "m: ", M299, G299, "% ", "Siltstone, ", O299, 'Input Sheet'!C301, "% ", I299, " Sandstone, ", K299, J299, " FLUOR in SST. ", "TG ", 'Input Sheet'!I301, "U"))</f>
        <v/>
      </c>
      <c r="B299" s="28" t="str">
        <f>IF('Input Sheet'!C301="","",CONCATENATE("Sample ", 'Input Sheet'!B301, "m: ", N299, H299, "% ", "Siltstone, ", P299, 'Input Sheet'!C301, "% ", J299, " Sandstone "))</f>
        <v/>
      </c>
      <c r="C299" s="28" t="str">
        <f>IF('Input Sheet'!C301="","",CONCATENATE("Sample ", 'Input Sheet'!B301, "m: ", M299,, K299, J299, " FLUOR in SST. ", "TG ", 'Input Sheet'!I301, "U"))</f>
        <v/>
      </c>
      <c r="G299" s="31" t="str">
        <f>IF('Input Sheet'!C301="","",100-'Input Sheet'!C301)</f>
        <v/>
      </c>
      <c r="H2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9" s="31" t="str">
        <f t="shared" si="4"/>
        <v/>
      </c>
      <c r="J2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9" s="31" t="str">
        <f>IF('Input Sheet'!F300=0, "NO",CONCATENATE('Input Sheet'!F300, IF('Input Sheet'!F300&gt;0,"% ","")))</f>
        <v>NO</v>
      </c>
      <c r="L2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9" s="31" t="str">
        <f>CONCATENATE(L299, IF('Input Sheet'!J301="",""," siderite in "))</f>
        <v/>
      </c>
      <c r="N2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9" s="31" t="str">
        <f>CONCATENATE(N299, IF('Input Sheet'!K301="",""," siderite in "))</f>
        <v/>
      </c>
    </row>
    <row r="300" spans="1:15" x14ac:dyDescent="0.35">
      <c r="A300" s="42" t="str">
        <f>IF('Input Sheet'!C302="","",CONCATENATE("Sample ", 'Input Sheet'!B302, "m: ", M300, G300, "% ", "Siltstone, ", O300, 'Input Sheet'!C302, "% ", I300, " Sandstone, ", K300, J300, " FLUOR in SST. ", "TG ", 'Input Sheet'!I302, "U"))</f>
        <v/>
      </c>
      <c r="B300" s="28" t="str">
        <f>IF('Input Sheet'!C302="","",CONCATENATE("Sample ", 'Input Sheet'!B302, "m: ", N300, H300, "% ", "Siltstone, ", P300, 'Input Sheet'!C302, "% ", J300, " Sandstone "))</f>
        <v/>
      </c>
      <c r="C300" s="28" t="str">
        <f>IF('Input Sheet'!C302="","",CONCATENATE("Sample ", 'Input Sheet'!B302, "m: ", M300,, K300, J300, " FLUOR in SST. ", "TG ", 'Input Sheet'!I302, "U"))</f>
        <v/>
      </c>
      <c r="G300" s="31" t="str">
        <f>IF('Input Sheet'!C302="","",100-'Input Sheet'!C302)</f>
        <v/>
      </c>
      <c r="H3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0" s="31" t="str">
        <f t="shared" si="4"/>
        <v/>
      </c>
      <c r="J3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0" s="31" t="str">
        <f>IF('Input Sheet'!F301=0, "NO",CONCATENATE('Input Sheet'!F301, IF('Input Sheet'!F301&gt;0,"% ","")))</f>
        <v>NO</v>
      </c>
      <c r="L3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0" s="31" t="str">
        <f>CONCATENATE(L300, IF('Input Sheet'!J302="",""," siderite in "))</f>
        <v/>
      </c>
      <c r="N3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0" s="31" t="str">
        <f>CONCATENATE(N300, IF('Input Sheet'!K302="",""," siderite in "))</f>
        <v/>
      </c>
    </row>
    <row r="301" spans="1:15" x14ac:dyDescent="0.35">
      <c r="A301" s="42" t="str">
        <f>IF('Input Sheet'!C303="","",CONCATENATE("Sample ", 'Input Sheet'!B303, "m: ", M301, G301, "% ", "Siltstone, ", O301, 'Input Sheet'!C303, "% ", I301, " Sandstone, ", K301, J301, " FLUOR in SST. ", "TG ", 'Input Sheet'!I303, "U"))</f>
        <v/>
      </c>
      <c r="B301" s="28" t="str">
        <f>IF('Input Sheet'!C303="","",CONCATENATE("Sample ", 'Input Sheet'!B303, "m: ", N301, H301, "% ", "Siltstone, ", P301, 'Input Sheet'!C303, "% ", J301, " Sandstone "))</f>
        <v/>
      </c>
      <c r="C301" s="28" t="str">
        <f>IF('Input Sheet'!C303="","",CONCATENATE("Sample ", 'Input Sheet'!B303, "m: ", M301,, K301, J301, " FLUOR in SST. ", "TG ", 'Input Sheet'!I303, "U"))</f>
        <v/>
      </c>
      <c r="G301" s="31" t="str">
        <f>IF('Input Sheet'!C303="","",100-'Input Sheet'!C303)</f>
        <v/>
      </c>
      <c r="H3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1" s="31" t="str">
        <f t="shared" si="4"/>
        <v/>
      </c>
      <c r="J3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1" s="31" t="str">
        <f>IF('Input Sheet'!F302=0, "NO",CONCATENATE('Input Sheet'!F302, IF('Input Sheet'!F302&gt;0,"% ","")))</f>
        <v>NO</v>
      </c>
      <c r="L3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1" s="31" t="str">
        <f>CONCATENATE(L301, IF('Input Sheet'!J303="",""," siderite in "))</f>
        <v/>
      </c>
      <c r="N3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1" s="31" t="str">
        <f>CONCATENATE(N301, IF('Input Sheet'!K303="",""," siderite in "))</f>
        <v/>
      </c>
    </row>
    <row r="302" spans="1:15" x14ac:dyDescent="0.35">
      <c r="A302" s="42" t="str">
        <f>IF('Input Sheet'!C304="","",CONCATENATE("Sample ", 'Input Sheet'!B304, "m: ", M302, G302, "% ", "Siltstone, ", O302, 'Input Sheet'!C304, "% ", I302, " Sandstone, ", K302, J302, " FLUOR in SST. ", "TG ", 'Input Sheet'!I304, "U"))</f>
        <v/>
      </c>
      <c r="B302" s="28" t="str">
        <f>IF('Input Sheet'!C304="","",CONCATENATE("Sample ", 'Input Sheet'!B304, "m: ", N302, H302, "% ", "Siltstone, ", P302, 'Input Sheet'!C304, "% ", J302, " Sandstone "))</f>
        <v/>
      </c>
      <c r="C302" s="28" t="str">
        <f>IF('Input Sheet'!C304="","",CONCATENATE("Sample ", 'Input Sheet'!B304, "m: ", M302,, K302, J302, " FLUOR in SST. ", "TG ", 'Input Sheet'!I304, "U"))</f>
        <v/>
      </c>
      <c r="G302" s="31" t="str">
        <f>IF('Input Sheet'!C304="","",100-'Input Sheet'!C304)</f>
        <v/>
      </c>
      <c r="H3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2" s="31" t="str">
        <f t="shared" si="4"/>
        <v/>
      </c>
      <c r="J3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2" s="31" t="str">
        <f>IF('Input Sheet'!F303=0, "NO",CONCATENATE('Input Sheet'!F303, IF('Input Sheet'!F303&gt;0,"% ","")))</f>
        <v>NO</v>
      </c>
      <c r="L3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2" s="31" t="str">
        <f>CONCATENATE(L302, IF('Input Sheet'!J304="",""," siderite in "))</f>
        <v/>
      </c>
      <c r="N3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2" s="31" t="str">
        <f>CONCATENATE(N302, IF('Input Sheet'!K304="",""," siderite in "))</f>
        <v/>
      </c>
    </row>
    <row r="303" spans="1:15" x14ac:dyDescent="0.35">
      <c r="A303" s="42" t="str">
        <f>IF('Input Sheet'!C305="","",CONCATENATE("Sample ", 'Input Sheet'!B305, "m: ", M303, G303, "% ", "Siltstone, ", O303, 'Input Sheet'!C305, "% ", I303, " Sandstone, ", K303, J303, " FLUOR in SST. ", "TG ", 'Input Sheet'!I305, "U"))</f>
        <v/>
      </c>
      <c r="B303" s="28" t="str">
        <f>IF('Input Sheet'!C305="","",CONCATENATE("Sample ", 'Input Sheet'!B305, "m: ", N303, H303, "% ", "Siltstone, ", P303, 'Input Sheet'!C305, "% ", J303, " Sandstone "))</f>
        <v/>
      </c>
      <c r="C303" s="28" t="str">
        <f>IF('Input Sheet'!C305="","",CONCATENATE("Sample ", 'Input Sheet'!B305, "m: ", M303,, K303, J303, " FLUOR in SST. ", "TG ", 'Input Sheet'!I305, "U"))</f>
        <v/>
      </c>
      <c r="G303" s="31" t="str">
        <f>IF('Input Sheet'!C305="","",100-'Input Sheet'!C305)</f>
        <v/>
      </c>
      <c r="H3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3" s="31" t="str">
        <f t="shared" si="4"/>
        <v/>
      </c>
      <c r="J3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3" s="31" t="str">
        <f>IF('Input Sheet'!F304=0, "NO",CONCATENATE('Input Sheet'!F304, IF('Input Sheet'!F304&gt;0,"% ","")))</f>
        <v>NO</v>
      </c>
      <c r="L3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3" s="31" t="str">
        <f>CONCATENATE(L303, IF('Input Sheet'!J305="",""," siderite in "))</f>
        <v/>
      </c>
      <c r="N3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3" s="31" t="str">
        <f>CONCATENATE(N303, IF('Input Sheet'!K305="",""," siderite in "))</f>
        <v/>
      </c>
    </row>
    <row r="304" spans="1:15" x14ac:dyDescent="0.35">
      <c r="A304" s="42" t="str">
        <f>IF('Input Sheet'!C306="","",CONCATENATE("Sample ", 'Input Sheet'!B306, "m: ", M304, G304, "% ", "Siltstone, ", O304, 'Input Sheet'!C306, "% ", I304, " Sandstone, ", K304, J304, " FLUOR in SST. ", "TG ", 'Input Sheet'!I306, "U"))</f>
        <v/>
      </c>
      <c r="B304" s="28" t="str">
        <f>IF('Input Sheet'!C306="","",CONCATENATE("Sample ", 'Input Sheet'!B306, "m: ", N304, H304, "% ", "Siltstone, ", P304, 'Input Sheet'!C306, "% ", J304, " Sandstone "))</f>
        <v/>
      </c>
      <c r="C304" s="28" t="str">
        <f>IF('Input Sheet'!C306="","",CONCATENATE("Sample ", 'Input Sheet'!B306, "m: ", M304,, K304, J304, " FLUOR in SST. ", "TG ", 'Input Sheet'!I306, "U"))</f>
        <v/>
      </c>
      <c r="G304" s="31" t="str">
        <f>IF('Input Sheet'!C306="","",100-'Input Sheet'!C306)</f>
        <v/>
      </c>
      <c r="H3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4" s="31" t="str">
        <f t="shared" si="4"/>
        <v/>
      </c>
      <c r="J3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4" s="31" t="str">
        <f>IF('Input Sheet'!F305=0, "NO",CONCATENATE('Input Sheet'!F305, IF('Input Sheet'!F305&gt;0,"% ","")))</f>
        <v>NO</v>
      </c>
      <c r="L3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4" s="31" t="str">
        <f>CONCATENATE(L304, IF('Input Sheet'!J306="",""," siderite in "))</f>
        <v/>
      </c>
      <c r="N3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4" s="31" t="str">
        <f>CONCATENATE(N304, IF('Input Sheet'!K306="",""," siderite in "))</f>
        <v/>
      </c>
    </row>
    <row r="305" spans="1:15" x14ac:dyDescent="0.35">
      <c r="A305" s="42" t="str">
        <f>IF('Input Sheet'!C307="","",CONCATENATE("Sample ", 'Input Sheet'!B307, "m: ", M305, G305, "% ", "Siltstone, ", O305, 'Input Sheet'!C307, "% ", I305, " Sandstone, ", K305, J305, " FLUOR in SST. ", "TG ", 'Input Sheet'!I307, "U"))</f>
        <v/>
      </c>
      <c r="B305" s="28" t="str">
        <f>IF('Input Sheet'!C307="","",CONCATENATE("Sample ", 'Input Sheet'!B307, "m: ", N305, H305, "% ", "Siltstone, ", P305, 'Input Sheet'!C307, "% ", J305, " Sandstone "))</f>
        <v/>
      </c>
      <c r="C305" s="28" t="str">
        <f>IF('Input Sheet'!C307="","",CONCATENATE("Sample ", 'Input Sheet'!B307, "m: ", M305,, K305, J305, " FLUOR in SST. ", "TG ", 'Input Sheet'!I307, "U"))</f>
        <v/>
      </c>
      <c r="G305" s="31" t="str">
        <f>IF('Input Sheet'!C307="","",100-'Input Sheet'!C307)</f>
        <v/>
      </c>
      <c r="H3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5" s="31" t="str">
        <f t="shared" si="4"/>
        <v/>
      </c>
      <c r="J3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5" s="31" t="str">
        <f>IF('Input Sheet'!F306=0, "NO",CONCATENATE('Input Sheet'!F306, IF('Input Sheet'!F306&gt;0,"% ","")))</f>
        <v>NO</v>
      </c>
      <c r="L3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5" s="31" t="str">
        <f>CONCATENATE(L305, IF('Input Sheet'!J307="",""," siderite in "))</f>
        <v/>
      </c>
      <c r="N3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5" s="31" t="str">
        <f>CONCATENATE(N305, IF('Input Sheet'!K307="",""," siderite in "))</f>
        <v/>
      </c>
    </row>
    <row r="306" spans="1:15" x14ac:dyDescent="0.35">
      <c r="A306" s="42" t="str">
        <f>IF('Input Sheet'!C308="","",CONCATENATE("Sample ", 'Input Sheet'!B308, "m: ", M306, G306, "% ", "Siltstone, ", O306, 'Input Sheet'!C308, "% ", I306, " Sandstone, ", K306, J306, " FLUOR in SST. ", "TG ", 'Input Sheet'!I308, "U"))</f>
        <v/>
      </c>
      <c r="B306" s="28" t="str">
        <f>IF('Input Sheet'!C308="","",CONCATENATE("Sample ", 'Input Sheet'!B308, "m: ", N306, H306, "% ", "Siltstone, ", P306, 'Input Sheet'!C308, "% ", J306, " Sandstone "))</f>
        <v/>
      </c>
      <c r="C306" s="28" t="str">
        <f>IF('Input Sheet'!C308="","",CONCATENATE("Sample ", 'Input Sheet'!B308, "m: ", M306,, K306, J306, " FLUOR in SST. ", "TG ", 'Input Sheet'!I308, "U"))</f>
        <v/>
      </c>
      <c r="G306" s="31" t="str">
        <f>IF('Input Sheet'!C308="","",100-'Input Sheet'!C308)</f>
        <v/>
      </c>
      <c r="H3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6" s="31" t="str">
        <f t="shared" si="4"/>
        <v/>
      </c>
      <c r="J3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6" s="31" t="str">
        <f>IF('Input Sheet'!F307=0, "NO",CONCATENATE('Input Sheet'!F307, IF('Input Sheet'!F307&gt;0,"% ","")))</f>
        <v>NO</v>
      </c>
      <c r="L3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6" s="31" t="str">
        <f>CONCATENATE(L306, IF('Input Sheet'!J308="",""," siderite in "))</f>
        <v/>
      </c>
      <c r="N3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6" s="31" t="str">
        <f>CONCATENATE(N306, IF('Input Sheet'!K308="",""," siderite in "))</f>
        <v/>
      </c>
    </row>
    <row r="307" spans="1:15" x14ac:dyDescent="0.35">
      <c r="A307" s="42" t="str">
        <f>IF('Input Sheet'!C309="","",CONCATENATE("Sample ", 'Input Sheet'!B309, "m: ", M307, G307, "% ", "Siltstone, ", O307, 'Input Sheet'!C309, "% ", I307, " Sandstone, ", K307, J307, " FLUOR in SST. ", "TG ", 'Input Sheet'!I309, "U"))</f>
        <v/>
      </c>
      <c r="B307" s="28" t="str">
        <f>IF('Input Sheet'!C309="","",CONCATENATE("Sample ", 'Input Sheet'!B309, "m: ", N307, H307, "% ", "Siltstone, ", P307, 'Input Sheet'!C309, "% ", J307, " Sandstone "))</f>
        <v/>
      </c>
      <c r="C307" s="28" t="str">
        <f>IF('Input Sheet'!C309="","",CONCATENATE("Sample ", 'Input Sheet'!B309, "m: ", M307,, K307, J307, " FLUOR in SST. ", "TG ", 'Input Sheet'!I309, "U"))</f>
        <v/>
      </c>
      <c r="G307" s="31" t="str">
        <f>IF('Input Sheet'!C309="","",100-'Input Sheet'!C309)</f>
        <v/>
      </c>
      <c r="H3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7" s="31" t="str">
        <f t="shared" si="4"/>
        <v/>
      </c>
      <c r="J3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7" s="31" t="str">
        <f>IF('Input Sheet'!F308=0, "NO",CONCATENATE('Input Sheet'!F308, IF('Input Sheet'!F308&gt;0,"% ","")))</f>
        <v>NO</v>
      </c>
      <c r="L3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7" s="31" t="str">
        <f>CONCATENATE(L307, IF('Input Sheet'!J309="",""," siderite in "))</f>
        <v/>
      </c>
      <c r="N3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7" s="31" t="str">
        <f>CONCATENATE(N307, IF('Input Sheet'!K309="",""," siderite in "))</f>
        <v/>
      </c>
    </row>
    <row r="308" spans="1:15" x14ac:dyDescent="0.35">
      <c r="A308" s="42" t="str">
        <f>IF('Input Sheet'!C310="","",CONCATENATE("Sample ", 'Input Sheet'!B310, "m: ", M308, G308, "% ", "Siltstone, ", O308, 'Input Sheet'!C310, "% ", I308, " Sandstone, ", K308, J308, " FLUOR in SST. ", "TG ", 'Input Sheet'!I310, "U"))</f>
        <v/>
      </c>
      <c r="B308" s="28" t="str">
        <f>IF('Input Sheet'!C310="","",CONCATENATE("Sample ", 'Input Sheet'!B310, "m: ", N308, H308, "% ", "Siltstone, ", P308, 'Input Sheet'!C310, "% ", J308, " Sandstone "))</f>
        <v/>
      </c>
      <c r="C308" s="28" t="str">
        <f>IF('Input Sheet'!C310="","",CONCATENATE("Sample ", 'Input Sheet'!B310, "m: ", M308,, K308, J308, " FLUOR in SST. ", "TG ", 'Input Sheet'!I310, "U"))</f>
        <v/>
      </c>
      <c r="G308" s="31" t="str">
        <f>IF('Input Sheet'!C310="","",100-'Input Sheet'!C310)</f>
        <v/>
      </c>
      <c r="H3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8" s="31" t="str">
        <f t="shared" si="4"/>
        <v/>
      </c>
      <c r="J3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8" s="31" t="str">
        <f>IF('Input Sheet'!F309=0, "NO",CONCATENATE('Input Sheet'!F309, IF('Input Sheet'!F309&gt;0,"% ","")))</f>
        <v>NO</v>
      </c>
      <c r="L3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8" s="31" t="str">
        <f>CONCATENATE(L308, IF('Input Sheet'!J310="",""," siderite in "))</f>
        <v/>
      </c>
      <c r="N3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8" s="31" t="str">
        <f>CONCATENATE(N308, IF('Input Sheet'!K310="",""," siderite in "))</f>
        <v/>
      </c>
    </row>
    <row r="309" spans="1:15" x14ac:dyDescent="0.35">
      <c r="A309" s="42" t="str">
        <f>IF('Input Sheet'!C311="","",CONCATENATE("Sample ", 'Input Sheet'!B311, "m: ", M309, G309, "% ", "Siltstone, ", O309, 'Input Sheet'!C311, "% ", I309, " Sandstone, ", K309, J309, " FLUOR in SST. ", "TG ", 'Input Sheet'!I311, "U"))</f>
        <v/>
      </c>
      <c r="B309" s="28" t="str">
        <f>IF('Input Sheet'!C311="","",CONCATENATE("Sample ", 'Input Sheet'!B311, "m: ", N309, H309, "% ", "Siltstone, ", P309, 'Input Sheet'!C311, "% ", J309, " Sandstone "))</f>
        <v/>
      </c>
      <c r="C309" s="28" t="str">
        <f>IF('Input Sheet'!C311="","",CONCATENATE("Sample ", 'Input Sheet'!B311, "m: ", M309,, K309, J309, " FLUOR in SST. ", "TG ", 'Input Sheet'!I311, "U"))</f>
        <v/>
      </c>
      <c r="G309" s="31" t="str">
        <f>IF('Input Sheet'!C311="","",100-'Input Sheet'!C311)</f>
        <v/>
      </c>
      <c r="H3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9" s="31" t="str">
        <f t="shared" si="4"/>
        <v/>
      </c>
      <c r="J3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9" s="31" t="str">
        <f>IF('Input Sheet'!F310=0, "NO",CONCATENATE('Input Sheet'!F310, IF('Input Sheet'!F310&gt;0,"% ","")))</f>
        <v>NO</v>
      </c>
      <c r="L3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9" s="31" t="str">
        <f>CONCATENATE(L309, IF('Input Sheet'!J311="",""," siderite in "))</f>
        <v/>
      </c>
      <c r="N3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9" s="31" t="str">
        <f>CONCATENATE(N309, IF('Input Sheet'!K311="",""," siderite in "))</f>
        <v/>
      </c>
    </row>
    <row r="310" spans="1:15" x14ac:dyDescent="0.35">
      <c r="A310" s="42" t="str">
        <f>IF('Input Sheet'!C312="","",CONCATENATE("Sample ", 'Input Sheet'!B312, "m: ", M310, G310, "% ", "Siltstone, ", O310, 'Input Sheet'!C312, "% ", I310, " Sandstone, ", K310, J310, " FLUOR in SST. ", "TG ", 'Input Sheet'!I312, "U"))</f>
        <v/>
      </c>
      <c r="B310" s="28" t="str">
        <f>IF('Input Sheet'!C312="","",CONCATENATE("Sample ", 'Input Sheet'!B312, "m: ", N310, H310, "% ", "Siltstone, ", P310, 'Input Sheet'!C312, "% ", J310, " Sandstone "))</f>
        <v/>
      </c>
      <c r="C310" s="28" t="str">
        <f>IF('Input Sheet'!C312="","",CONCATENATE("Sample ", 'Input Sheet'!B312, "m: ", M310,, K310, J310, " FLUOR in SST. ", "TG ", 'Input Sheet'!I312, "U"))</f>
        <v/>
      </c>
      <c r="G310" s="31" t="str">
        <f>IF('Input Sheet'!C312="","",100-'Input Sheet'!C312)</f>
        <v/>
      </c>
      <c r="H3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0" s="31" t="str">
        <f t="shared" si="4"/>
        <v/>
      </c>
      <c r="J3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0" s="31" t="str">
        <f>IF('Input Sheet'!F311=0, "NO",CONCATENATE('Input Sheet'!F311, IF('Input Sheet'!F311&gt;0,"% ","")))</f>
        <v>NO</v>
      </c>
      <c r="L3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0" s="31" t="str">
        <f>CONCATENATE(L310, IF('Input Sheet'!J312="",""," siderite in "))</f>
        <v/>
      </c>
      <c r="N3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0" s="31" t="str">
        <f>CONCATENATE(N310, IF('Input Sheet'!K312="",""," siderite in "))</f>
        <v/>
      </c>
    </row>
    <row r="311" spans="1:15" x14ac:dyDescent="0.35">
      <c r="A311" s="42" t="str">
        <f>IF('Input Sheet'!C313="","",CONCATENATE("Sample ", 'Input Sheet'!B313, "m: ", M311, G311, "% ", "Siltstone, ", O311, 'Input Sheet'!C313, "% ", I311, " Sandstone, ", K311, J311, " FLUOR in SST. ", "TG ", 'Input Sheet'!I313, "U"))</f>
        <v/>
      </c>
      <c r="B311" s="28" t="str">
        <f>IF('Input Sheet'!C313="","",CONCATENATE("Sample ", 'Input Sheet'!B313, "m: ", N311, H311, "% ", "Siltstone, ", P311, 'Input Sheet'!C313, "% ", J311, " Sandstone "))</f>
        <v/>
      </c>
      <c r="C311" s="28" t="str">
        <f>IF('Input Sheet'!C313="","",CONCATENATE("Sample ", 'Input Sheet'!B313, "m: ", M311,, K311, J311, " FLUOR in SST. ", "TG ", 'Input Sheet'!I313, "U"))</f>
        <v/>
      </c>
      <c r="G311" s="31" t="str">
        <f>IF('Input Sheet'!C313="","",100-'Input Sheet'!C313)</f>
        <v/>
      </c>
      <c r="H3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1" s="31" t="str">
        <f t="shared" si="4"/>
        <v/>
      </c>
      <c r="J3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1" s="31" t="str">
        <f>IF('Input Sheet'!F312=0, "NO",CONCATENATE('Input Sheet'!F312, IF('Input Sheet'!F312&gt;0,"% ","")))</f>
        <v>NO</v>
      </c>
      <c r="L3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1" s="31" t="str">
        <f>CONCATENATE(L311, IF('Input Sheet'!J313="",""," siderite in "))</f>
        <v/>
      </c>
      <c r="N3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1" s="31" t="str">
        <f>CONCATENATE(N311, IF('Input Sheet'!K313="",""," siderite in "))</f>
        <v/>
      </c>
    </row>
    <row r="312" spans="1:15" x14ac:dyDescent="0.35">
      <c r="A312" s="42" t="str">
        <f>IF('Input Sheet'!C314="","",CONCATENATE("Sample ", 'Input Sheet'!B314, "m: ", M312, G312, "% ", "Siltstone, ", O312, 'Input Sheet'!C314, "% ", I312, " Sandstone, ", K312, J312, " FLUOR in SST. ", "TG ", 'Input Sheet'!I314, "U"))</f>
        <v/>
      </c>
      <c r="B312" s="28" t="str">
        <f>IF('Input Sheet'!C314="","",CONCATENATE("Sample ", 'Input Sheet'!B314, "m: ", N312, H312, "% ", "Siltstone, ", P312, 'Input Sheet'!C314, "% ", J312, " Sandstone "))</f>
        <v/>
      </c>
      <c r="C312" s="28" t="str">
        <f>IF('Input Sheet'!C314="","",CONCATENATE("Sample ", 'Input Sheet'!B314, "m: ", M312,, K312, J312, " FLUOR in SST. ", "TG ", 'Input Sheet'!I314, "U"))</f>
        <v/>
      </c>
      <c r="G312" s="31" t="str">
        <f>IF('Input Sheet'!C314="","",100-'Input Sheet'!C314)</f>
        <v/>
      </c>
      <c r="H3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2" s="31" t="str">
        <f t="shared" si="4"/>
        <v/>
      </c>
      <c r="J3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2" s="31" t="str">
        <f>IF('Input Sheet'!F313=0, "NO",CONCATENATE('Input Sheet'!F313, IF('Input Sheet'!F313&gt;0,"% ","")))</f>
        <v>NO</v>
      </c>
      <c r="L3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2" s="31" t="str">
        <f>CONCATENATE(L312, IF('Input Sheet'!J314="",""," siderite in "))</f>
        <v/>
      </c>
      <c r="N3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2" s="31" t="str">
        <f>CONCATENATE(N312, IF('Input Sheet'!K314="",""," siderite in "))</f>
        <v/>
      </c>
    </row>
    <row r="313" spans="1:15" x14ac:dyDescent="0.35">
      <c r="A313" s="42" t="str">
        <f>IF('Input Sheet'!C315="","",CONCATENATE("Sample ", 'Input Sheet'!B315, "m: ", M313, G313, "% ", "Siltstone, ", O313, 'Input Sheet'!C315, "% ", I313, " Sandstone, ", K313, J313, " FLUOR in SST. ", "TG ", 'Input Sheet'!I315, "U"))</f>
        <v/>
      </c>
      <c r="B313" s="28" t="str">
        <f>IF('Input Sheet'!C315="","",CONCATENATE("Sample ", 'Input Sheet'!B315, "m: ", N313, H313, "% ", "Siltstone, ", P313, 'Input Sheet'!C315, "% ", J313, " Sandstone "))</f>
        <v/>
      </c>
      <c r="C313" s="28" t="str">
        <f>IF('Input Sheet'!C315="","",CONCATENATE("Sample ", 'Input Sheet'!B315, "m: ", M313,, K313, J313, " FLUOR in SST. ", "TG ", 'Input Sheet'!I315, "U"))</f>
        <v/>
      </c>
      <c r="G313" s="31" t="str">
        <f>IF('Input Sheet'!C315="","",100-'Input Sheet'!C315)</f>
        <v/>
      </c>
      <c r="H3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3" s="31" t="str">
        <f t="shared" si="4"/>
        <v/>
      </c>
      <c r="J3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3" s="31" t="str">
        <f>IF('Input Sheet'!F314=0, "NO",CONCATENATE('Input Sheet'!F314, IF('Input Sheet'!F314&gt;0,"% ","")))</f>
        <v>NO</v>
      </c>
      <c r="L3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3" s="31" t="str">
        <f>CONCATENATE(L313, IF('Input Sheet'!J315="",""," siderite in "))</f>
        <v/>
      </c>
      <c r="N3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3" s="31" t="str">
        <f>CONCATENATE(N313, IF('Input Sheet'!K315="",""," siderite in "))</f>
        <v/>
      </c>
    </row>
    <row r="314" spans="1:15" x14ac:dyDescent="0.35">
      <c r="A314" s="42" t="str">
        <f>IF('Input Sheet'!C316="","",CONCATENATE("Sample ", 'Input Sheet'!B316, "m: ", M314, G314, "% ", "Siltstone, ", O314, 'Input Sheet'!C316, "% ", I314, " Sandstone, ", K314, J314, " FLUOR in SST. ", "TG ", 'Input Sheet'!I316, "U"))</f>
        <v/>
      </c>
      <c r="B314" s="28" t="str">
        <f>IF('Input Sheet'!C316="","",CONCATENATE("Sample ", 'Input Sheet'!B316, "m: ", N314, H314, "% ", "Siltstone, ", P314, 'Input Sheet'!C316, "% ", J314, " Sandstone "))</f>
        <v/>
      </c>
      <c r="C314" s="28" t="str">
        <f>IF('Input Sheet'!C316="","",CONCATENATE("Sample ", 'Input Sheet'!B316, "m: ", M314,, K314, J314, " FLUOR in SST. ", "TG ", 'Input Sheet'!I316, "U"))</f>
        <v/>
      </c>
      <c r="G314" s="31" t="str">
        <f>IF('Input Sheet'!C316="","",100-'Input Sheet'!C316)</f>
        <v/>
      </c>
      <c r="H3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4" s="31" t="str">
        <f t="shared" si="4"/>
        <v/>
      </c>
      <c r="J3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4" s="31" t="str">
        <f>IF('Input Sheet'!F315=0, "NO",CONCATENATE('Input Sheet'!F315, IF('Input Sheet'!F315&gt;0,"% ","")))</f>
        <v>NO</v>
      </c>
      <c r="L3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4" s="31" t="str">
        <f>CONCATENATE(L314, IF('Input Sheet'!J316="",""," siderite in "))</f>
        <v/>
      </c>
      <c r="N3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4" s="31" t="str">
        <f>CONCATENATE(N314, IF('Input Sheet'!K316="",""," siderite in "))</f>
        <v/>
      </c>
    </row>
    <row r="315" spans="1:15" x14ac:dyDescent="0.35">
      <c r="A315" s="42" t="str">
        <f>IF('Input Sheet'!C317="","",CONCATENATE("Sample ", 'Input Sheet'!B317, "m: ", M315, G315, "% ", "Siltstone, ", O315, 'Input Sheet'!C317, "% ", I315, " Sandstone, ", K315, J315, " FLUOR in SST. ", "TG ", 'Input Sheet'!I317, "U"))</f>
        <v/>
      </c>
      <c r="B315" s="28" t="str">
        <f>IF('Input Sheet'!C317="","",CONCATENATE("Sample ", 'Input Sheet'!B317, "m: ", N315, H315, "% ", "Siltstone, ", P315, 'Input Sheet'!C317, "% ", J315, " Sandstone "))</f>
        <v/>
      </c>
      <c r="C315" s="28" t="str">
        <f>IF('Input Sheet'!C317="","",CONCATENATE("Sample ", 'Input Sheet'!B317, "m: ", M315,, K315, J315, " FLUOR in SST. ", "TG ", 'Input Sheet'!I317, "U"))</f>
        <v/>
      </c>
      <c r="G315" s="31" t="str">
        <f>IF('Input Sheet'!C317="","",100-'Input Sheet'!C317)</f>
        <v/>
      </c>
      <c r="H3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5" s="31" t="str">
        <f t="shared" si="4"/>
        <v/>
      </c>
      <c r="J3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5" s="31" t="str">
        <f>IF('Input Sheet'!F316=0, "NO",CONCATENATE('Input Sheet'!F316, IF('Input Sheet'!F316&gt;0,"% ","")))</f>
        <v>NO</v>
      </c>
      <c r="L3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5" s="31" t="str">
        <f>CONCATENATE(L315, IF('Input Sheet'!J317="",""," siderite in "))</f>
        <v/>
      </c>
      <c r="N3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5" s="31" t="str">
        <f>CONCATENATE(N315, IF('Input Sheet'!K317="",""," siderite in "))</f>
        <v/>
      </c>
    </row>
    <row r="316" spans="1:15" x14ac:dyDescent="0.35">
      <c r="A316" s="42" t="str">
        <f>IF('Input Sheet'!C318="","",CONCATENATE("Sample ", 'Input Sheet'!B318, "m: ", M316, G316, "% ", "Siltstone, ", O316, 'Input Sheet'!C318, "% ", I316, " Sandstone, ", K316, J316, " FLUOR in SST. ", "TG ", 'Input Sheet'!I318, "U"))</f>
        <v/>
      </c>
      <c r="B316" s="28" t="str">
        <f>IF('Input Sheet'!C318="","",CONCATENATE("Sample ", 'Input Sheet'!B318, "m: ", N316, H316, "% ", "Siltstone, ", P316, 'Input Sheet'!C318, "% ", J316, " Sandstone "))</f>
        <v/>
      </c>
      <c r="C316" s="28" t="str">
        <f>IF('Input Sheet'!C318="","",CONCATENATE("Sample ", 'Input Sheet'!B318, "m: ", M316,, K316, J316, " FLUOR in SST. ", "TG ", 'Input Sheet'!I318, "U"))</f>
        <v/>
      </c>
      <c r="G316" s="31" t="str">
        <f>IF('Input Sheet'!C318="","",100-'Input Sheet'!C318)</f>
        <v/>
      </c>
      <c r="H3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6" s="31" t="str">
        <f t="shared" si="4"/>
        <v/>
      </c>
      <c r="J3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6" s="31" t="str">
        <f>IF('Input Sheet'!F317=0, "NO",CONCATENATE('Input Sheet'!F317, IF('Input Sheet'!F317&gt;0,"% ","")))</f>
        <v>NO</v>
      </c>
      <c r="L3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6" s="31" t="str">
        <f>CONCATENATE(L316, IF('Input Sheet'!J318="",""," siderite in "))</f>
        <v/>
      </c>
      <c r="N3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6" s="31" t="str">
        <f>CONCATENATE(N316, IF('Input Sheet'!K318="",""," siderite in "))</f>
        <v/>
      </c>
    </row>
    <row r="317" spans="1:15" x14ac:dyDescent="0.35">
      <c r="A317" s="42" t="str">
        <f>IF('Input Sheet'!C319="","",CONCATENATE("Sample ", 'Input Sheet'!B319, "m: ", M317, G317, "% ", "Siltstone, ", O317, 'Input Sheet'!C319, "% ", I317, " Sandstone, ", K317, J317, " FLUOR in SST. ", "TG ", 'Input Sheet'!I319, "U"))</f>
        <v/>
      </c>
      <c r="B317" s="28" t="str">
        <f>IF('Input Sheet'!C319="","",CONCATENATE("Sample ", 'Input Sheet'!B319, "m: ", N317, H317, "% ", "Siltstone, ", P317, 'Input Sheet'!C319, "% ", J317, " Sandstone "))</f>
        <v/>
      </c>
      <c r="C317" s="28" t="str">
        <f>IF('Input Sheet'!C319="","",CONCATENATE("Sample ", 'Input Sheet'!B319, "m: ", M317,, K317, J317, " FLUOR in SST. ", "TG ", 'Input Sheet'!I319, "U"))</f>
        <v/>
      </c>
      <c r="G317" s="31" t="str">
        <f>IF('Input Sheet'!C319="","",100-'Input Sheet'!C319)</f>
        <v/>
      </c>
      <c r="H3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7" s="31" t="str">
        <f t="shared" si="4"/>
        <v/>
      </c>
      <c r="J3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7" s="31" t="str">
        <f>IF('Input Sheet'!F318=0, "NO",CONCATENATE('Input Sheet'!F318, IF('Input Sheet'!F318&gt;0,"% ","")))</f>
        <v>NO</v>
      </c>
      <c r="L3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7" s="31" t="str">
        <f>CONCATENATE(L317, IF('Input Sheet'!J319="",""," siderite in "))</f>
        <v/>
      </c>
      <c r="N3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7" s="31" t="str">
        <f>CONCATENATE(N317, IF('Input Sheet'!K319="",""," siderite in "))</f>
        <v/>
      </c>
    </row>
    <row r="318" spans="1:15" x14ac:dyDescent="0.35">
      <c r="A318" s="42" t="str">
        <f>IF('Input Sheet'!C320="","",CONCATENATE("Sample ", 'Input Sheet'!B320, "m: ", M318, G318, "% ", "Siltstone, ", O318, 'Input Sheet'!C320, "% ", I318, " Sandstone, ", K318, J318, " FLUOR in SST. ", "TG ", 'Input Sheet'!I320, "U"))</f>
        <v/>
      </c>
      <c r="B318" s="28" t="str">
        <f>IF('Input Sheet'!C320="","",CONCATENATE("Sample ", 'Input Sheet'!B320, "m: ", N318, H318, "% ", "Siltstone, ", P318, 'Input Sheet'!C320, "% ", J318, " Sandstone "))</f>
        <v/>
      </c>
      <c r="C318" s="28" t="str">
        <f>IF('Input Sheet'!C320="","",CONCATENATE("Sample ", 'Input Sheet'!B320, "m: ", M318,, K318, J318, " FLUOR in SST. ", "TG ", 'Input Sheet'!I320, "U"))</f>
        <v/>
      </c>
      <c r="G318" s="31" t="str">
        <f>IF('Input Sheet'!C320="","",100-'Input Sheet'!C320)</f>
        <v/>
      </c>
      <c r="H3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8" s="31" t="str">
        <f t="shared" si="4"/>
        <v/>
      </c>
      <c r="J3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8" s="31" t="str">
        <f>IF('Input Sheet'!F319=0, "NO",CONCATENATE('Input Sheet'!F319, IF('Input Sheet'!F319&gt;0,"% ","")))</f>
        <v>NO</v>
      </c>
      <c r="L3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8" s="31" t="str">
        <f>CONCATENATE(L318, IF('Input Sheet'!J320="",""," siderite in "))</f>
        <v/>
      </c>
      <c r="N3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8" s="31" t="str">
        <f>CONCATENATE(N318, IF('Input Sheet'!K320="",""," siderite in "))</f>
        <v/>
      </c>
    </row>
    <row r="319" spans="1:15" x14ac:dyDescent="0.35">
      <c r="A319" s="42" t="str">
        <f>IF('Input Sheet'!C321="","",CONCATENATE("Sample ", 'Input Sheet'!B321, "m: ", M319, G319, "% ", "Siltstone, ", O319, 'Input Sheet'!C321, "% ", I319, " Sandstone, ", K319, J319, " FLUOR in SST. ", "TG ", 'Input Sheet'!I321, "U"))</f>
        <v/>
      </c>
      <c r="B319" s="28" t="str">
        <f>IF('Input Sheet'!C321="","",CONCATENATE("Sample ", 'Input Sheet'!B321, "m: ", N319, H319, "% ", "Siltstone, ", P319, 'Input Sheet'!C321, "% ", J319, " Sandstone "))</f>
        <v/>
      </c>
      <c r="C319" s="28" t="str">
        <f>IF('Input Sheet'!C321="","",CONCATENATE("Sample ", 'Input Sheet'!B321, "m: ", M319,, K319, J319, " FLUOR in SST. ", "TG ", 'Input Sheet'!I321, "U"))</f>
        <v/>
      </c>
      <c r="G319" s="31" t="str">
        <f>IF('Input Sheet'!C321="","",100-'Input Sheet'!C321)</f>
        <v/>
      </c>
      <c r="H3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9" s="31" t="str">
        <f t="shared" si="4"/>
        <v/>
      </c>
      <c r="J3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9" s="31" t="str">
        <f>IF('Input Sheet'!F320=0, "NO",CONCATENATE('Input Sheet'!F320, IF('Input Sheet'!F320&gt;0,"% ","")))</f>
        <v>NO</v>
      </c>
      <c r="L3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9" s="31" t="str">
        <f>CONCATENATE(L319, IF('Input Sheet'!J321="",""," siderite in "))</f>
        <v/>
      </c>
      <c r="N3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9" s="31" t="str">
        <f>CONCATENATE(N319, IF('Input Sheet'!K321="",""," siderite in "))</f>
        <v/>
      </c>
    </row>
    <row r="320" spans="1:15" x14ac:dyDescent="0.35">
      <c r="A320" s="42" t="str">
        <f>IF('Input Sheet'!C322="","",CONCATENATE("Sample ", 'Input Sheet'!B322, "m: ", M320, G320, "% ", "Siltstone, ", O320, 'Input Sheet'!C322, "% ", I320, " Sandstone, ", K320, J320, " FLUOR in SST. ", "TG ", 'Input Sheet'!I322, "U"))</f>
        <v/>
      </c>
      <c r="B320" s="28" t="str">
        <f>IF('Input Sheet'!C322="","",CONCATENATE("Sample ", 'Input Sheet'!B322, "m: ", N320, H320, "% ", "Siltstone, ", P320, 'Input Sheet'!C322, "% ", J320, " Sandstone "))</f>
        <v/>
      </c>
      <c r="C320" s="28" t="str">
        <f>IF('Input Sheet'!C322="","",CONCATENATE("Sample ", 'Input Sheet'!B322, "m: ", M320,, K320, J320, " FLUOR in SST. ", "TG ", 'Input Sheet'!I322, "U"))</f>
        <v/>
      </c>
      <c r="G320" s="31" t="str">
        <f>IF('Input Sheet'!C322="","",100-'Input Sheet'!C322)</f>
        <v/>
      </c>
      <c r="H3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0" s="31" t="str">
        <f t="shared" si="4"/>
        <v/>
      </c>
      <c r="J3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0" s="31" t="str">
        <f>IF('Input Sheet'!F321=0, "NO",CONCATENATE('Input Sheet'!F321, IF('Input Sheet'!F321&gt;0,"% ","")))</f>
        <v>NO</v>
      </c>
      <c r="L3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0" s="31" t="str">
        <f>CONCATENATE(L320, IF('Input Sheet'!J322="",""," siderite in "))</f>
        <v/>
      </c>
      <c r="N3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0" s="31" t="str">
        <f>CONCATENATE(N320, IF('Input Sheet'!K322="",""," siderite in "))</f>
        <v/>
      </c>
    </row>
    <row r="321" spans="1:15" x14ac:dyDescent="0.35">
      <c r="A321" s="42" t="str">
        <f>IF('Input Sheet'!C323="","",CONCATENATE("Sample ", 'Input Sheet'!B323, "m: ", M321, G321, "% ", "Siltstone, ", O321, 'Input Sheet'!C323, "% ", I321, " Sandstone, ", K321, J321, " FLUOR in SST. ", "TG ", 'Input Sheet'!I323, "U"))</f>
        <v/>
      </c>
      <c r="B321" s="28" t="str">
        <f>IF('Input Sheet'!C323="","",CONCATENATE("Sample ", 'Input Sheet'!B323, "m: ", N321, H321, "% ", "Siltstone, ", P321, 'Input Sheet'!C323, "% ", J321, " Sandstone "))</f>
        <v/>
      </c>
      <c r="C321" s="28" t="str">
        <f>IF('Input Sheet'!C323="","",CONCATENATE("Sample ", 'Input Sheet'!B323, "m: ", M321,, K321, J321, " FLUOR in SST. ", "TG ", 'Input Sheet'!I323, "U"))</f>
        <v/>
      </c>
      <c r="G321" s="31" t="str">
        <f>IF('Input Sheet'!C323="","",100-'Input Sheet'!C323)</f>
        <v/>
      </c>
      <c r="H3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1" s="31" t="str">
        <f t="shared" si="4"/>
        <v/>
      </c>
      <c r="J3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1" s="31" t="str">
        <f>IF('Input Sheet'!F322=0, "NO",CONCATENATE('Input Sheet'!F322, IF('Input Sheet'!F322&gt;0,"% ","")))</f>
        <v>NO</v>
      </c>
      <c r="L3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1" s="31" t="str">
        <f>CONCATENATE(L321, IF('Input Sheet'!J323="",""," siderite in "))</f>
        <v/>
      </c>
      <c r="N3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1" s="31" t="str">
        <f>CONCATENATE(N321, IF('Input Sheet'!K323="",""," siderite in "))</f>
        <v/>
      </c>
    </row>
    <row r="322" spans="1:15" x14ac:dyDescent="0.35">
      <c r="A322" s="42" t="str">
        <f>IF('Input Sheet'!C324="","",CONCATENATE("Sample ", 'Input Sheet'!B324, "m: ", M322, G322, "% ", "Siltstone, ", O322, 'Input Sheet'!C324, "% ", I322, " Sandstone, ", K322, J322, " FLUOR in SST. ", "TG ", 'Input Sheet'!I324, "U"))</f>
        <v/>
      </c>
      <c r="B322" s="28" t="str">
        <f>IF('Input Sheet'!C324="","",CONCATENATE("Sample ", 'Input Sheet'!B324, "m: ", N322, H322, "% ", "Siltstone, ", P322, 'Input Sheet'!C324, "% ", J322, " Sandstone "))</f>
        <v/>
      </c>
      <c r="C322" s="28" t="str">
        <f>IF('Input Sheet'!C324="","",CONCATENATE("Sample ", 'Input Sheet'!B324, "m: ", M322,, K322, J322, " FLUOR in SST. ", "TG ", 'Input Sheet'!I324, "U"))</f>
        <v/>
      </c>
      <c r="G322" s="31" t="str">
        <f>IF('Input Sheet'!C324="","",100-'Input Sheet'!C324)</f>
        <v/>
      </c>
      <c r="H3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2" s="31" t="str">
        <f t="shared" ref="I322:I385" si="5">SUBSTITUTE(H322, "veryfine", "very fine")</f>
        <v/>
      </c>
      <c r="J3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2" s="31" t="str">
        <f>IF('Input Sheet'!F323=0, "NO",CONCATENATE('Input Sheet'!F323, IF('Input Sheet'!F323&gt;0,"% ","")))</f>
        <v>NO</v>
      </c>
      <c r="L3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2" s="31" t="str">
        <f>CONCATENATE(L322, IF('Input Sheet'!J324="",""," siderite in "))</f>
        <v/>
      </c>
      <c r="N3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2" s="31" t="str">
        <f>CONCATENATE(N322, IF('Input Sheet'!K324="",""," siderite in "))</f>
        <v/>
      </c>
    </row>
    <row r="323" spans="1:15" x14ac:dyDescent="0.35">
      <c r="A323" s="42" t="str">
        <f>IF('Input Sheet'!C325="","",CONCATENATE("Sample ", 'Input Sheet'!B325, "m: ", M323, G323, "% ", "Siltstone, ", O323, 'Input Sheet'!C325, "% ", I323, " Sandstone, ", K323, J323, " FLUOR in SST. ", "TG ", 'Input Sheet'!I325, "U"))</f>
        <v/>
      </c>
      <c r="B323" s="28" t="str">
        <f>IF('Input Sheet'!C325="","",CONCATENATE("Sample ", 'Input Sheet'!B325, "m: ", N323, H323, "% ", "Siltstone, ", P323, 'Input Sheet'!C325, "% ", J323, " Sandstone "))</f>
        <v/>
      </c>
      <c r="C323" s="28" t="str">
        <f>IF('Input Sheet'!C325="","",CONCATENATE("Sample ", 'Input Sheet'!B325, "m: ", M323,, K323, J323, " FLUOR in SST. ", "TG ", 'Input Sheet'!I325, "U"))</f>
        <v/>
      </c>
      <c r="G323" s="31" t="str">
        <f>IF('Input Sheet'!C325="","",100-'Input Sheet'!C325)</f>
        <v/>
      </c>
      <c r="H3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3" s="31" t="str">
        <f t="shared" si="5"/>
        <v/>
      </c>
      <c r="J3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3" s="31" t="str">
        <f>IF('Input Sheet'!F324=0, "NO",CONCATENATE('Input Sheet'!F324, IF('Input Sheet'!F324&gt;0,"% ","")))</f>
        <v>NO</v>
      </c>
      <c r="L3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3" s="31" t="str">
        <f>CONCATENATE(L323, IF('Input Sheet'!J325="",""," siderite in "))</f>
        <v/>
      </c>
      <c r="N3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3" s="31" t="str">
        <f>CONCATENATE(N323, IF('Input Sheet'!K325="",""," siderite in "))</f>
        <v/>
      </c>
    </row>
    <row r="324" spans="1:15" x14ac:dyDescent="0.35">
      <c r="A324" s="42" t="str">
        <f>IF('Input Sheet'!C326="","",CONCATENATE("Sample ", 'Input Sheet'!B326, "m: ", M324, G324, "% ", "Siltstone, ", O324, 'Input Sheet'!C326, "% ", I324, " Sandstone, ", K324, J324, " FLUOR in SST. ", "TG ", 'Input Sheet'!I326, "U"))</f>
        <v/>
      </c>
      <c r="B324" s="28" t="str">
        <f>IF('Input Sheet'!C326="","",CONCATENATE("Sample ", 'Input Sheet'!B326, "m: ", N324, H324, "% ", "Siltstone, ", P324, 'Input Sheet'!C326, "% ", J324, " Sandstone "))</f>
        <v/>
      </c>
      <c r="C324" s="28" t="str">
        <f>IF('Input Sheet'!C326="","",CONCATENATE("Sample ", 'Input Sheet'!B326, "m: ", M324,, K324, J324, " FLUOR in SST. ", "TG ", 'Input Sheet'!I326, "U"))</f>
        <v/>
      </c>
      <c r="G324" s="31" t="str">
        <f>IF('Input Sheet'!C326="","",100-'Input Sheet'!C326)</f>
        <v/>
      </c>
      <c r="H3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4" s="31" t="str">
        <f t="shared" si="5"/>
        <v/>
      </c>
      <c r="J3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4" s="31" t="str">
        <f>IF('Input Sheet'!F325=0, "NO",CONCATENATE('Input Sheet'!F325, IF('Input Sheet'!F325&gt;0,"% ","")))</f>
        <v>NO</v>
      </c>
      <c r="L3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4" s="31" t="str">
        <f>CONCATENATE(L324, IF('Input Sheet'!J326="",""," siderite in "))</f>
        <v/>
      </c>
      <c r="N3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4" s="31" t="str">
        <f>CONCATENATE(N324, IF('Input Sheet'!K326="",""," siderite in "))</f>
        <v/>
      </c>
    </row>
    <row r="325" spans="1:15" x14ac:dyDescent="0.35">
      <c r="A325" s="42" t="str">
        <f>IF('Input Sheet'!C327="","",CONCATENATE("Sample ", 'Input Sheet'!B327, "m: ", M325, G325, "% ", "Siltstone, ", O325, 'Input Sheet'!C327, "% ", I325, " Sandstone, ", K325, J325, " FLUOR in SST. ", "TG ", 'Input Sheet'!I327, "U"))</f>
        <v/>
      </c>
      <c r="B325" s="28" t="str">
        <f>IF('Input Sheet'!C327="","",CONCATENATE("Sample ", 'Input Sheet'!B327, "m: ", N325, H325, "% ", "Siltstone, ", P325, 'Input Sheet'!C327, "% ", J325, " Sandstone "))</f>
        <v/>
      </c>
      <c r="C325" s="28" t="str">
        <f>IF('Input Sheet'!C327="","",CONCATENATE("Sample ", 'Input Sheet'!B327, "m: ", M325,, K325, J325, " FLUOR in SST. ", "TG ", 'Input Sheet'!I327, "U"))</f>
        <v/>
      </c>
      <c r="G325" s="31" t="str">
        <f>IF('Input Sheet'!C327="","",100-'Input Sheet'!C327)</f>
        <v/>
      </c>
      <c r="H3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5" s="31" t="str">
        <f t="shared" si="5"/>
        <v/>
      </c>
      <c r="J3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5" s="31" t="str">
        <f>IF('Input Sheet'!F326=0, "NO",CONCATENATE('Input Sheet'!F326, IF('Input Sheet'!F326&gt;0,"% ","")))</f>
        <v>NO</v>
      </c>
      <c r="L3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5" s="31" t="str">
        <f>CONCATENATE(L325, IF('Input Sheet'!J327="",""," siderite in "))</f>
        <v/>
      </c>
      <c r="N3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5" s="31" t="str">
        <f>CONCATENATE(N325, IF('Input Sheet'!K327="",""," siderite in "))</f>
        <v/>
      </c>
    </row>
    <row r="326" spans="1:15" x14ac:dyDescent="0.35">
      <c r="A326" s="42" t="str">
        <f>IF('Input Sheet'!C328="","",CONCATENATE("Sample ", 'Input Sheet'!B328, "m: ", M326, G326, "% ", "Siltstone, ", O326, 'Input Sheet'!C328, "% ", I326, " Sandstone, ", K326, J326, " FLUOR in SST. ", "TG ", 'Input Sheet'!I328, "U"))</f>
        <v/>
      </c>
      <c r="B326" s="28" t="str">
        <f>IF('Input Sheet'!C328="","",CONCATENATE("Sample ", 'Input Sheet'!B328, "m: ", N326, H326, "% ", "Siltstone, ", P326, 'Input Sheet'!C328, "% ", J326, " Sandstone "))</f>
        <v/>
      </c>
      <c r="C326" s="28" t="str">
        <f>IF('Input Sheet'!C328="","",CONCATENATE("Sample ", 'Input Sheet'!B328, "m: ", M326,, K326, J326, " FLUOR in SST. ", "TG ", 'Input Sheet'!I328, "U"))</f>
        <v/>
      </c>
      <c r="G326" s="31" t="str">
        <f>IF('Input Sheet'!C328="","",100-'Input Sheet'!C328)</f>
        <v/>
      </c>
      <c r="H3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6" s="31" t="str">
        <f t="shared" si="5"/>
        <v/>
      </c>
      <c r="J3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6" s="31" t="str">
        <f>IF('Input Sheet'!F327=0, "NO",CONCATENATE('Input Sheet'!F327, IF('Input Sheet'!F327&gt;0,"% ","")))</f>
        <v>NO</v>
      </c>
      <c r="L3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6" s="31" t="str">
        <f>CONCATENATE(L326, IF('Input Sheet'!J328="",""," siderite in "))</f>
        <v/>
      </c>
      <c r="N3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6" s="31" t="str">
        <f>CONCATENATE(N326, IF('Input Sheet'!K328="",""," siderite in "))</f>
        <v/>
      </c>
    </row>
    <row r="327" spans="1:15" x14ac:dyDescent="0.35">
      <c r="A327" s="42" t="str">
        <f>IF('Input Sheet'!C329="","",CONCATENATE("Sample ", 'Input Sheet'!B329, "m: ", M327, G327, "% ", "Siltstone, ", O327, 'Input Sheet'!C329, "% ", I327, " Sandstone, ", K327, J327, " FLUOR in SST. ", "TG ", 'Input Sheet'!I329, "U"))</f>
        <v/>
      </c>
      <c r="B327" s="28" t="str">
        <f>IF('Input Sheet'!C329="","",CONCATENATE("Sample ", 'Input Sheet'!B329, "m: ", N327, H327, "% ", "Siltstone, ", P327, 'Input Sheet'!C329, "% ", J327, " Sandstone "))</f>
        <v/>
      </c>
      <c r="C327" s="28" t="str">
        <f>IF('Input Sheet'!C329="","",CONCATENATE("Sample ", 'Input Sheet'!B329, "m: ", M327,, K327, J327, " FLUOR in SST. ", "TG ", 'Input Sheet'!I329, "U"))</f>
        <v/>
      </c>
      <c r="G327" s="31" t="str">
        <f>IF('Input Sheet'!C329="","",100-'Input Sheet'!C329)</f>
        <v/>
      </c>
      <c r="H3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7" s="31" t="str">
        <f t="shared" si="5"/>
        <v/>
      </c>
      <c r="J3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7" s="31" t="str">
        <f>IF('Input Sheet'!F328=0, "NO",CONCATENATE('Input Sheet'!F328, IF('Input Sheet'!F328&gt;0,"% ","")))</f>
        <v>NO</v>
      </c>
      <c r="L3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7" s="31" t="str">
        <f>CONCATENATE(L327, IF('Input Sheet'!J329="",""," siderite in "))</f>
        <v/>
      </c>
      <c r="N3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7" s="31" t="str">
        <f>CONCATENATE(N327, IF('Input Sheet'!K329="",""," siderite in "))</f>
        <v/>
      </c>
    </row>
    <row r="328" spans="1:15" x14ac:dyDescent="0.35">
      <c r="A328" s="42" t="str">
        <f>IF('Input Sheet'!C330="","",CONCATENATE("Sample ", 'Input Sheet'!B330, "m: ", M328, G328, "% ", "Siltstone, ", O328, 'Input Sheet'!C330, "% ", I328, " Sandstone, ", K328, J328, " FLUOR in SST. ", "TG ", 'Input Sheet'!I330, "U"))</f>
        <v/>
      </c>
      <c r="B328" s="28" t="str">
        <f>IF('Input Sheet'!C330="","",CONCATENATE("Sample ", 'Input Sheet'!B330, "m: ", N328, H328, "% ", "Siltstone, ", P328, 'Input Sheet'!C330, "% ", J328, " Sandstone "))</f>
        <v/>
      </c>
      <c r="C328" s="28" t="str">
        <f>IF('Input Sheet'!C330="","",CONCATENATE("Sample ", 'Input Sheet'!B330, "m: ", M328,, K328, J328, " FLUOR in SST. ", "TG ", 'Input Sheet'!I330, "U"))</f>
        <v/>
      </c>
      <c r="G328" s="31" t="str">
        <f>IF('Input Sheet'!C330="","",100-'Input Sheet'!C330)</f>
        <v/>
      </c>
      <c r="H3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8" s="31" t="str">
        <f t="shared" si="5"/>
        <v/>
      </c>
      <c r="J3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8" s="31" t="str">
        <f>IF('Input Sheet'!F329=0, "NO",CONCATENATE('Input Sheet'!F329, IF('Input Sheet'!F329&gt;0,"% ","")))</f>
        <v>NO</v>
      </c>
      <c r="L3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8" s="31" t="str">
        <f>CONCATENATE(L328, IF('Input Sheet'!J330="",""," siderite in "))</f>
        <v/>
      </c>
      <c r="N3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8" s="31" t="str">
        <f>CONCATENATE(N328, IF('Input Sheet'!K330="",""," siderite in "))</f>
        <v/>
      </c>
    </row>
    <row r="329" spans="1:15" x14ac:dyDescent="0.35">
      <c r="A329" s="42" t="str">
        <f>IF('Input Sheet'!C331="","",CONCATENATE("Sample ", 'Input Sheet'!B331, "m: ", M329, G329, "% ", "Siltstone, ", O329, 'Input Sheet'!C331, "% ", I329, " Sandstone, ", K329, J329, " FLUOR in SST. ", "TG ", 'Input Sheet'!I331, "U"))</f>
        <v/>
      </c>
      <c r="B329" s="28" t="str">
        <f>IF('Input Sheet'!C331="","",CONCATENATE("Sample ", 'Input Sheet'!B331, "m: ", N329, H329, "% ", "Siltstone, ", P329, 'Input Sheet'!C331, "% ", J329, " Sandstone "))</f>
        <v/>
      </c>
      <c r="C329" s="28" t="str">
        <f>IF('Input Sheet'!C331="","",CONCATENATE("Sample ", 'Input Sheet'!B331, "m: ", M329,, K329, J329, " FLUOR in SST. ", "TG ", 'Input Sheet'!I331, "U"))</f>
        <v/>
      </c>
      <c r="G329" s="31" t="str">
        <f>IF('Input Sheet'!C331="","",100-'Input Sheet'!C331)</f>
        <v/>
      </c>
      <c r="H3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9" s="31" t="str">
        <f t="shared" si="5"/>
        <v/>
      </c>
      <c r="J3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9" s="31" t="str">
        <f>IF('Input Sheet'!F330=0, "NO",CONCATENATE('Input Sheet'!F330, IF('Input Sheet'!F330&gt;0,"% ","")))</f>
        <v>NO</v>
      </c>
      <c r="L3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9" s="31" t="str">
        <f>CONCATENATE(L329, IF('Input Sheet'!J331="",""," siderite in "))</f>
        <v/>
      </c>
      <c r="N3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9" s="31" t="str">
        <f>CONCATENATE(N329, IF('Input Sheet'!K331="",""," siderite in "))</f>
        <v/>
      </c>
    </row>
    <row r="330" spans="1:15" x14ac:dyDescent="0.35">
      <c r="A330" s="42" t="str">
        <f>IF('Input Sheet'!C332="","",CONCATENATE("Sample ", 'Input Sheet'!B332, "m: ", M330, G330, "% ", "Siltstone, ", O330, 'Input Sheet'!C332, "% ", I330, " Sandstone, ", K330, J330, " FLUOR in SST. ", "TG ", 'Input Sheet'!I332, "U"))</f>
        <v/>
      </c>
      <c r="B330" s="28" t="str">
        <f>IF('Input Sheet'!C332="","",CONCATENATE("Sample ", 'Input Sheet'!B332, "m: ", N330, H330, "% ", "Siltstone, ", P330, 'Input Sheet'!C332, "% ", J330, " Sandstone "))</f>
        <v/>
      </c>
      <c r="C330" s="28" t="str">
        <f>IF('Input Sheet'!C332="","",CONCATENATE("Sample ", 'Input Sheet'!B332, "m: ", M330,, K330, J330, " FLUOR in SST. ", "TG ", 'Input Sheet'!I332, "U"))</f>
        <v/>
      </c>
      <c r="G330" s="31" t="str">
        <f>IF('Input Sheet'!C332="","",100-'Input Sheet'!C332)</f>
        <v/>
      </c>
      <c r="H3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0" s="31" t="str">
        <f t="shared" si="5"/>
        <v/>
      </c>
      <c r="J3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0" s="31" t="str">
        <f>IF('Input Sheet'!F331=0, "NO",CONCATENATE('Input Sheet'!F331, IF('Input Sheet'!F331&gt;0,"% ","")))</f>
        <v>NO</v>
      </c>
      <c r="L3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0" s="31" t="str">
        <f>CONCATENATE(L330, IF('Input Sheet'!J332="",""," siderite in "))</f>
        <v/>
      </c>
      <c r="N3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0" s="31" t="str">
        <f>CONCATENATE(N330, IF('Input Sheet'!K332="",""," siderite in "))</f>
        <v/>
      </c>
    </row>
    <row r="331" spans="1:15" x14ac:dyDescent="0.35">
      <c r="A331" s="42" t="str">
        <f>IF('Input Sheet'!C333="","",CONCATENATE("Sample ", 'Input Sheet'!B333, "m: ", M331, G331, "% ", "Siltstone, ", O331, 'Input Sheet'!C333, "% ", I331, " Sandstone, ", K331, J331, " FLUOR in SST. ", "TG ", 'Input Sheet'!I333, "U"))</f>
        <v/>
      </c>
      <c r="B331" s="28" t="str">
        <f>IF('Input Sheet'!C333="","",CONCATENATE("Sample ", 'Input Sheet'!B333, "m: ", N331, H331, "% ", "Siltstone, ", P331, 'Input Sheet'!C333, "% ", J331, " Sandstone "))</f>
        <v/>
      </c>
      <c r="C331" s="28" t="str">
        <f>IF('Input Sheet'!C333="","",CONCATENATE("Sample ", 'Input Sheet'!B333, "m: ", M331,, K331, J331, " FLUOR in SST. ", "TG ", 'Input Sheet'!I333, "U"))</f>
        <v/>
      </c>
      <c r="G331" s="31" t="str">
        <f>IF('Input Sheet'!C333="","",100-'Input Sheet'!C333)</f>
        <v/>
      </c>
      <c r="H3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1" s="31" t="str">
        <f t="shared" si="5"/>
        <v/>
      </c>
      <c r="J3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1" s="31" t="str">
        <f>IF('Input Sheet'!F332=0, "NO",CONCATENATE('Input Sheet'!F332, IF('Input Sheet'!F332&gt;0,"% ","")))</f>
        <v>NO</v>
      </c>
      <c r="L3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1" s="31" t="str">
        <f>CONCATENATE(L331, IF('Input Sheet'!J333="",""," siderite in "))</f>
        <v/>
      </c>
      <c r="N3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1" s="31" t="str">
        <f>CONCATENATE(N331, IF('Input Sheet'!K333="",""," siderite in "))</f>
        <v/>
      </c>
    </row>
    <row r="332" spans="1:15" x14ac:dyDescent="0.35">
      <c r="A332" s="42" t="str">
        <f>IF('Input Sheet'!C334="","",CONCATENATE("Sample ", 'Input Sheet'!B334, "m: ", M332, G332, "% ", "Siltstone, ", O332, 'Input Sheet'!C334, "% ", I332, " Sandstone, ", K332, J332, " FLUOR in SST. ", "TG ", 'Input Sheet'!I334, "U"))</f>
        <v/>
      </c>
      <c r="B332" s="28" t="str">
        <f>IF('Input Sheet'!C334="","",CONCATENATE("Sample ", 'Input Sheet'!B334, "m: ", N332, H332, "% ", "Siltstone, ", P332, 'Input Sheet'!C334, "% ", J332, " Sandstone "))</f>
        <v/>
      </c>
      <c r="C332" s="28" t="str">
        <f>IF('Input Sheet'!C334="","",CONCATENATE("Sample ", 'Input Sheet'!B334, "m: ", M332,, K332, J332, " FLUOR in SST. ", "TG ", 'Input Sheet'!I334, "U"))</f>
        <v/>
      </c>
      <c r="G332" s="31" t="str">
        <f>IF('Input Sheet'!C334="","",100-'Input Sheet'!C334)</f>
        <v/>
      </c>
      <c r="H3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2" s="31" t="str">
        <f t="shared" si="5"/>
        <v/>
      </c>
      <c r="J3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2" s="31" t="str">
        <f>IF('Input Sheet'!F333=0, "NO",CONCATENATE('Input Sheet'!F333, IF('Input Sheet'!F333&gt;0,"% ","")))</f>
        <v>NO</v>
      </c>
      <c r="L3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2" s="31" t="str">
        <f>CONCATENATE(L332, IF('Input Sheet'!J334="",""," siderite in "))</f>
        <v/>
      </c>
      <c r="N3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2" s="31" t="str">
        <f>CONCATENATE(N332, IF('Input Sheet'!K334="",""," siderite in "))</f>
        <v/>
      </c>
    </row>
    <row r="333" spans="1:15" x14ac:dyDescent="0.35">
      <c r="A333" s="42" t="str">
        <f>IF('Input Sheet'!C335="","",CONCATENATE("Sample ", 'Input Sheet'!B335, "m: ", M333, G333, "% ", "Siltstone, ", O333, 'Input Sheet'!C335, "% ", I333, " Sandstone, ", K333, J333, " FLUOR in SST. ", "TG ", 'Input Sheet'!I335, "U"))</f>
        <v/>
      </c>
      <c r="B333" s="28" t="str">
        <f>IF('Input Sheet'!C335="","",CONCATENATE("Sample ", 'Input Sheet'!B335, "m: ", N333, H333, "% ", "Siltstone, ", P333, 'Input Sheet'!C335, "% ", J333, " Sandstone "))</f>
        <v/>
      </c>
      <c r="C333" s="28" t="str">
        <f>IF('Input Sheet'!C335="","",CONCATENATE("Sample ", 'Input Sheet'!B335, "m: ", M333,, K333, J333, " FLUOR in SST. ", "TG ", 'Input Sheet'!I335, "U"))</f>
        <v/>
      </c>
      <c r="G333" s="31" t="str">
        <f>IF('Input Sheet'!C335="","",100-'Input Sheet'!C335)</f>
        <v/>
      </c>
      <c r="H3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3" s="31" t="str">
        <f t="shared" si="5"/>
        <v/>
      </c>
      <c r="J3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3" s="31" t="str">
        <f>IF('Input Sheet'!F334=0, "NO",CONCATENATE('Input Sheet'!F334, IF('Input Sheet'!F334&gt;0,"% ","")))</f>
        <v>NO</v>
      </c>
      <c r="L3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3" s="31" t="str">
        <f>CONCATENATE(L333, IF('Input Sheet'!J335="",""," siderite in "))</f>
        <v/>
      </c>
      <c r="N3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3" s="31" t="str">
        <f>CONCATENATE(N333, IF('Input Sheet'!K335="",""," siderite in "))</f>
        <v/>
      </c>
    </row>
    <row r="334" spans="1:15" x14ac:dyDescent="0.35">
      <c r="A334" s="42" t="str">
        <f>IF('Input Sheet'!C336="","",CONCATENATE("Sample ", 'Input Sheet'!B336, "m: ", M334, G334, "% ", "Siltstone, ", O334, 'Input Sheet'!C336, "% ", I334, " Sandstone, ", K334, J334, " FLUOR in SST. ", "TG ", 'Input Sheet'!I336, "U"))</f>
        <v/>
      </c>
      <c r="B334" s="28" t="str">
        <f>IF('Input Sheet'!C336="","",CONCATENATE("Sample ", 'Input Sheet'!B336, "m: ", N334, H334, "% ", "Siltstone, ", P334, 'Input Sheet'!C336, "% ", J334, " Sandstone "))</f>
        <v/>
      </c>
      <c r="C334" s="28" t="str">
        <f>IF('Input Sheet'!C336="","",CONCATENATE("Sample ", 'Input Sheet'!B336, "m: ", M334,, K334, J334, " FLUOR in SST. ", "TG ", 'Input Sheet'!I336, "U"))</f>
        <v/>
      </c>
      <c r="G334" s="31" t="str">
        <f>IF('Input Sheet'!C336="","",100-'Input Sheet'!C336)</f>
        <v/>
      </c>
      <c r="H3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4" s="31" t="str">
        <f t="shared" si="5"/>
        <v/>
      </c>
      <c r="J3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4" s="31" t="str">
        <f>IF('Input Sheet'!F335=0, "NO",CONCATENATE('Input Sheet'!F335, IF('Input Sheet'!F335&gt;0,"% ","")))</f>
        <v>NO</v>
      </c>
      <c r="L3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4" s="31" t="str">
        <f>CONCATENATE(L334, IF('Input Sheet'!J336="",""," siderite in "))</f>
        <v/>
      </c>
      <c r="N3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4" s="31" t="str">
        <f>CONCATENATE(N334, IF('Input Sheet'!K336="",""," siderite in "))</f>
        <v/>
      </c>
    </row>
    <row r="335" spans="1:15" x14ac:dyDescent="0.35">
      <c r="A335" s="42" t="str">
        <f>IF('Input Sheet'!C337="","",CONCATENATE("Sample ", 'Input Sheet'!B337, "m: ", M335, G335, "% ", "Siltstone, ", O335, 'Input Sheet'!C337, "% ", I335, " Sandstone, ", K335, J335, " FLUOR in SST. ", "TG ", 'Input Sheet'!I337, "U"))</f>
        <v/>
      </c>
      <c r="B335" s="28" t="str">
        <f>IF('Input Sheet'!C337="","",CONCATENATE("Sample ", 'Input Sheet'!B337, "m: ", N335, H335, "% ", "Siltstone, ", P335, 'Input Sheet'!C337, "% ", J335, " Sandstone "))</f>
        <v/>
      </c>
      <c r="C335" s="28" t="str">
        <f>IF('Input Sheet'!C337="","",CONCATENATE("Sample ", 'Input Sheet'!B337, "m: ", M335,, K335, J335, " FLUOR in SST. ", "TG ", 'Input Sheet'!I337, "U"))</f>
        <v/>
      </c>
      <c r="G335" s="31" t="str">
        <f>IF('Input Sheet'!C337="","",100-'Input Sheet'!C337)</f>
        <v/>
      </c>
      <c r="H3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5" s="31" t="str">
        <f t="shared" si="5"/>
        <v/>
      </c>
      <c r="J3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5" s="31" t="str">
        <f>IF('Input Sheet'!F336=0, "NO",CONCATENATE('Input Sheet'!F336, IF('Input Sheet'!F336&gt;0,"% ","")))</f>
        <v>NO</v>
      </c>
      <c r="L3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5" s="31" t="str">
        <f>CONCATENATE(L335, IF('Input Sheet'!J337="",""," siderite in "))</f>
        <v/>
      </c>
      <c r="N3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5" s="31" t="str">
        <f>CONCATENATE(N335, IF('Input Sheet'!K337="",""," siderite in "))</f>
        <v/>
      </c>
    </row>
    <row r="336" spans="1:15" x14ac:dyDescent="0.35">
      <c r="A336" s="42" t="str">
        <f>IF('Input Sheet'!C338="","",CONCATENATE("Sample ", 'Input Sheet'!B338, "m: ", M336, G336, "% ", "Siltstone, ", O336, 'Input Sheet'!C338, "% ", I336, " Sandstone, ", K336, J336, " FLUOR in SST. ", "TG ", 'Input Sheet'!I338, "U"))</f>
        <v/>
      </c>
      <c r="B336" s="28" t="str">
        <f>IF('Input Sheet'!C338="","",CONCATENATE("Sample ", 'Input Sheet'!B338, "m: ", N336, H336, "% ", "Siltstone, ", P336, 'Input Sheet'!C338, "% ", J336, " Sandstone "))</f>
        <v/>
      </c>
      <c r="C336" s="28" t="str">
        <f>IF('Input Sheet'!C338="","",CONCATENATE("Sample ", 'Input Sheet'!B338, "m: ", M336,, K336, J336, " FLUOR in SST. ", "TG ", 'Input Sheet'!I338, "U"))</f>
        <v/>
      </c>
      <c r="G336" s="31" t="str">
        <f>IF('Input Sheet'!C338="","",100-'Input Sheet'!C338)</f>
        <v/>
      </c>
      <c r="H3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6" s="31" t="str">
        <f t="shared" si="5"/>
        <v/>
      </c>
      <c r="J3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6" s="31" t="str">
        <f>IF('Input Sheet'!F337=0, "NO",CONCATENATE('Input Sheet'!F337, IF('Input Sheet'!F337&gt;0,"% ","")))</f>
        <v>NO</v>
      </c>
      <c r="L3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6" s="31" t="str">
        <f>CONCATENATE(L336, IF('Input Sheet'!J338="",""," siderite in "))</f>
        <v/>
      </c>
      <c r="N3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6" s="31" t="str">
        <f>CONCATENATE(N336, IF('Input Sheet'!K338="",""," siderite in "))</f>
        <v/>
      </c>
    </row>
    <row r="337" spans="1:15" x14ac:dyDescent="0.35">
      <c r="A337" s="42" t="str">
        <f>IF('Input Sheet'!C339="","",CONCATENATE("Sample ", 'Input Sheet'!B339, "m: ", M337, G337, "% ", "Siltstone, ", O337, 'Input Sheet'!C339, "% ", I337, " Sandstone, ", K337, J337, " FLUOR in SST. ", "TG ", 'Input Sheet'!I339, "U"))</f>
        <v/>
      </c>
      <c r="B337" s="28" t="str">
        <f>IF('Input Sheet'!C339="","",CONCATENATE("Sample ", 'Input Sheet'!B339, "m: ", N337, H337, "% ", "Siltstone, ", P337, 'Input Sheet'!C339, "% ", J337, " Sandstone "))</f>
        <v/>
      </c>
      <c r="C337" s="28" t="str">
        <f>IF('Input Sheet'!C339="","",CONCATENATE("Sample ", 'Input Sheet'!B339, "m: ", M337,, K337, J337, " FLUOR in SST. ", "TG ", 'Input Sheet'!I339, "U"))</f>
        <v/>
      </c>
      <c r="G337" s="31" t="str">
        <f>IF('Input Sheet'!C339="","",100-'Input Sheet'!C339)</f>
        <v/>
      </c>
      <c r="H3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7" s="31" t="str">
        <f t="shared" si="5"/>
        <v/>
      </c>
      <c r="J3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7" s="31" t="str">
        <f>IF('Input Sheet'!F338=0, "NO",CONCATENATE('Input Sheet'!F338, IF('Input Sheet'!F338&gt;0,"% ","")))</f>
        <v>NO</v>
      </c>
      <c r="L3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7" s="31" t="str">
        <f>CONCATENATE(L337, IF('Input Sheet'!J339="",""," siderite in "))</f>
        <v/>
      </c>
      <c r="N3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7" s="31" t="str">
        <f>CONCATENATE(N337, IF('Input Sheet'!K339="",""," siderite in "))</f>
        <v/>
      </c>
    </row>
    <row r="338" spans="1:15" x14ac:dyDescent="0.35">
      <c r="A338" s="42" t="str">
        <f>IF('Input Sheet'!C340="","",CONCATENATE("Sample ", 'Input Sheet'!B340, "m: ", M338, G338, "% ", "Siltstone, ", O338, 'Input Sheet'!C340, "% ", I338, " Sandstone, ", K338, J338, " FLUOR in SST. ", "TG ", 'Input Sheet'!I340, "U"))</f>
        <v/>
      </c>
      <c r="B338" s="28" t="str">
        <f>IF('Input Sheet'!C340="","",CONCATENATE("Sample ", 'Input Sheet'!B340, "m: ", N338, H338, "% ", "Siltstone, ", P338, 'Input Sheet'!C340, "% ", J338, " Sandstone "))</f>
        <v/>
      </c>
      <c r="C338" s="28" t="str">
        <f>IF('Input Sheet'!C340="","",CONCATENATE("Sample ", 'Input Sheet'!B340, "m: ", M338,, K338, J338, " FLUOR in SST. ", "TG ", 'Input Sheet'!I340, "U"))</f>
        <v/>
      </c>
      <c r="G338" s="31" t="str">
        <f>IF('Input Sheet'!C340="","",100-'Input Sheet'!C340)</f>
        <v/>
      </c>
      <c r="H3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8" s="31" t="str">
        <f t="shared" si="5"/>
        <v/>
      </c>
      <c r="J3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8" s="31" t="str">
        <f>IF('Input Sheet'!F339=0, "NO",CONCATENATE('Input Sheet'!F339, IF('Input Sheet'!F339&gt;0,"% ","")))</f>
        <v>NO</v>
      </c>
      <c r="L3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8" s="31" t="str">
        <f>CONCATENATE(L338, IF('Input Sheet'!J340="",""," siderite in "))</f>
        <v/>
      </c>
      <c r="N3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8" s="31" t="str">
        <f>CONCATENATE(N338, IF('Input Sheet'!K340="",""," siderite in "))</f>
        <v/>
      </c>
    </row>
    <row r="339" spans="1:15" x14ac:dyDescent="0.35">
      <c r="A339" s="42" t="str">
        <f>IF('Input Sheet'!C341="","",CONCATENATE("Sample ", 'Input Sheet'!B341, "m: ", M339, G339, "% ", "Siltstone, ", O339, 'Input Sheet'!C341, "% ", I339, " Sandstone, ", K339, J339, " FLUOR in SST. ", "TG ", 'Input Sheet'!I341, "U"))</f>
        <v/>
      </c>
      <c r="B339" s="28" t="str">
        <f>IF('Input Sheet'!C341="","",CONCATENATE("Sample ", 'Input Sheet'!B341, "m: ", N339, H339, "% ", "Siltstone, ", P339, 'Input Sheet'!C341, "% ", J339, " Sandstone "))</f>
        <v/>
      </c>
      <c r="C339" s="28" t="str">
        <f>IF('Input Sheet'!C341="","",CONCATENATE("Sample ", 'Input Sheet'!B341, "m: ", M339,, K339, J339, " FLUOR in SST. ", "TG ", 'Input Sheet'!I341, "U"))</f>
        <v/>
      </c>
      <c r="G339" s="31" t="str">
        <f>IF('Input Sheet'!C341="","",100-'Input Sheet'!C341)</f>
        <v/>
      </c>
      <c r="H3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9" s="31" t="str">
        <f t="shared" si="5"/>
        <v/>
      </c>
      <c r="J3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9" s="31" t="str">
        <f>IF('Input Sheet'!F340=0, "NO",CONCATENATE('Input Sheet'!F340, IF('Input Sheet'!F340&gt;0,"% ","")))</f>
        <v>NO</v>
      </c>
      <c r="L3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9" s="31" t="str">
        <f>CONCATENATE(L339, IF('Input Sheet'!J341="",""," siderite in "))</f>
        <v/>
      </c>
      <c r="N3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9" s="31" t="str">
        <f>CONCATENATE(N339, IF('Input Sheet'!K341="",""," siderite in "))</f>
        <v/>
      </c>
    </row>
    <row r="340" spans="1:15" x14ac:dyDescent="0.35">
      <c r="A340" s="42" t="str">
        <f>IF('Input Sheet'!C342="","",CONCATENATE("Sample ", 'Input Sheet'!B342, "m: ", M340, G340, "% ", "Siltstone, ", O340, 'Input Sheet'!C342, "% ", I340, " Sandstone, ", K340, J340, " FLUOR in SST. ", "TG ", 'Input Sheet'!I342, "U"))</f>
        <v/>
      </c>
      <c r="B340" s="28" t="str">
        <f>IF('Input Sheet'!C342="","",CONCATENATE("Sample ", 'Input Sheet'!B342, "m: ", N340, H340, "% ", "Siltstone, ", P340, 'Input Sheet'!C342, "% ", J340, " Sandstone "))</f>
        <v/>
      </c>
      <c r="C340" s="28" t="str">
        <f>IF('Input Sheet'!C342="","",CONCATENATE("Sample ", 'Input Sheet'!B342, "m: ", M340,, K340, J340, " FLUOR in SST. ", "TG ", 'Input Sheet'!I342, "U"))</f>
        <v/>
      </c>
      <c r="G340" s="31" t="str">
        <f>IF('Input Sheet'!C342="","",100-'Input Sheet'!C342)</f>
        <v/>
      </c>
      <c r="H3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0" s="31" t="str">
        <f t="shared" si="5"/>
        <v/>
      </c>
      <c r="J3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0" s="31" t="str">
        <f>IF('Input Sheet'!F341=0, "NO",CONCATENATE('Input Sheet'!F341, IF('Input Sheet'!F341&gt;0,"% ","")))</f>
        <v>NO</v>
      </c>
      <c r="L3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0" s="31" t="str">
        <f>CONCATENATE(L340, IF('Input Sheet'!J342="",""," siderite in "))</f>
        <v/>
      </c>
      <c r="N3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0" s="31" t="str">
        <f>CONCATENATE(N340, IF('Input Sheet'!K342="",""," siderite in "))</f>
        <v/>
      </c>
    </row>
    <row r="341" spans="1:15" x14ac:dyDescent="0.35">
      <c r="A341" s="42" t="str">
        <f>IF('Input Sheet'!C343="","",CONCATENATE("Sample ", 'Input Sheet'!B343, "m: ", M341, G341, "% ", "Siltstone, ", O341, 'Input Sheet'!C343, "% ", I341, " Sandstone, ", K341, J341, " FLUOR in SST. ", "TG ", 'Input Sheet'!I343, "U"))</f>
        <v/>
      </c>
      <c r="B341" s="28" t="str">
        <f>IF('Input Sheet'!C343="","",CONCATENATE("Sample ", 'Input Sheet'!B343, "m: ", N341, H341, "% ", "Siltstone, ", P341, 'Input Sheet'!C343, "% ", J341, " Sandstone "))</f>
        <v/>
      </c>
      <c r="C341" s="28" t="str">
        <f>IF('Input Sheet'!C343="","",CONCATENATE("Sample ", 'Input Sheet'!B343, "m: ", M341,, K341, J341, " FLUOR in SST. ", "TG ", 'Input Sheet'!I343, "U"))</f>
        <v/>
      </c>
      <c r="G341" s="31" t="str">
        <f>IF('Input Sheet'!C343="","",100-'Input Sheet'!C343)</f>
        <v/>
      </c>
      <c r="H3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1" s="31" t="str">
        <f t="shared" si="5"/>
        <v/>
      </c>
      <c r="J3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1" s="31" t="str">
        <f>IF('Input Sheet'!F342=0, "NO",CONCATENATE('Input Sheet'!F342, IF('Input Sheet'!F342&gt;0,"% ","")))</f>
        <v>NO</v>
      </c>
      <c r="L3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1" s="31" t="str">
        <f>CONCATENATE(L341, IF('Input Sheet'!J343="",""," siderite in "))</f>
        <v/>
      </c>
      <c r="N3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1" s="31" t="str">
        <f>CONCATENATE(N341, IF('Input Sheet'!K343="",""," siderite in "))</f>
        <v/>
      </c>
    </row>
    <row r="342" spans="1:15" x14ac:dyDescent="0.35">
      <c r="A342" s="42" t="str">
        <f>IF('Input Sheet'!C344="","",CONCATENATE("Sample ", 'Input Sheet'!B344, "m: ", M342, G342, "% ", "Siltstone, ", O342, 'Input Sheet'!C344, "% ", I342, " Sandstone, ", K342, J342, " FLUOR in SST. ", "TG ", 'Input Sheet'!I344, "U"))</f>
        <v/>
      </c>
      <c r="B342" s="28" t="str">
        <f>IF('Input Sheet'!C344="","",CONCATENATE("Sample ", 'Input Sheet'!B344, "m: ", N342, H342, "% ", "Siltstone, ", P342, 'Input Sheet'!C344, "% ", J342, " Sandstone "))</f>
        <v/>
      </c>
      <c r="C342" s="28" t="str">
        <f>IF('Input Sheet'!C344="","",CONCATENATE("Sample ", 'Input Sheet'!B344, "m: ", M342,, K342, J342, " FLUOR in SST. ", "TG ", 'Input Sheet'!I344, "U"))</f>
        <v/>
      </c>
      <c r="G342" s="31" t="str">
        <f>IF('Input Sheet'!C344="","",100-'Input Sheet'!C344)</f>
        <v/>
      </c>
      <c r="H3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2" s="31" t="str">
        <f t="shared" si="5"/>
        <v/>
      </c>
      <c r="J3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2" s="31" t="str">
        <f>IF('Input Sheet'!F343=0, "NO",CONCATENATE('Input Sheet'!F343, IF('Input Sheet'!F343&gt;0,"% ","")))</f>
        <v>NO</v>
      </c>
      <c r="L3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2" s="31" t="str">
        <f>CONCATENATE(L342, IF('Input Sheet'!J344="",""," siderite in "))</f>
        <v/>
      </c>
      <c r="N3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2" s="31" t="str">
        <f>CONCATENATE(N342, IF('Input Sheet'!K344="",""," siderite in "))</f>
        <v/>
      </c>
    </row>
    <row r="343" spans="1:15" x14ac:dyDescent="0.35">
      <c r="A343" s="42" t="str">
        <f>IF('Input Sheet'!C345="","",CONCATENATE("Sample ", 'Input Sheet'!B345, "m: ", M343, G343, "% ", "Siltstone, ", O343, 'Input Sheet'!C345, "% ", I343, " Sandstone, ", K343, J343, " FLUOR in SST. ", "TG ", 'Input Sheet'!I345, "U"))</f>
        <v/>
      </c>
      <c r="B343" s="28" t="str">
        <f>IF('Input Sheet'!C345="","",CONCATENATE("Sample ", 'Input Sheet'!B345, "m: ", N343, H343, "% ", "Siltstone, ", P343, 'Input Sheet'!C345, "% ", J343, " Sandstone "))</f>
        <v/>
      </c>
      <c r="C343" s="28" t="str">
        <f>IF('Input Sheet'!C345="","",CONCATENATE("Sample ", 'Input Sheet'!B345, "m: ", M343,, K343, J343, " FLUOR in SST. ", "TG ", 'Input Sheet'!I345, "U"))</f>
        <v/>
      </c>
      <c r="G343" s="31" t="str">
        <f>IF('Input Sheet'!C345="","",100-'Input Sheet'!C345)</f>
        <v/>
      </c>
      <c r="H3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3" s="31" t="str">
        <f t="shared" si="5"/>
        <v/>
      </c>
      <c r="J3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3" s="31" t="str">
        <f>IF('Input Sheet'!F344=0, "NO",CONCATENATE('Input Sheet'!F344, IF('Input Sheet'!F344&gt;0,"% ","")))</f>
        <v>NO</v>
      </c>
      <c r="L3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3" s="31" t="str">
        <f>CONCATENATE(L343, IF('Input Sheet'!J345="",""," siderite in "))</f>
        <v/>
      </c>
      <c r="N3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3" s="31" t="str">
        <f>CONCATENATE(N343, IF('Input Sheet'!K345="",""," siderite in "))</f>
        <v/>
      </c>
    </row>
    <row r="344" spans="1:15" x14ac:dyDescent="0.35">
      <c r="A344" s="42" t="str">
        <f>IF('Input Sheet'!C346="","",CONCATENATE("Sample ", 'Input Sheet'!B346, "m: ", M344, G344, "% ", "Siltstone, ", O344, 'Input Sheet'!C346, "% ", I344, " Sandstone, ", K344, J344, " FLUOR in SST. ", "TG ", 'Input Sheet'!I346, "U"))</f>
        <v/>
      </c>
      <c r="B344" s="28" t="str">
        <f>IF('Input Sheet'!C346="","",CONCATENATE("Sample ", 'Input Sheet'!B346, "m: ", N344, H344, "% ", "Siltstone, ", P344, 'Input Sheet'!C346, "% ", J344, " Sandstone "))</f>
        <v/>
      </c>
      <c r="C344" s="28" t="str">
        <f>IF('Input Sheet'!C346="","",CONCATENATE("Sample ", 'Input Sheet'!B346, "m: ", M344,, K344, J344, " FLUOR in SST. ", "TG ", 'Input Sheet'!I346, "U"))</f>
        <v/>
      </c>
      <c r="G344" s="31" t="str">
        <f>IF('Input Sheet'!C346="","",100-'Input Sheet'!C346)</f>
        <v/>
      </c>
      <c r="H3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4" s="31" t="str">
        <f t="shared" si="5"/>
        <v/>
      </c>
      <c r="J3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4" s="31" t="str">
        <f>IF('Input Sheet'!F345=0, "NO",CONCATENATE('Input Sheet'!F345, IF('Input Sheet'!F345&gt;0,"% ","")))</f>
        <v>NO</v>
      </c>
      <c r="L3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4" s="31" t="str">
        <f>CONCATENATE(L344, IF('Input Sheet'!J346="",""," siderite in "))</f>
        <v/>
      </c>
      <c r="N3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4" s="31" t="str">
        <f>CONCATENATE(N344, IF('Input Sheet'!K346="",""," siderite in "))</f>
        <v/>
      </c>
    </row>
    <row r="345" spans="1:15" x14ac:dyDescent="0.35">
      <c r="A345" s="42" t="str">
        <f>IF('Input Sheet'!C347="","",CONCATENATE("Sample ", 'Input Sheet'!B347, "m: ", M345, G345, "% ", "Siltstone, ", O345, 'Input Sheet'!C347, "% ", I345, " Sandstone, ", K345, J345, " FLUOR in SST. ", "TG ", 'Input Sheet'!I347, "U"))</f>
        <v/>
      </c>
      <c r="B345" s="28" t="str">
        <f>IF('Input Sheet'!C347="","",CONCATENATE("Sample ", 'Input Sheet'!B347, "m: ", N345, H345, "% ", "Siltstone, ", P345, 'Input Sheet'!C347, "% ", J345, " Sandstone "))</f>
        <v/>
      </c>
      <c r="C345" s="28" t="str">
        <f>IF('Input Sheet'!C347="","",CONCATENATE("Sample ", 'Input Sheet'!B347, "m: ", M345,, K345, J345, " FLUOR in SST. ", "TG ", 'Input Sheet'!I347, "U"))</f>
        <v/>
      </c>
      <c r="G345" s="31" t="str">
        <f>IF('Input Sheet'!C347="","",100-'Input Sheet'!C347)</f>
        <v/>
      </c>
      <c r="H3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5" s="31" t="str">
        <f t="shared" si="5"/>
        <v/>
      </c>
      <c r="J3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5" s="31" t="str">
        <f>IF('Input Sheet'!F346=0, "NO",CONCATENATE('Input Sheet'!F346, IF('Input Sheet'!F346&gt;0,"% ","")))</f>
        <v>NO</v>
      </c>
      <c r="L3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5" s="31" t="str">
        <f>CONCATENATE(L345, IF('Input Sheet'!J347="",""," siderite in "))</f>
        <v/>
      </c>
      <c r="N3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5" s="31" t="str">
        <f>CONCATENATE(N345, IF('Input Sheet'!K347="",""," siderite in "))</f>
        <v/>
      </c>
    </row>
    <row r="346" spans="1:15" x14ac:dyDescent="0.35">
      <c r="A346" s="42" t="str">
        <f>IF('Input Sheet'!C348="","",CONCATENATE("Sample ", 'Input Sheet'!B348, "m: ", M346, G346, "% ", "Siltstone, ", O346, 'Input Sheet'!C348, "% ", I346, " Sandstone, ", K346, J346, " FLUOR in SST. ", "TG ", 'Input Sheet'!I348, "U"))</f>
        <v/>
      </c>
      <c r="B346" s="28" t="str">
        <f>IF('Input Sheet'!C348="","",CONCATENATE("Sample ", 'Input Sheet'!B348, "m: ", N346, H346, "% ", "Siltstone, ", P346, 'Input Sheet'!C348, "% ", J346, " Sandstone "))</f>
        <v/>
      </c>
      <c r="C346" s="28" t="str">
        <f>IF('Input Sheet'!C348="","",CONCATENATE("Sample ", 'Input Sheet'!B348, "m: ", M346,, K346, J346, " FLUOR in SST. ", "TG ", 'Input Sheet'!I348, "U"))</f>
        <v/>
      </c>
      <c r="G346" s="31" t="str">
        <f>IF('Input Sheet'!C348="","",100-'Input Sheet'!C348)</f>
        <v/>
      </c>
      <c r="H3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6" s="31" t="str">
        <f t="shared" si="5"/>
        <v/>
      </c>
      <c r="J3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6" s="31" t="str">
        <f>IF('Input Sheet'!F347=0, "NO",CONCATENATE('Input Sheet'!F347, IF('Input Sheet'!F347&gt;0,"% ","")))</f>
        <v>NO</v>
      </c>
      <c r="L3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6" s="31" t="str">
        <f>CONCATENATE(L346, IF('Input Sheet'!J348="",""," siderite in "))</f>
        <v/>
      </c>
      <c r="N3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6" s="31" t="str">
        <f>CONCATENATE(N346, IF('Input Sheet'!K348="",""," siderite in "))</f>
        <v/>
      </c>
    </row>
    <row r="347" spans="1:15" x14ac:dyDescent="0.35">
      <c r="A347" s="42" t="str">
        <f>IF('Input Sheet'!C349="","",CONCATENATE("Sample ", 'Input Sheet'!B349, "m: ", M347, G347, "% ", "Siltstone, ", O347, 'Input Sheet'!C349, "% ", I347, " Sandstone, ", K347, J347, " FLUOR in SST. ", "TG ", 'Input Sheet'!I349, "U"))</f>
        <v/>
      </c>
      <c r="B347" s="28" t="str">
        <f>IF('Input Sheet'!C349="","",CONCATENATE("Sample ", 'Input Sheet'!B349, "m: ", N347, H347, "% ", "Siltstone, ", P347, 'Input Sheet'!C349, "% ", J347, " Sandstone "))</f>
        <v/>
      </c>
      <c r="C347" s="28" t="str">
        <f>IF('Input Sheet'!C349="","",CONCATENATE("Sample ", 'Input Sheet'!B349, "m: ", M347,, K347, J347, " FLUOR in SST. ", "TG ", 'Input Sheet'!I349, "U"))</f>
        <v/>
      </c>
      <c r="G347" s="31" t="str">
        <f>IF('Input Sheet'!C349="","",100-'Input Sheet'!C349)</f>
        <v/>
      </c>
      <c r="H3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7" s="31" t="str">
        <f t="shared" si="5"/>
        <v/>
      </c>
      <c r="J3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7" s="31" t="str">
        <f>IF('Input Sheet'!F348=0, "NO",CONCATENATE('Input Sheet'!F348, IF('Input Sheet'!F348&gt;0,"% ","")))</f>
        <v>NO</v>
      </c>
      <c r="L3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7" s="31" t="str">
        <f>CONCATENATE(L347, IF('Input Sheet'!J349="",""," siderite in "))</f>
        <v/>
      </c>
      <c r="N3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7" s="31" t="str">
        <f>CONCATENATE(N347, IF('Input Sheet'!K349="",""," siderite in "))</f>
        <v/>
      </c>
    </row>
    <row r="348" spans="1:15" x14ac:dyDescent="0.35">
      <c r="A348" s="42" t="str">
        <f>IF('Input Sheet'!C350="","",CONCATENATE("Sample ", 'Input Sheet'!B350, "m: ", M348, G348, "% ", "Siltstone, ", O348, 'Input Sheet'!C350, "% ", I348, " Sandstone, ", K348, J348, " FLUOR in SST. ", "TG ", 'Input Sheet'!I350, "U"))</f>
        <v/>
      </c>
      <c r="B348" s="28" t="str">
        <f>IF('Input Sheet'!C350="","",CONCATENATE("Sample ", 'Input Sheet'!B350, "m: ", N348, H348, "% ", "Siltstone, ", P348, 'Input Sheet'!C350, "% ", J348, " Sandstone "))</f>
        <v/>
      </c>
      <c r="C348" s="28" t="str">
        <f>IF('Input Sheet'!C350="","",CONCATENATE("Sample ", 'Input Sheet'!B350, "m: ", M348,, K348, J348, " FLUOR in SST. ", "TG ", 'Input Sheet'!I350, "U"))</f>
        <v/>
      </c>
      <c r="G348" s="31" t="str">
        <f>IF('Input Sheet'!C350="","",100-'Input Sheet'!C350)</f>
        <v/>
      </c>
      <c r="H3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8" s="31" t="str">
        <f t="shared" si="5"/>
        <v/>
      </c>
      <c r="J3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8" s="31" t="str">
        <f>IF('Input Sheet'!F349=0, "NO",CONCATENATE('Input Sheet'!F349, IF('Input Sheet'!F349&gt;0,"% ","")))</f>
        <v>NO</v>
      </c>
      <c r="L3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8" s="31" t="str">
        <f>CONCATENATE(L348, IF('Input Sheet'!J350="",""," siderite in "))</f>
        <v/>
      </c>
      <c r="N3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8" s="31" t="str">
        <f>CONCATENATE(N348, IF('Input Sheet'!K350="",""," siderite in "))</f>
        <v/>
      </c>
    </row>
    <row r="349" spans="1:15" x14ac:dyDescent="0.35">
      <c r="A349" s="42" t="str">
        <f>IF('Input Sheet'!C351="","",CONCATENATE("Sample ", 'Input Sheet'!B351, "m: ", M349, G349, "% ", "Siltstone, ", O349, 'Input Sheet'!C351, "% ", I349, " Sandstone, ", K349, J349, " FLUOR in SST. ", "TG ", 'Input Sheet'!I351, "U"))</f>
        <v/>
      </c>
      <c r="B349" s="28" t="str">
        <f>IF('Input Sheet'!C351="","",CONCATENATE("Sample ", 'Input Sheet'!B351, "m: ", N349, H349, "% ", "Siltstone, ", P349, 'Input Sheet'!C351, "% ", J349, " Sandstone "))</f>
        <v/>
      </c>
      <c r="C349" s="28" t="str">
        <f>IF('Input Sheet'!C351="","",CONCATENATE("Sample ", 'Input Sheet'!B351, "m: ", M349,, K349, J349, " FLUOR in SST. ", "TG ", 'Input Sheet'!I351, "U"))</f>
        <v/>
      </c>
      <c r="G349" s="31" t="str">
        <f>IF('Input Sheet'!C351="","",100-'Input Sheet'!C351)</f>
        <v/>
      </c>
      <c r="H3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9" s="31" t="str">
        <f t="shared" si="5"/>
        <v/>
      </c>
      <c r="J3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9" s="31" t="str">
        <f>IF('Input Sheet'!F350=0, "NO",CONCATENATE('Input Sheet'!F350, IF('Input Sheet'!F350&gt;0,"% ","")))</f>
        <v>NO</v>
      </c>
      <c r="L3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9" s="31" t="str">
        <f>CONCATENATE(L349, IF('Input Sheet'!J351="",""," siderite in "))</f>
        <v/>
      </c>
      <c r="N3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9" s="31" t="str">
        <f>CONCATENATE(N349, IF('Input Sheet'!K351="",""," siderite in "))</f>
        <v/>
      </c>
    </row>
    <row r="350" spans="1:15" x14ac:dyDescent="0.35">
      <c r="A350" s="42" t="str">
        <f>IF('Input Sheet'!C352="","",CONCATENATE("Sample ", 'Input Sheet'!B352, "m: ", M350, G350, "% ", "Siltstone, ", O350, 'Input Sheet'!C352, "% ", I350, " Sandstone, ", K350, J350, " FLUOR in SST. ", "TG ", 'Input Sheet'!I352, "U"))</f>
        <v/>
      </c>
      <c r="B350" s="28" t="str">
        <f>IF('Input Sheet'!C352="","",CONCATENATE("Sample ", 'Input Sheet'!B352, "m: ", N350, H350, "% ", "Siltstone, ", P350, 'Input Sheet'!C352, "% ", J350, " Sandstone "))</f>
        <v/>
      </c>
      <c r="C350" s="28" t="str">
        <f>IF('Input Sheet'!C352="","",CONCATENATE("Sample ", 'Input Sheet'!B352, "m: ", M350,, K350, J350, " FLUOR in SST. ", "TG ", 'Input Sheet'!I352, "U"))</f>
        <v/>
      </c>
      <c r="G350" s="31" t="str">
        <f>IF('Input Sheet'!C352="","",100-'Input Sheet'!C352)</f>
        <v/>
      </c>
      <c r="H3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0" s="31" t="str">
        <f t="shared" si="5"/>
        <v/>
      </c>
      <c r="J3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0" s="31" t="str">
        <f>IF('Input Sheet'!F351=0, "NO",CONCATENATE('Input Sheet'!F351, IF('Input Sheet'!F351&gt;0,"% ","")))</f>
        <v>NO</v>
      </c>
      <c r="L3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0" s="31" t="str">
        <f>CONCATENATE(L350, IF('Input Sheet'!J352="",""," siderite in "))</f>
        <v/>
      </c>
      <c r="N3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0" s="31" t="str">
        <f>CONCATENATE(N350, IF('Input Sheet'!K352="",""," siderite in "))</f>
        <v/>
      </c>
    </row>
    <row r="351" spans="1:15" x14ac:dyDescent="0.35">
      <c r="A351" s="42" t="str">
        <f>IF('Input Sheet'!C353="","",CONCATENATE("Sample ", 'Input Sheet'!B353, "m: ", M351, G351, "% ", "Siltstone, ", O351, 'Input Sheet'!C353, "% ", I351, " Sandstone, ", K351, J351, " FLUOR in SST. ", "TG ", 'Input Sheet'!I353, "U"))</f>
        <v/>
      </c>
      <c r="B351" s="28" t="str">
        <f>IF('Input Sheet'!C353="","",CONCATENATE("Sample ", 'Input Sheet'!B353, "m: ", N351, H351, "% ", "Siltstone, ", P351, 'Input Sheet'!C353, "% ", J351, " Sandstone "))</f>
        <v/>
      </c>
      <c r="C351" s="28" t="str">
        <f>IF('Input Sheet'!C353="","",CONCATENATE("Sample ", 'Input Sheet'!B353, "m: ", M351,, K351, J351, " FLUOR in SST. ", "TG ", 'Input Sheet'!I353, "U"))</f>
        <v/>
      </c>
      <c r="G351" s="31" t="str">
        <f>IF('Input Sheet'!C353="","",100-'Input Sheet'!C353)</f>
        <v/>
      </c>
      <c r="H3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1" s="31" t="str">
        <f t="shared" si="5"/>
        <v/>
      </c>
      <c r="J3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1" s="31" t="str">
        <f>IF('Input Sheet'!F352=0, "NO",CONCATENATE('Input Sheet'!F352, IF('Input Sheet'!F352&gt;0,"% ","")))</f>
        <v>NO</v>
      </c>
      <c r="L3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1" s="31" t="str">
        <f>CONCATENATE(L351, IF('Input Sheet'!J353="",""," siderite in "))</f>
        <v/>
      </c>
      <c r="N3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1" s="31" t="str">
        <f>CONCATENATE(N351, IF('Input Sheet'!K353="",""," siderite in "))</f>
        <v/>
      </c>
    </row>
    <row r="352" spans="1:15" x14ac:dyDescent="0.35">
      <c r="A352" s="42" t="str">
        <f>IF('Input Sheet'!C354="","",CONCATENATE("Sample ", 'Input Sheet'!B354, "m: ", M352, G352, "% ", "Siltstone, ", O352, 'Input Sheet'!C354, "% ", I352, " Sandstone, ", K352, J352, " FLUOR in SST. ", "TG ", 'Input Sheet'!I354, "U"))</f>
        <v/>
      </c>
      <c r="B352" s="28" t="str">
        <f>IF('Input Sheet'!C354="","",CONCATENATE("Sample ", 'Input Sheet'!B354, "m: ", N352, H352, "% ", "Siltstone, ", P352, 'Input Sheet'!C354, "% ", J352, " Sandstone "))</f>
        <v/>
      </c>
      <c r="C352" s="28" t="str">
        <f>IF('Input Sheet'!C354="","",CONCATENATE("Sample ", 'Input Sheet'!B354, "m: ", M352,, K352, J352, " FLUOR in SST. ", "TG ", 'Input Sheet'!I354, "U"))</f>
        <v/>
      </c>
      <c r="G352" s="31" t="str">
        <f>IF('Input Sheet'!C354="","",100-'Input Sheet'!C354)</f>
        <v/>
      </c>
      <c r="H3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2" s="31" t="str">
        <f t="shared" si="5"/>
        <v/>
      </c>
      <c r="J3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2" s="31" t="str">
        <f>IF('Input Sheet'!F353=0, "NO",CONCATENATE('Input Sheet'!F353, IF('Input Sheet'!F353&gt;0,"% ","")))</f>
        <v>NO</v>
      </c>
      <c r="L3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2" s="31" t="str">
        <f>CONCATENATE(L352, IF('Input Sheet'!J354="",""," siderite in "))</f>
        <v/>
      </c>
      <c r="N3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2" s="31" t="str">
        <f>CONCATENATE(N352, IF('Input Sheet'!K354="",""," siderite in "))</f>
        <v/>
      </c>
    </row>
    <row r="353" spans="1:15" x14ac:dyDescent="0.35">
      <c r="A353" s="42" t="str">
        <f>IF('Input Sheet'!C355="","",CONCATENATE("Sample ", 'Input Sheet'!B355, "m: ", M353, G353, "% ", "Siltstone, ", O353, 'Input Sheet'!C355, "% ", I353, " Sandstone, ", K353, J353, " FLUOR in SST. ", "TG ", 'Input Sheet'!I355, "U"))</f>
        <v/>
      </c>
      <c r="B353" s="28" t="str">
        <f>IF('Input Sheet'!C355="","",CONCATENATE("Sample ", 'Input Sheet'!B355, "m: ", N353, H353, "% ", "Siltstone, ", P353, 'Input Sheet'!C355, "% ", J353, " Sandstone "))</f>
        <v/>
      </c>
      <c r="C353" s="28" t="str">
        <f>IF('Input Sheet'!C355="","",CONCATENATE("Sample ", 'Input Sheet'!B355, "m: ", M353,, K353, J353, " FLUOR in SST. ", "TG ", 'Input Sheet'!I355, "U"))</f>
        <v/>
      </c>
      <c r="G353" s="31" t="str">
        <f>IF('Input Sheet'!C355="","",100-'Input Sheet'!C355)</f>
        <v/>
      </c>
      <c r="H3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3" s="31" t="str">
        <f t="shared" si="5"/>
        <v/>
      </c>
      <c r="J3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3" s="31" t="str">
        <f>IF('Input Sheet'!F354=0, "NO",CONCATENATE('Input Sheet'!F354, IF('Input Sheet'!F354&gt;0,"% ","")))</f>
        <v>NO</v>
      </c>
      <c r="L3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3" s="31" t="str">
        <f>CONCATENATE(L353, IF('Input Sheet'!J355="",""," siderite in "))</f>
        <v/>
      </c>
      <c r="N3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3" s="31" t="str">
        <f>CONCATENATE(N353, IF('Input Sheet'!K355="",""," siderite in "))</f>
        <v/>
      </c>
    </row>
    <row r="354" spans="1:15" x14ac:dyDescent="0.35">
      <c r="A354" s="42" t="str">
        <f>IF('Input Sheet'!C356="","",CONCATENATE("Sample ", 'Input Sheet'!B356, "m: ", M354, G354, "% ", "Siltstone, ", O354, 'Input Sheet'!C356, "% ", I354, " Sandstone, ", K354, J354, " FLUOR in SST. ", "TG ", 'Input Sheet'!I356, "U"))</f>
        <v/>
      </c>
      <c r="B354" s="28" t="str">
        <f>IF('Input Sheet'!C356="","",CONCATENATE("Sample ", 'Input Sheet'!B356, "m: ", N354, H354, "% ", "Siltstone, ", P354, 'Input Sheet'!C356, "% ", J354, " Sandstone "))</f>
        <v/>
      </c>
      <c r="C354" s="28" t="str">
        <f>IF('Input Sheet'!C356="","",CONCATENATE("Sample ", 'Input Sheet'!B356, "m: ", M354,, K354, J354, " FLUOR in SST. ", "TG ", 'Input Sheet'!I356, "U"))</f>
        <v/>
      </c>
      <c r="G354" s="31" t="str">
        <f>IF('Input Sheet'!C356="","",100-'Input Sheet'!C356)</f>
        <v/>
      </c>
      <c r="H3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4" s="31" t="str">
        <f t="shared" si="5"/>
        <v/>
      </c>
      <c r="J3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4" s="31" t="str">
        <f>IF('Input Sheet'!F355=0, "NO",CONCATENATE('Input Sheet'!F355, IF('Input Sheet'!F355&gt;0,"% ","")))</f>
        <v>NO</v>
      </c>
      <c r="L3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4" s="31" t="str">
        <f>CONCATENATE(L354, IF('Input Sheet'!J356="",""," siderite in "))</f>
        <v/>
      </c>
      <c r="N3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4" s="31" t="str">
        <f>CONCATENATE(N354, IF('Input Sheet'!K356="",""," siderite in "))</f>
        <v/>
      </c>
    </row>
    <row r="355" spans="1:15" x14ac:dyDescent="0.35">
      <c r="A355" s="42" t="str">
        <f>IF('Input Sheet'!C357="","",CONCATENATE("Sample ", 'Input Sheet'!B357, "m: ", M355, G355, "% ", "Siltstone, ", O355, 'Input Sheet'!C357, "% ", I355, " Sandstone, ", K355, J355, " FLUOR in SST. ", "TG ", 'Input Sheet'!I357, "U"))</f>
        <v/>
      </c>
      <c r="B355" s="28" t="str">
        <f>IF('Input Sheet'!C357="","",CONCATENATE("Sample ", 'Input Sheet'!B357, "m: ", N355, H355, "% ", "Siltstone, ", P355, 'Input Sheet'!C357, "% ", J355, " Sandstone "))</f>
        <v/>
      </c>
      <c r="C355" s="28" t="str">
        <f>IF('Input Sheet'!C357="","",CONCATENATE("Sample ", 'Input Sheet'!B357, "m: ", M355,, K355, J355, " FLUOR in SST. ", "TG ", 'Input Sheet'!I357, "U"))</f>
        <v/>
      </c>
      <c r="G355" s="31" t="str">
        <f>IF('Input Sheet'!C357="","",100-'Input Sheet'!C357)</f>
        <v/>
      </c>
      <c r="H3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5" s="31" t="str">
        <f t="shared" si="5"/>
        <v/>
      </c>
      <c r="J3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5" s="31" t="str">
        <f>IF('Input Sheet'!F356=0, "NO",CONCATENATE('Input Sheet'!F356, IF('Input Sheet'!F356&gt;0,"% ","")))</f>
        <v>NO</v>
      </c>
      <c r="L3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5" s="31" t="str">
        <f>CONCATENATE(L355, IF('Input Sheet'!J357="",""," siderite in "))</f>
        <v/>
      </c>
      <c r="N3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5" s="31" t="str">
        <f>CONCATENATE(N355, IF('Input Sheet'!K357="",""," siderite in "))</f>
        <v/>
      </c>
    </row>
    <row r="356" spans="1:15" x14ac:dyDescent="0.35">
      <c r="A356" s="42" t="str">
        <f>IF('Input Sheet'!C358="","",CONCATENATE("Sample ", 'Input Sheet'!B358, "m: ", M356, G356, "% ", "Siltstone, ", O356, 'Input Sheet'!C358, "% ", I356, " Sandstone, ", K356, J356, " FLUOR in SST. ", "TG ", 'Input Sheet'!I358, "U"))</f>
        <v/>
      </c>
      <c r="B356" s="28" t="str">
        <f>IF('Input Sheet'!C358="","",CONCATENATE("Sample ", 'Input Sheet'!B358, "m: ", N356, H356, "% ", "Siltstone, ", P356, 'Input Sheet'!C358, "% ", J356, " Sandstone "))</f>
        <v/>
      </c>
      <c r="C356" s="28" t="str">
        <f>IF('Input Sheet'!C358="","",CONCATENATE("Sample ", 'Input Sheet'!B358, "m: ", M356,, K356, J356, " FLUOR in SST. ", "TG ", 'Input Sheet'!I358, "U"))</f>
        <v/>
      </c>
      <c r="G356" s="31" t="str">
        <f>IF('Input Sheet'!C358="","",100-'Input Sheet'!C358)</f>
        <v/>
      </c>
      <c r="H3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6" s="31" t="str">
        <f t="shared" si="5"/>
        <v/>
      </c>
      <c r="J3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6" s="31" t="str">
        <f>IF('Input Sheet'!F357=0, "NO",CONCATENATE('Input Sheet'!F357, IF('Input Sheet'!F357&gt;0,"% ","")))</f>
        <v>NO</v>
      </c>
      <c r="L3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6" s="31" t="str">
        <f>CONCATENATE(L356, IF('Input Sheet'!J358="",""," siderite in "))</f>
        <v/>
      </c>
      <c r="N3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6" s="31" t="str">
        <f>CONCATENATE(N356, IF('Input Sheet'!K358="",""," siderite in "))</f>
        <v/>
      </c>
    </row>
    <row r="357" spans="1:15" x14ac:dyDescent="0.35">
      <c r="A357" s="42" t="str">
        <f>IF('Input Sheet'!C359="","",CONCATENATE("Sample ", 'Input Sheet'!B359, "m: ", M357, G357, "% ", "Siltstone, ", O357, 'Input Sheet'!C359, "% ", I357, " Sandstone, ", K357, J357, " FLUOR in SST. ", "TG ", 'Input Sheet'!I359, "U"))</f>
        <v/>
      </c>
      <c r="B357" s="28" t="str">
        <f>IF('Input Sheet'!C359="","",CONCATENATE("Sample ", 'Input Sheet'!B359, "m: ", N357, H357, "% ", "Siltstone, ", P357, 'Input Sheet'!C359, "% ", J357, " Sandstone "))</f>
        <v/>
      </c>
      <c r="C357" s="28" t="str">
        <f>IF('Input Sheet'!C359="","",CONCATENATE("Sample ", 'Input Sheet'!B359, "m: ", M357,, K357, J357, " FLUOR in SST. ", "TG ", 'Input Sheet'!I359, "U"))</f>
        <v/>
      </c>
      <c r="G357" s="31" t="str">
        <f>IF('Input Sheet'!C359="","",100-'Input Sheet'!C359)</f>
        <v/>
      </c>
      <c r="H3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7" s="31" t="str">
        <f t="shared" si="5"/>
        <v/>
      </c>
      <c r="J3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7" s="31" t="str">
        <f>IF('Input Sheet'!F358=0, "NO",CONCATENATE('Input Sheet'!F358, IF('Input Sheet'!F358&gt;0,"% ","")))</f>
        <v>NO</v>
      </c>
      <c r="L3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7" s="31" t="str">
        <f>CONCATENATE(L357, IF('Input Sheet'!J359="",""," siderite in "))</f>
        <v/>
      </c>
      <c r="N3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7" s="31" t="str">
        <f>CONCATENATE(N357, IF('Input Sheet'!K359="",""," siderite in "))</f>
        <v/>
      </c>
    </row>
    <row r="358" spans="1:15" x14ac:dyDescent="0.35">
      <c r="A358" s="42" t="str">
        <f>IF('Input Sheet'!C360="","",CONCATENATE("Sample ", 'Input Sheet'!B360, "m: ", M358, G358, "% ", "Siltstone, ", O358, 'Input Sheet'!C360, "% ", I358, " Sandstone, ", K358, J358, " FLUOR in SST. ", "TG ", 'Input Sheet'!I360, "U"))</f>
        <v/>
      </c>
      <c r="B358" s="28" t="str">
        <f>IF('Input Sheet'!C360="","",CONCATENATE("Sample ", 'Input Sheet'!B360, "m: ", N358, H358, "% ", "Siltstone, ", P358, 'Input Sheet'!C360, "% ", J358, " Sandstone "))</f>
        <v/>
      </c>
      <c r="C358" s="28" t="str">
        <f>IF('Input Sheet'!C360="","",CONCATENATE("Sample ", 'Input Sheet'!B360, "m: ", M358,, K358, J358, " FLUOR in SST. ", "TG ", 'Input Sheet'!I360, "U"))</f>
        <v/>
      </c>
      <c r="G358" s="31" t="str">
        <f>IF('Input Sheet'!C360="","",100-'Input Sheet'!C360)</f>
        <v/>
      </c>
      <c r="H3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8" s="31" t="str">
        <f t="shared" si="5"/>
        <v/>
      </c>
      <c r="J3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8" s="31" t="str">
        <f>IF('Input Sheet'!F359=0, "NO",CONCATENATE('Input Sheet'!F359, IF('Input Sheet'!F359&gt;0,"% ","")))</f>
        <v>NO</v>
      </c>
      <c r="L3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8" s="31" t="str">
        <f>CONCATENATE(L358, IF('Input Sheet'!J360="",""," siderite in "))</f>
        <v/>
      </c>
      <c r="N3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8" s="31" t="str">
        <f>CONCATENATE(N358, IF('Input Sheet'!K360="",""," siderite in "))</f>
        <v/>
      </c>
    </row>
    <row r="359" spans="1:15" x14ac:dyDescent="0.35">
      <c r="A359" s="42" t="str">
        <f>IF('Input Sheet'!C361="","",CONCATENATE("Sample ", 'Input Sheet'!B361, "m: ", M359, G359, "% ", "Siltstone, ", O359, 'Input Sheet'!C361, "% ", I359, " Sandstone, ", K359, J359, " FLUOR in SST. ", "TG ", 'Input Sheet'!I361, "U"))</f>
        <v/>
      </c>
      <c r="B359" s="28" t="str">
        <f>IF('Input Sheet'!C361="","",CONCATENATE("Sample ", 'Input Sheet'!B361, "m: ", N359, H359, "% ", "Siltstone, ", P359, 'Input Sheet'!C361, "% ", J359, " Sandstone "))</f>
        <v/>
      </c>
      <c r="C359" s="28" t="str">
        <f>IF('Input Sheet'!C361="","",CONCATENATE("Sample ", 'Input Sheet'!B361, "m: ", M359,, K359, J359, " FLUOR in SST. ", "TG ", 'Input Sheet'!I361, "U"))</f>
        <v/>
      </c>
      <c r="G359" s="31" t="str">
        <f>IF('Input Sheet'!C361="","",100-'Input Sheet'!C361)</f>
        <v/>
      </c>
      <c r="H3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9" s="31" t="str">
        <f t="shared" si="5"/>
        <v/>
      </c>
      <c r="J3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9" s="31" t="str">
        <f>IF('Input Sheet'!F360=0, "NO",CONCATENATE('Input Sheet'!F360, IF('Input Sheet'!F360&gt;0,"% ","")))</f>
        <v>NO</v>
      </c>
      <c r="L3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9" s="31" t="str">
        <f>CONCATENATE(L359, IF('Input Sheet'!J361="",""," siderite in "))</f>
        <v/>
      </c>
      <c r="N3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9" s="31" t="str">
        <f>CONCATENATE(N359, IF('Input Sheet'!K361="",""," siderite in "))</f>
        <v/>
      </c>
    </row>
    <row r="360" spans="1:15" x14ac:dyDescent="0.35">
      <c r="A360" s="42" t="str">
        <f>IF('Input Sheet'!C362="","",CONCATENATE("Sample ", 'Input Sheet'!B362, "m: ", M360, G360, "% ", "Siltstone, ", O360, 'Input Sheet'!C362, "% ", I360, " Sandstone, ", K360, J360, " FLUOR in SST. ", "TG ", 'Input Sheet'!I362, "U"))</f>
        <v/>
      </c>
      <c r="B360" s="28" t="str">
        <f>IF('Input Sheet'!C362="","",CONCATENATE("Sample ", 'Input Sheet'!B362, "m: ", N360, H360, "% ", "Siltstone, ", P360, 'Input Sheet'!C362, "% ", J360, " Sandstone "))</f>
        <v/>
      </c>
      <c r="C360" s="28" t="str">
        <f>IF('Input Sheet'!C362="","",CONCATENATE("Sample ", 'Input Sheet'!B362, "m: ", M360,, K360, J360, " FLUOR in SST. ", "TG ", 'Input Sheet'!I362, "U"))</f>
        <v/>
      </c>
      <c r="G360" s="31" t="str">
        <f>IF('Input Sheet'!C362="","",100-'Input Sheet'!C362)</f>
        <v/>
      </c>
      <c r="H3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0" s="31" t="str">
        <f t="shared" si="5"/>
        <v/>
      </c>
      <c r="J3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0" s="31" t="str">
        <f>IF('Input Sheet'!F361=0, "NO",CONCATENATE('Input Sheet'!F361, IF('Input Sheet'!F361&gt;0,"% ","")))</f>
        <v>NO</v>
      </c>
      <c r="L3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0" s="31" t="str">
        <f>CONCATENATE(L360, IF('Input Sheet'!J362="",""," siderite in "))</f>
        <v/>
      </c>
      <c r="N3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0" s="31" t="str">
        <f>CONCATENATE(N360, IF('Input Sheet'!K362="",""," siderite in "))</f>
        <v/>
      </c>
    </row>
    <row r="361" spans="1:15" x14ac:dyDescent="0.35">
      <c r="A361" s="42" t="str">
        <f>IF('Input Sheet'!C363="","",CONCATENATE("Sample ", 'Input Sheet'!B363, "m: ", M361, G361, "% ", "Siltstone, ", O361, 'Input Sheet'!C363, "% ", I361, " Sandstone, ", K361, J361, " FLUOR in SST. ", "TG ", 'Input Sheet'!I363, "U"))</f>
        <v/>
      </c>
      <c r="B361" s="28" t="str">
        <f>IF('Input Sheet'!C363="","",CONCATENATE("Sample ", 'Input Sheet'!B363, "m: ", N361, H361, "% ", "Siltstone, ", P361, 'Input Sheet'!C363, "% ", J361, " Sandstone "))</f>
        <v/>
      </c>
      <c r="C361" s="28" t="str">
        <f>IF('Input Sheet'!C363="","",CONCATENATE("Sample ", 'Input Sheet'!B363, "m: ", M361,, K361, J361, " FLUOR in SST. ", "TG ", 'Input Sheet'!I363, "U"))</f>
        <v/>
      </c>
      <c r="G361" s="31" t="str">
        <f>IF('Input Sheet'!C363="","",100-'Input Sheet'!C363)</f>
        <v/>
      </c>
      <c r="H3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1" s="31" t="str">
        <f t="shared" si="5"/>
        <v/>
      </c>
      <c r="J3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1" s="31" t="str">
        <f>IF('Input Sheet'!F362=0, "NO",CONCATENATE('Input Sheet'!F362, IF('Input Sheet'!F362&gt;0,"% ","")))</f>
        <v>NO</v>
      </c>
      <c r="L3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1" s="31" t="str">
        <f>CONCATENATE(L361, IF('Input Sheet'!J363="",""," siderite in "))</f>
        <v/>
      </c>
      <c r="N3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1" s="31" t="str">
        <f>CONCATENATE(N361, IF('Input Sheet'!K363="",""," siderite in "))</f>
        <v/>
      </c>
    </row>
    <row r="362" spans="1:15" x14ac:dyDescent="0.35">
      <c r="A362" s="42" t="str">
        <f>IF('Input Sheet'!C364="","",CONCATENATE("Sample ", 'Input Sheet'!B364, "m: ", M362, G362, "% ", "Siltstone, ", O362, 'Input Sheet'!C364, "% ", I362, " Sandstone, ", K362, J362, " FLUOR in SST. ", "TG ", 'Input Sheet'!I364, "U"))</f>
        <v/>
      </c>
      <c r="B362" s="28" t="str">
        <f>IF('Input Sheet'!C364="","",CONCATENATE("Sample ", 'Input Sheet'!B364, "m: ", N362, H362, "% ", "Siltstone, ", P362, 'Input Sheet'!C364, "% ", J362, " Sandstone "))</f>
        <v/>
      </c>
      <c r="C362" s="28" t="str">
        <f>IF('Input Sheet'!C364="","",CONCATENATE("Sample ", 'Input Sheet'!B364, "m: ", M362,, K362, J362, " FLUOR in SST. ", "TG ", 'Input Sheet'!I364, "U"))</f>
        <v/>
      </c>
      <c r="G362" s="31" t="str">
        <f>IF('Input Sheet'!C364="","",100-'Input Sheet'!C364)</f>
        <v/>
      </c>
      <c r="H3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2" s="31" t="str">
        <f t="shared" si="5"/>
        <v/>
      </c>
      <c r="J3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2" s="31" t="str">
        <f>IF('Input Sheet'!F363=0, "NO",CONCATENATE('Input Sheet'!F363, IF('Input Sheet'!F363&gt;0,"% ","")))</f>
        <v>NO</v>
      </c>
      <c r="L3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2" s="31" t="str">
        <f>CONCATENATE(L362, IF('Input Sheet'!J364="",""," siderite in "))</f>
        <v/>
      </c>
      <c r="N3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2" s="31" t="str">
        <f>CONCATENATE(N362, IF('Input Sheet'!K364="",""," siderite in "))</f>
        <v/>
      </c>
    </row>
    <row r="363" spans="1:15" x14ac:dyDescent="0.35">
      <c r="A363" s="42" t="str">
        <f>IF('Input Sheet'!C365="","",CONCATENATE("Sample ", 'Input Sheet'!B365, "m: ", M363, G363, "% ", "Siltstone, ", O363, 'Input Sheet'!C365, "% ", I363, " Sandstone, ", K363, J363, " FLUOR in SST. ", "TG ", 'Input Sheet'!I365, "U"))</f>
        <v/>
      </c>
      <c r="B363" s="28" t="str">
        <f>IF('Input Sheet'!C365="","",CONCATENATE("Sample ", 'Input Sheet'!B365, "m: ", N363, H363, "% ", "Siltstone, ", P363, 'Input Sheet'!C365, "% ", J363, " Sandstone "))</f>
        <v/>
      </c>
      <c r="C363" s="28" t="str">
        <f>IF('Input Sheet'!C365="","",CONCATENATE("Sample ", 'Input Sheet'!B365, "m: ", M363,, K363, J363, " FLUOR in SST. ", "TG ", 'Input Sheet'!I365, "U"))</f>
        <v/>
      </c>
      <c r="G363" s="31" t="str">
        <f>IF('Input Sheet'!C365="","",100-'Input Sheet'!C365)</f>
        <v/>
      </c>
      <c r="H3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3" s="31" t="str">
        <f t="shared" si="5"/>
        <v/>
      </c>
      <c r="J3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3" s="31" t="str">
        <f>IF('Input Sheet'!F364=0, "NO",CONCATENATE('Input Sheet'!F364, IF('Input Sheet'!F364&gt;0,"% ","")))</f>
        <v>NO</v>
      </c>
      <c r="L3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3" s="31" t="str">
        <f>CONCATENATE(L363, IF('Input Sheet'!J365="",""," siderite in "))</f>
        <v/>
      </c>
      <c r="N3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3" s="31" t="str">
        <f>CONCATENATE(N363, IF('Input Sheet'!K365="",""," siderite in "))</f>
        <v/>
      </c>
    </row>
    <row r="364" spans="1:15" x14ac:dyDescent="0.35">
      <c r="A364" s="42" t="str">
        <f>IF('Input Sheet'!C366="","",CONCATENATE("Sample ", 'Input Sheet'!B366, "m: ", M364, G364, "% ", "Siltstone, ", O364, 'Input Sheet'!C366, "% ", I364, " Sandstone, ", K364, J364, " FLUOR in SST. ", "TG ", 'Input Sheet'!I366, "U"))</f>
        <v/>
      </c>
      <c r="B364" s="28" t="str">
        <f>IF('Input Sheet'!C366="","",CONCATENATE("Sample ", 'Input Sheet'!B366, "m: ", N364, H364, "% ", "Siltstone, ", P364, 'Input Sheet'!C366, "% ", J364, " Sandstone "))</f>
        <v/>
      </c>
      <c r="C364" s="28" t="str">
        <f>IF('Input Sheet'!C366="","",CONCATENATE("Sample ", 'Input Sheet'!B366, "m: ", M364,, K364, J364, " FLUOR in SST. ", "TG ", 'Input Sheet'!I366, "U"))</f>
        <v/>
      </c>
      <c r="G364" s="31" t="str">
        <f>IF('Input Sheet'!C366="","",100-'Input Sheet'!C366)</f>
        <v/>
      </c>
      <c r="H3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4" s="31" t="str">
        <f t="shared" si="5"/>
        <v/>
      </c>
      <c r="J3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4" s="31" t="str">
        <f>IF('Input Sheet'!F365=0, "NO",CONCATENATE('Input Sheet'!F365, IF('Input Sheet'!F365&gt;0,"% ","")))</f>
        <v>NO</v>
      </c>
      <c r="L3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4" s="31" t="str">
        <f>CONCATENATE(L364, IF('Input Sheet'!J366="",""," siderite in "))</f>
        <v/>
      </c>
      <c r="N3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4" s="31" t="str">
        <f>CONCATENATE(N364, IF('Input Sheet'!K366="",""," siderite in "))</f>
        <v/>
      </c>
    </row>
    <row r="365" spans="1:15" x14ac:dyDescent="0.35">
      <c r="A365" s="42" t="str">
        <f>IF('Input Sheet'!C367="","",CONCATENATE("Sample ", 'Input Sheet'!B367, "m: ", M365, G365, "% ", "Siltstone, ", O365, 'Input Sheet'!C367, "% ", I365, " Sandstone, ", K365, J365, " FLUOR in SST. ", "TG ", 'Input Sheet'!I367, "U"))</f>
        <v/>
      </c>
      <c r="B365" s="28" t="str">
        <f>IF('Input Sheet'!C367="","",CONCATENATE("Sample ", 'Input Sheet'!B367, "m: ", N365, H365, "% ", "Siltstone, ", P365, 'Input Sheet'!C367, "% ", J365, " Sandstone "))</f>
        <v/>
      </c>
      <c r="C365" s="28" t="str">
        <f>IF('Input Sheet'!C367="","",CONCATENATE("Sample ", 'Input Sheet'!B367, "m: ", M365,, K365, J365, " FLUOR in SST. ", "TG ", 'Input Sheet'!I367, "U"))</f>
        <v/>
      </c>
      <c r="G365" s="31" t="str">
        <f>IF('Input Sheet'!C367="","",100-'Input Sheet'!C367)</f>
        <v/>
      </c>
      <c r="H3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5" s="31" t="str">
        <f t="shared" si="5"/>
        <v/>
      </c>
      <c r="J3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5" s="31" t="str">
        <f>IF('Input Sheet'!F366=0, "NO",CONCATENATE('Input Sheet'!F366, IF('Input Sheet'!F366&gt;0,"% ","")))</f>
        <v>NO</v>
      </c>
      <c r="L3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5" s="31" t="str">
        <f>CONCATENATE(L365, IF('Input Sheet'!J367="",""," siderite in "))</f>
        <v/>
      </c>
      <c r="N3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5" s="31" t="str">
        <f>CONCATENATE(N365, IF('Input Sheet'!K367="",""," siderite in "))</f>
        <v/>
      </c>
    </row>
    <row r="366" spans="1:15" x14ac:dyDescent="0.35">
      <c r="A366" s="42" t="str">
        <f>IF('Input Sheet'!C368="","",CONCATENATE("Sample ", 'Input Sheet'!B368, "m: ", M366, G366, "% ", "Siltstone, ", O366, 'Input Sheet'!C368, "% ", I366, " Sandstone, ", K366, J366, " FLUOR in SST. ", "TG ", 'Input Sheet'!I368, "U"))</f>
        <v/>
      </c>
      <c r="B366" s="28" t="str">
        <f>IF('Input Sheet'!C368="","",CONCATENATE("Sample ", 'Input Sheet'!B368, "m: ", N366, H366, "% ", "Siltstone, ", P366, 'Input Sheet'!C368, "% ", J366, " Sandstone "))</f>
        <v/>
      </c>
      <c r="C366" s="28" t="str">
        <f>IF('Input Sheet'!C368="","",CONCATENATE("Sample ", 'Input Sheet'!B368, "m: ", M366,, K366, J366, " FLUOR in SST. ", "TG ", 'Input Sheet'!I368, "U"))</f>
        <v/>
      </c>
      <c r="G366" s="31" t="str">
        <f>IF('Input Sheet'!C368="","",100-'Input Sheet'!C368)</f>
        <v/>
      </c>
      <c r="H3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6" s="31" t="str">
        <f t="shared" si="5"/>
        <v/>
      </c>
      <c r="J3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6" s="31" t="str">
        <f>IF('Input Sheet'!F367=0, "NO",CONCATENATE('Input Sheet'!F367, IF('Input Sheet'!F367&gt;0,"% ","")))</f>
        <v>NO</v>
      </c>
      <c r="L3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6" s="31" t="str">
        <f>CONCATENATE(L366, IF('Input Sheet'!J368="",""," siderite in "))</f>
        <v/>
      </c>
      <c r="N3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6" s="31" t="str">
        <f>CONCATENATE(N366, IF('Input Sheet'!K368="",""," siderite in "))</f>
        <v/>
      </c>
    </row>
    <row r="367" spans="1:15" x14ac:dyDescent="0.35">
      <c r="A367" s="42" t="str">
        <f>IF('Input Sheet'!C369="","",CONCATENATE("Sample ", 'Input Sheet'!B369, "m: ", M367, G367, "% ", "Siltstone, ", O367, 'Input Sheet'!C369, "% ", I367, " Sandstone, ", K367, J367, " FLUOR in SST. ", "TG ", 'Input Sheet'!I369, "U"))</f>
        <v/>
      </c>
      <c r="B367" s="28" t="str">
        <f>IF('Input Sheet'!C369="","",CONCATENATE("Sample ", 'Input Sheet'!B369, "m: ", N367, H367, "% ", "Siltstone, ", P367, 'Input Sheet'!C369, "% ", J367, " Sandstone "))</f>
        <v/>
      </c>
      <c r="C367" s="28" t="str">
        <f>IF('Input Sheet'!C369="","",CONCATENATE("Sample ", 'Input Sheet'!B369, "m: ", M367,, K367, J367, " FLUOR in SST. ", "TG ", 'Input Sheet'!I369, "U"))</f>
        <v/>
      </c>
      <c r="G367" s="31" t="str">
        <f>IF('Input Sheet'!C369="","",100-'Input Sheet'!C369)</f>
        <v/>
      </c>
      <c r="H3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7" s="31" t="str">
        <f t="shared" si="5"/>
        <v/>
      </c>
      <c r="J3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7" s="31" t="str">
        <f>IF('Input Sheet'!F368=0, "NO",CONCATENATE('Input Sheet'!F368, IF('Input Sheet'!F368&gt;0,"% ","")))</f>
        <v>NO</v>
      </c>
      <c r="L3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7" s="31" t="str">
        <f>CONCATENATE(L367, IF('Input Sheet'!J369="",""," siderite in "))</f>
        <v/>
      </c>
      <c r="N3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7" s="31" t="str">
        <f>CONCATENATE(N367, IF('Input Sheet'!K369="",""," siderite in "))</f>
        <v/>
      </c>
    </row>
    <row r="368" spans="1:15" x14ac:dyDescent="0.35">
      <c r="A368" s="42" t="str">
        <f>IF('Input Sheet'!C370="","",CONCATENATE("Sample ", 'Input Sheet'!B370, "m: ", M368, G368, "% ", "Siltstone, ", O368, 'Input Sheet'!C370, "% ", I368, " Sandstone, ", K368, J368, " FLUOR in SST. ", "TG ", 'Input Sheet'!I370, "U"))</f>
        <v/>
      </c>
      <c r="B368" s="28" t="str">
        <f>IF('Input Sheet'!C370="","",CONCATENATE("Sample ", 'Input Sheet'!B370, "m: ", N368, H368, "% ", "Siltstone, ", P368, 'Input Sheet'!C370, "% ", J368, " Sandstone "))</f>
        <v/>
      </c>
      <c r="C368" s="28" t="str">
        <f>IF('Input Sheet'!C370="","",CONCATENATE("Sample ", 'Input Sheet'!B370, "m: ", M368,, K368, J368, " FLUOR in SST. ", "TG ", 'Input Sheet'!I370, "U"))</f>
        <v/>
      </c>
      <c r="G368" s="31" t="str">
        <f>IF('Input Sheet'!C370="","",100-'Input Sheet'!C370)</f>
        <v/>
      </c>
      <c r="H3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8" s="31" t="str">
        <f t="shared" si="5"/>
        <v/>
      </c>
      <c r="J3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8" s="31" t="str">
        <f>IF('Input Sheet'!F369=0, "NO",CONCATENATE('Input Sheet'!F369, IF('Input Sheet'!F369&gt;0,"% ","")))</f>
        <v>NO</v>
      </c>
      <c r="L3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8" s="31" t="str">
        <f>CONCATENATE(L368, IF('Input Sheet'!J370="",""," siderite in "))</f>
        <v/>
      </c>
      <c r="N3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8" s="31" t="str">
        <f>CONCATENATE(N368, IF('Input Sheet'!K370="",""," siderite in "))</f>
        <v/>
      </c>
    </row>
    <row r="369" spans="1:15" x14ac:dyDescent="0.35">
      <c r="A369" s="42" t="str">
        <f>IF('Input Sheet'!C371="","",CONCATENATE("Sample ", 'Input Sheet'!B371, "m: ", M369, G369, "% ", "Siltstone, ", O369, 'Input Sheet'!C371, "% ", I369, " Sandstone, ", K369, J369, " FLUOR in SST. ", "TG ", 'Input Sheet'!I371, "U"))</f>
        <v/>
      </c>
      <c r="B369" s="28" t="str">
        <f>IF('Input Sheet'!C371="","",CONCATENATE("Sample ", 'Input Sheet'!B371, "m: ", N369, H369, "% ", "Siltstone, ", P369, 'Input Sheet'!C371, "% ", J369, " Sandstone "))</f>
        <v/>
      </c>
      <c r="C369" s="28" t="str">
        <f>IF('Input Sheet'!C371="","",CONCATENATE("Sample ", 'Input Sheet'!B371, "m: ", M369,, K369, J369, " FLUOR in SST. ", "TG ", 'Input Sheet'!I371, "U"))</f>
        <v/>
      </c>
      <c r="G369" s="31" t="str">
        <f>IF('Input Sheet'!C371="","",100-'Input Sheet'!C371)</f>
        <v/>
      </c>
      <c r="H3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9" s="31" t="str">
        <f t="shared" si="5"/>
        <v/>
      </c>
      <c r="J3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9" s="31" t="str">
        <f>IF('Input Sheet'!F370=0, "NO",CONCATENATE('Input Sheet'!F370, IF('Input Sheet'!F370&gt;0,"% ","")))</f>
        <v>NO</v>
      </c>
      <c r="L3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9" s="31" t="str">
        <f>CONCATENATE(L369, IF('Input Sheet'!J371="",""," siderite in "))</f>
        <v/>
      </c>
      <c r="N3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9" s="31" t="str">
        <f>CONCATENATE(N369, IF('Input Sheet'!K371="",""," siderite in "))</f>
        <v/>
      </c>
    </row>
    <row r="370" spans="1:15" x14ac:dyDescent="0.35">
      <c r="A370" s="42" t="str">
        <f>IF('Input Sheet'!C372="","",CONCATENATE("Sample ", 'Input Sheet'!B372, "m: ", M370, G370, "% ", "Siltstone, ", O370, 'Input Sheet'!C372, "% ", I370, " Sandstone, ", K370, J370, " FLUOR in SST. ", "TG ", 'Input Sheet'!I372, "U"))</f>
        <v/>
      </c>
      <c r="B370" s="28" t="str">
        <f>IF('Input Sheet'!C372="","",CONCATENATE("Sample ", 'Input Sheet'!B372, "m: ", N370, H370, "% ", "Siltstone, ", P370, 'Input Sheet'!C372, "% ", J370, " Sandstone "))</f>
        <v/>
      </c>
      <c r="C370" s="28" t="str">
        <f>IF('Input Sheet'!C372="","",CONCATENATE("Sample ", 'Input Sheet'!B372, "m: ", M370,, K370, J370, " FLUOR in SST. ", "TG ", 'Input Sheet'!I372, "U"))</f>
        <v/>
      </c>
      <c r="G370" s="31" t="str">
        <f>IF('Input Sheet'!C372="","",100-'Input Sheet'!C372)</f>
        <v/>
      </c>
      <c r="H3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0" s="31" t="str">
        <f t="shared" si="5"/>
        <v/>
      </c>
      <c r="J3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0" s="31" t="str">
        <f>IF('Input Sheet'!F371=0, "NO",CONCATENATE('Input Sheet'!F371, IF('Input Sheet'!F371&gt;0,"% ","")))</f>
        <v>NO</v>
      </c>
      <c r="L3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0" s="31" t="str">
        <f>CONCATENATE(L370, IF('Input Sheet'!J372="",""," siderite in "))</f>
        <v/>
      </c>
      <c r="N3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0" s="31" t="str">
        <f>CONCATENATE(N370, IF('Input Sheet'!K372="",""," siderite in "))</f>
        <v/>
      </c>
    </row>
    <row r="371" spans="1:15" x14ac:dyDescent="0.35">
      <c r="A371" s="42" t="str">
        <f>IF('Input Sheet'!C373="","",CONCATENATE("Sample ", 'Input Sheet'!B373, "m: ", M371, G371, "% ", "Siltstone, ", O371, 'Input Sheet'!C373, "% ", I371, " Sandstone, ", K371, J371, " FLUOR in SST. ", "TG ", 'Input Sheet'!I373, "U"))</f>
        <v/>
      </c>
      <c r="B371" s="28" t="str">
        <f>IF('Input Sheet'!C373="","",CONCATENATE("Sample ", 'Input Sheet'!B373, "m: ", N371, H371, "% ", "Siltstone, ", P371, 'Input Sheet'!C373, "% ", J371, " Sandstone "))</f>
        <v/>
      </c>
      <c r="C371" s="28" t="str">
        <f>IF('Input Sheet'!C373="","",CONCATENATE("Sample ", 'Input Sheet'!B373, "m: ", M371,, K371, J371, " FLUOR in SST. ", "TG ", 'Input Sheet'!I373, "U"))</f>
        <v/>
      </c>
      <c r="G371" s="31" t="str">
        <f>IF('Input Sheet'!C373="","",100-'Input Sheet'!C373)</f>
        <v/>
      </c>
      <c r="H3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1" s="31" t="str">
        <f t="shared" si="5"/>
        <v/>
      </c>
      <c r="J3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1" s="31" t="str">
        <f>IF('Input Sheet'!F372=0, "NO",CONCATENATE('Input Sheet'!F372, IF('Input Sheet'!F372&gt;0,"% ","")))</f>
        <v>NO</v>
      </c>
      <c r="L3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1" s="31" t="str">
        <f>CONCATENATE(L371, IF('Input Sheet'!J373="",""," siderite in "))</f>
        <v/>
      </c>
      <c r="N3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1" s="31" t="str">
        <f>CONCATENATE(N371, IF('Input Sheet'!K373="",""," siderite in "))</f>
        <v/>
      </c>
    </row>
    <row r="372" spans="1:15" x14ac:dyDescent="0.35">
      <c r="A372" s="42" t="str">
        <f>IF('Input Sheet'!C374="","",CONCATENATE("Sample ", 'Input Sheet'!B374, "m: ", M372, G372, "% ", "Siltstone, ", O372, 'Input Sheet'!C374, "% ", I372, " Sandstone, ", K372, J372, " FLUOR in SST. ", "TG ", 'Input Sheet'!I374, "U"))</f>
        <v/>
      </c>
      <c r="B372" s="28" t="str">
        <f>IF('Input Sheet'!C374="","",CONCATENATE("Sample ", 'Input Sheet'!B374, "m: ", N372, H372, "% ", "Siltstone, ", P372, 'Input Sheet'!C374, "% ", J372, " Sandstone "))</f>
        <v/>
      </c>
      <c r="C372" s="28" t="str">
        <f>IF('Input Sheet'!C374="","",CONCATENATE("Sample ", 'Input Sheet'!B374, "m: ", M372,, K372, J372, " FLUOR in SST. ", "TG ", 'Input Sheet'!I374, "U"))</f>
        <v/>
      </c>
      <c r="G372" s="31" t="str">
        <f>IF('Input Sheet'!C374="","",100-'Input Sheet'!C374)</f>
        <v/>
      </c>
      <c r="H3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2" s="31" t="str">
        <f t="shared" si="5"/>
        <v/>
      </c>
      <c r="J3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2" s="31" t="str">
        <f>IF('Input Sheet'!F373=0, "NO",CONCATENATE('Input Sheet'!F373, IF('Input Sheet'!F373&gt;0,"% ","")))</f>
        <v>NO</v>
      </c>
      <c r="L3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2" s="31" t="str">
        <f>CONCATENATE(L372, IF('Input Sheet'!J374="",""," siderite in "))</f>
        <v/>
      </c>
      <c r="N3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2" s="31" t="str">
        <f>CONCATENATE(N372, IF('Input Sheet'!K374="",""," siderite in "))</f>
        <v/>
      </c>
    </row>
    <row r="373" spans="1:15" x14ac:dyDescent="0.35">
      <c r="A373" s="42" t="str">
        <f>IF('Input Sheet'!C375="","",CONCATENATE("Sample ", 'Input Sheet'!B375, "m: ", M373, G373, "% ", "Siltstone, ", O373, 'Input Sheet'!C375, "% ", I373, " Sandstone, ", K373, J373, " FLUOR in SST. ", "TG ", 'Input Sheet'!I375, "U"))</f>
        <v/>
      </c>
      <c r="B373" s="28" t="str">
        <f>IF('Input Sheet'!C375="","",CONCATENATE("Sample ", 'Input Sheet'!B375, "m: ", N373, H373, "% ", "Siltstone, ", P373, 'Input Sheet'!C375, "% ", J373, " Sandstone "))</f>
        <v/>
      </c>
      <c r="C373" s="28" t="str">
        <f>IF('Input Sheet'!C375="","",CONCATENATE("Sample ", 'Input Sheet'!B375, "m: ", M373,, K373, J373, " FLUOR in SST. ", "TG ", 'Input Sheet'!I375, "U"))</f>
        <v/>
      </c>
      <c r="G373" s="31" t="str">
        <f>IF('Input Sheet'!C375="","",100-'Input Sheet'!C375)</f>
        <v/>
      </c>
      <c r="H3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3" s="31" t="str">
        <f t="shared" si="5"/>
        <v/>
      </c>
      <c r="J3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3" s="31" t="str">
        <f>IF('Input Sheet'!F374=0, "NO",CONCATENATE('Input Sheet'!F374, IF('Input Sheet'!F374&gt;0,"% ","")))</f>
        <v>NO</v>
      </c>
      <c r="L3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3" s="31" t="str">
        <f>CONCATENATE(L373, IF('Input Sheet'!J375="",""," siderite in "))</f>
        <v/>
      </c>
      <c r="N3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3" s="31" t="str">
        <f>CONCATENATE(N373, IF('Input Sheet'!K375="",""," siderite in "))</f>
        <v/>
      </c>
    </row>
    <row r="374" spans="1:15" x14ac:dyDescent="0.35">
      <c r="A374" s="42" t="str">
        <f>IF('Input Sheet'!C376="","",CONCATENATE("Sample ", 'Input Sheet'!B376, "m: ", M374, G374, "% ", "Siltstone, ", O374, 'Input Sheet'!C376, "% ", I374, " Sandstone, ", K374, J374, " FLUOR in SST. ", "TG ", 'Input Sheet'!I376, "U"))</f>
        <v/>
      </c>
      <c r="B374" s="28" t="str">
        <f>IF('Input Sheet'!C376="","",CONCATENATE("Sample ", 'Input Sheet'!B376, "m: ", N374, H374, "% ", "Siltstone, ", P374, 'Input Sheet'!C376, "% ", J374, " Sandstone "))</f>
        <v/>
      </c>
      <c r="C374" s="28" t="str">
        <f>IF('Input Sheet'!C376="","",CONCATENATE("Sample ", 'Input Sheet'!B376, "m: ", M374,, K374, J374, " FLUOR in SST. ", "TG ", 'Input Sheet'!I376, "U"))</f>
        <v/>
      </c>
      <c r="G374" s="31" t="str">
        <f>IF('Input Sheet'!C376="","",100-'Input Sheet'!C376)</f>
        <v/>
      </c>
      <c r="H3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4" s="31" t="str">
        <f t="shared" si="5"/>
        <v/>
      </c>
      <c r="J3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4" s="31" t="str">
        <f>IF('Input Sheet'!F375=0, "NO",CONCATENATE('Input Sheet'!F375, IF('Input Sheet'!F375&gt;0,"% ","")))</f>
        <v>NO</v>
      </c>
      <c r="L3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4" s="31" t="str">
        <f>CONCATENATE(L374, IF('Input Sheet'!J376="",""," siderite in "))</f>
        <v/>
      </c>
      <c r="N3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4" s="31" t="str">
        <f>CONCATENATE(N374, IF('Input Sheet'!K376="",""," siderite in "))</f>
        <v/>
      </c>
    </row>
    <row r="375" spans="1:15" x14ac:dyDescent="0.35">
      <c r="A375" s="42" t="str">
        <f>IF('Input Sheet'!C377="","",CONCATENATE("Sample ", 'Input Sheet'!B377, "m: ", M375, G375, "% ", "Siltstone, ", O375, 'Input Sheet'!C377, "% ", I375, " Sandstone, ", K375, J375, " FLUOR in SST. ", "TG ", 'Input Sheet'!I377, "U"))</f>
        <v/>
      </c>
      <c r="B375" s="28" t="str">
        <f>IF('Input Sheet'!C377="","",CONCATENATE("Sample ", 'Input Sheet'!B377, "m: ", N375, H375, "% ", "Siltstone, ", P375, 'Input Sheet'!C377, "% ", J375, " Sandstone "))</f>
        <v/>
      </c>
      <c r="C375" s="28" t="str">
        <f>IF('Input Sheet'!C377="","",CONCATENATE("Sample ", 'Input Sheet'!B377, "m: ", M375,, K375, J375, " FLUOR in SST. ", "TG ", 'Input Sheet'!I377, "U"))</f>
        <v/>
      </c>
      <c r="G375" s="31" t="str">
        <f>IF('Input Sheet'!C377="","",100-'Input Sheet'!C377)</f>
        <v/>
      </c>
      <c r="H3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5" s="31" t="str">
        <f t="shared" si="5"/>
        <v/>
      </c>
      <c r="J3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5" s="31" t="str">
        <f>IF('Input Sheet'!F376=0, "NO",CONCATENATE('Input Sheet'!F376, IF('Input Sheet'!F376&gt;0,"% ","")))</f>
        <v>NO</v>
      </c>
      <c r="L3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5" s="31" t="str">
        <f>CONCATENATE(L375, IF('Input Sheet'!J377="",""," siderite in "))</f>
        <v/>
      </c>
      <c r="N3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5" s="31" t="str">
        <f>CONCATENATE(N375, IF('Input Sheet'!K377="",""," siderite in "))</f>
        <v/>
      </c>
    </row>
    <row r="376" spans="1:15" x14ac:dyDescent="0.35">
      <c r="A376" s="42" t="str">
        <f>IF('Input Sheet'!C378="","",CONCATENATE("Sample ", 'Input Sheet'!B378, "m: ", M376, G376, "% ", "Siltstone, ", O376, 'Input Sheet'!C378, "% ", I376, " Sandstone, ", K376, J376, " FLUOR in SST. ", "TG ", 'Input Sheet'!I378, "U"))</f>
        <v/>
      </c>
      <c r="B376" s="28" t="str">
        <f>IF('Input Sheet'!C378="","",CONCATENATE("Sample ", 'Input Sheet'!B378, "m: ", N376, H376, "% ", "Siltstone, ", P376, 'Input Sheet'!C378, "% ", J376, " Sandstone "))</f>
        <v/>
      </c>
      <c r="C376" s="28" t="str">
        <f>IF('Input Sheet'!C378="","",CONCATENATE("Sample ", 'Input Sheet'!B378, "m: ", M376,, K376, J376, " FLUOR in SST. ", "TG ", 'Input Sheet'!I378, "U"))</f>
        <v/>
      </c>
      <c r="G376" s="31" t="str">
        <f>IF('Input Sheet'!C378="","",100-'Input Sheet'!C378)</f>
        <v/>
      </c>
      <c r="H3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6" s="31" t="str">
        <f t="shared" si="5"/>
        <v/>
      </c>
      <c r="J3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6" s="31" t="str">
        <f>IF('Input Sheet'!F377=0, "NO",CONCATENATE('Input Sheet'!F377, IF('Input Sheet'!F377&gt;0,"% ","")))</f>
        <v>NO</v>
      </c>
      <c r="L3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6" s="31" t="str">
        <f>CONCATENATE(L376, IF('Input Sheet'!J378="",""," siderite in "))</f>
        <v/>
      </c>
      <c r="N3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6" s="31" t="str">
        <f>CONCATENATE(N376, IF('Input Sheet'!K378="",""," siderite in "))</f>
        <v/>
      </c>
    </row>
    <row r="377" spans="1:15" x14ac:dyDescent="0.35">
      <c r="A377" s="42" t="str">
        <f>IF('Input Sheet'!C379="","",CONCATENATE("Sample ", 'Input Sheet'!B379, "m: ", M377, G377, "% ", "Siltstone, ", O377, 'Input Sheet'!C379, "% ", I377, " Sandstone, ", K377, J377, " FLUOR in SST. ", "TG ", 'Input Sheet'!I379, "U"))</f>
        <v/>
      </c>
      <c r="B377" s="28" t="str">
        <f>IF('Input Sheet'!C379="","",CONCATENATE("Sample ", 'Input Sheet'!B379, "m: ", N377, H377, "% ", "Siltstone, ", P377, 'Input Sheet'!C379, "% ", J377, " Sandstone "))</f>
        <v/>
      </c>
      <c r="C377" s="28" t="str">
        <f>IF('Input Sheet'!C379="","",CONCATENATE("Sample ", 'Input Sheet'!B379, "m: ", M377,, K377, J377, " FLUOR in SST. ", "TG ", 'Input Sheet'!I379, "U"))</f>
        <v/>
      </c>
      <c r="G377" s="31" t="str">
        <f>IF('Input Sheet'!C379="","",100-'Input Sheet'!C379)</f>
        <v/>
      </c>
      <c r="H3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7" s="31" t="str">
        <f t="shared" si="5"/>
        <v/>
      </c>
      <c r="J3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7" s="31" t="str">
        <f>IF('Input Sheet'!F378=0, "NO",CONCATENATE('Input Sheet'!F378, IF('Input Sheet'!F378&gt;0,"% ","")))</f>
        <v>NO</v>
      </c>
      <c r="L3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7" s="31" t="str">
        <f>CONCATENATE(L377, IF('Input Sheet'!J379="",""," siderite in "))</f>
        <v/>
      </c>
      <c r="N3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7" s="31" t="str">
        <f>CONCATENATE(N377, IF('Input Sheet'!K379="",""," siderite in "))</f>
        <v/>
      </c>
    </row>
    <row r="378" spans="1:15" x14ac:dyDescent="0.35">
      <c r="A378" s="42" t="str">
        <f>IF('Input Sheet'!C380="","",CONCATENATE("Sample ", 'Input Sheet'!B380, "m: ", M378, G378, "% ", "Siltstone, ", O378, 'Input Sheet'!C380, "% ", I378, " Sandstone, ", K378, J378, " FLUOR in SST. ", "TG ", 'Input Sheet'!I380, "U"))</f>
        <v/>
      </c>
      <c r="B378" s="28" t="str">
        <f>IF('Input Sheet'!C380="","",CONCATENATE("Sample ", 'Input Sheet'!B380, "m: ", N378, H378, "% ", "Siltstone, ", P378, 'Input Sheet'!C380, "% ", J378, " Sandstone "))</f>
        <v/>
      </c>
      <c r="C378" s="28" t="str">
        <f>IF('Input Sheet'!C380="","",CONCATENATE("Sample ", 'Input Sheet'!B380, "m: ", M378,, K378, J378, " FLUOR in SST. ", "TG ", 'Input Sheet'!I380, "U"))</f>
        <v/>
      </c>
      <c r="G378" s="31" t="str">
        <f>IF('Input Sheet'!C380="","",100-'Input Sheet'!C380)</f>
        <v/>
      </c>
      <c r="H3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8" s="31" t="str">
        <f t="shared" si="5"/>
        <v/>
      </c>
      <c r="J3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8" s="31" t="str">
        <f>IF('Input Sheet'!F379=0, "NO",CONCATENATE('Input Sheet'!F379, IF('Input Sheet'!F379&gt;0,"% ","")))</f>
        <v>NO</v>
      </c>
      <c r="L3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8" s="31" t="str">
        <f>CONCATENATE(L378, IF('Input Sheet'!J380="",""," siderite in "))</f>
        <v/>
      </c>
      <c r="N3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8" s="31" t="str">
        <f>CONCATENATE(N378, IF('Input Sheet'!K380="",""," siderite in "))</f>
        <v/>
      </c>
    </row>
    <row r="379" spans="1:15" x14ac:dyDescent="0.35">
      <c r="A379" s="42" t="str">
        <f>IF('Input Sheet'!C381="","",CONCATENATE("Sample ", 'Input Sheet'!B381, "m: ", M379, G379, "% ", "Siltstone, ", O379, 'Input Sheet'!C381, "% ", I379, " Sandstone, ", K379, J379, " FLUOR in SST. ", "TG ", 'Input Sheet'!I381, "U"))</f>
        <v/>
      </c>
      <c r="B379" s="28" t="str">
        <f>IF('Input Sheet'!C381="","",CONCATENATE("Sample ", 'Input Sheet'!B381, "m: ", N379, H379, "% ", "Siltstone, ", P379, 'Input Sheet'!C381, "% ", J379, " Sandstone "))</f>
        <v/>
      </c>
      <c r="C379" s="28" t="str">
        <f>IF('Input Sheet'!C381="","",CONCATENATE("Sample ", 'Input Sheet'!B381, "m: ", M379,, K379, J379, " FLUOR in SST. ", "TG ", 'Input Sheet'!I381, "U"))</f>
        <v/>
      </c>
      <c r="G379" s="31" t="str">
        <f>IF('Input Sheet'!C381="","",100-'Input Sheet'!C381)</f>
        <v/>
      </c>
      <c r="H3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9" s="31" t="str">
        <f t="shared" si="5"/>
        <v/>
      </c>
      <c r="J3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9" s="31" t="str">
        <f>IF('Input Sheet'!F380=0, "NO",CONCATENATE('Input Sheet'!F380, IF('Input Sheet'!F380&gt;0,"% ","")))</f>
        <v>NO</v>
      </c>
      <c r="L3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9" s="31" t="str">
        <f>CONCATENATE(L379, IF('Input Sheet'!J381="",""," siderite in "))</f>
        <v/>
      </c>
      <c r="N3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9" s="31" t="str">
        <f>CONCATENATE(N379, IF('Input Sheet'!K381="",""," siderite in "))</f>
        <v/>
      </c>
    </row>
    <row r="380" spans="1:15" x14ac:dyDescent="0.35">
      <c r="A380" s="42" t="str">
        <f>IF('Input Sheet'!C382="","",CONCATENATE("Sample ", 'Input Sheet'!B382, "m: ", M380, G380, "% ", "Siltstone, ", O380, 'Input Sheet'!C382, "% ", I380, " Sandstone, ", K380, J380, " FLUOR in SST. ", "TG ", 'Input Sheet'!I382, "U"))</f>
        <v/>
      </c>
      <c r="B380" s="28" t="str">
        <f>IF('Input Sheet'!C382="","",CONCATENATE("Sample ", 'Input Sheet'!B382, "m: ", N380, H380, "% ", "Siltstone, ", P380, 'Input Sheet'!C382, "% ", J380, " Sandstone "))</f>
        <v/>
      </c>
      <c r="C380" s="28" t="str">
        <f>IF('Input Sheet'!C382="","",CONCATENATE("Sample ", 'Input Sheet'!B382, "m: ", M380,, K380, J380, " FLUOR in SST. ", "TG ", 'Input Sheet'!I382, "U"))</f>
        <v/>
      </c>
      <c r="G380" s="31" t="str">
        <f>IF('Input Sheet'!C382="","",100-'Input Sheet'!C382)</f>
        <v/>
      </c>
      <c r="H3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0" s="31" t="str">
        <f t="shared" si="5"/>
        <v/>
      </c>
      <c r="J3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0" s="31" t="str">
        <f>IF('Input Sheet'!F381=0, "NO",CONCATENATE('Input Sheet'!F381, IF('Input Sheet'!F381&gt;0,"% ","")))</f>
        <v>NO</v>
      </c>
      <c r="L3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0" s="31" t="str">
        <f>CONCATENATE(L380, IF('Input Sheet'!J382="",""," siderite in "))</f>
        <v/>
      </c>
      <c r="N3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0" s="31" t="str">
        <f>CONCATENATE(N380, IF('Input Sheet'!K382="",""," siderite in "))</f>
        <v/>
      </c>
    </row>
    <row r="381" spans="1:15" x14ac:dyDescent="0.35">
      <c r="A381" s="42" t="str">
        <f>IF('Input Sheet'!C383="","",CONCATENATE("Sample ", 'Input Sheet'!B383, "m: ", M381, G381, "% ", "Siltstone, ", O381, 'Input Sheet'!C383, "% ", I381, " Sandstone, ", K381, J381, " FLUOR in SST. ", "TG ", 'Input Sheet'!I383, "U"))</f>
        <v/>
      </c>
      <c r="B381" s="28" t="str">
        <f>IF('Input Sheet'!C383="","",CONCATENATE("Sample ", 'Input Sheet'!B383, "m: ", N381, H381, "% ", "Siltstone, ", P381, 'Input Sheet'!C383, "% ", J381, " Sandstone "))</f>
        <v/>
      </c>
      <c r="C381" s="28" t="str">
        <f>IF('Input Sheet'!C383="","",CONCATENATE("Sample ", 'Input Sheet'!B383, "m: ", M381,, K381, J381, " FLUOR in SST. ", "TG ", 'Input Sheet'!I383, "U"))</f>
        <v/>
      </c>
      <c r="G381" s="31" t="str">
        <f>IF('Input Sheet'!C383="","",100-'Input Sheet'!C383)</f>
        <v/>
      </c>
      <c r="H3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1" s="31" t="str">
        <f t="shared" si="5"/>
        <v/>
      </c>
      <c r="J3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1" s="31" t="str">
        <f>IF('Input Sheet'!F382=0, "NO",CONCATENATE('Input Sheet'!F382, IF('Input Sheet'!F382&gt;0,"% ","")))</f>
        <v>NO</v>
      </c>
      <c r="L3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1" s="31" t="str">
        <f>CONCATENATE(L381, IF('Input Sheet'!J383="",""," siderite in "))</f>
        <v/>
      </c>
      <c r="N3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1" s="31" t="str">
        <f>CONCATENATE(N381, IF('Input Sheet'!K383="",""," siderite in "))</f>
        <v/>
      </c>
    </row>
    <row r="382" spans="1:15" x14ac:dyDescent="0.35">
      <c r="A382" s="42" t="str">
        <f>IF('Input Sheet'!C384="","",CONCATENATE("Sample ", 'Input Sheet'!B384, "m: ", M382, G382, "% ", "Siltstone, ", O382, 'Input Sheet'!C384, "% ", I382, " Sandstone, ", K382, J382, " FLUOR in SST. ", "TG ", 'Input Sheet'!I384, "U"))</f>
        <v/>
      </c>
      <c r="B382" s="28" t="str">
        <f>IF('Input Sheet'!C384="","",CONCATENATE("Sample ", 'Input Sheet'!B384, "m: ", N382, H382, "% ", "Siltstone, ", P382, 'Input Sheet'!C384, "% ", J382, " Sandstone "))</f>
        <v/>
      </c>
      <c r="C382" s="28" t="str">
        <f>IF('Input Sheet'!C384="","",CONCATENATE("Sample ", 'Input Sheet'!B384, "m: ", M382,, K382, J382, " FLUOR in SST. ", "TG ", 'Input Sheet'!I384, "U"))</f>
        <v/>
      </c>
      <c r="G382" s="31" t="str">
        <f>IF('Input Sheet'!C384="","",100-'Input Sheet'!C384)</f>
        <v/>
      </c>
      <c r="H3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2" s="31" t="str">
        <f t="shared" si="5"/>
        <v/>
      </c>
      <c r="J3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2" s="31" t="str">
        <f>IF('Input Sheet'!F383=0, "NO",CONCATENATE('Input Sheet'!F383, IF('Input Sheet'!F383&gt;0,"% ","")))</f>
        <v>NO</v>
      </c>
      <c r="L3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2" s="31" t="str">
        <f>CONCATENATE(L382, IF('Input Sheet'!J384="",""," siderite in "))</f>
        <v/>
      </c>
      <c r="N3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2" s="31" t="str">
        <f>CONCATENATE(N382, IF('Input Sheet'!K384="",""," siderite in "))</f>
        <v/>
      </c>
    </row>
    <row r="383" spans="1:15" x14ac:dyDescent="0.35">
      <c r="A383" s="42" t="str">
        <f>IF('Input Sheet'!C385="","",CONCATENATE("Sample ", 'Input Sheet'!B385, "m: ", M383, G383, "% ", "Siltstone, ", O383, 'Input Sheet'!C385, "% ", I383, " Sandstone, ", K383, J383, " FLUOR in SST. ", "TG ", 'Input Sheet'!I385, "U"))</f>
        <v/>
      </c>
      <c r="B383" s="28" t="str">
        <f>IF('Input Sheet'!C385="","",CONCATENATE("Sample ", 'Input Sheet'!B385, "m: ", N383, H383, "% ", "Siltstone, ", P383, 'Input Sheet'!C385, "% ", J383, " Sandstone "))</f>
        <v/>
      </c>
      <c r="C383" s="28" t="str">
        <f>IF('Input Sheet'!C385="","",CONCATENATE("Sample ", 'Input Sheet'!B385, "m: ", M383,, K383, J383, " FLUOR in SST. ", "TG ", 'Input Sheet'!I385, "U"))</f>
        <v/>
      </c>
      <c r="G383" s="31" t="str">
        <f>IF('Input Sheet'!C385="","",100-'Input Sheet'!C385)</f>
        <v/>
      </c>
      <c r="H3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3" s="31" t="str">
        <f t="shared" si="5"/>
        <v/>
      </c>
      <c r="J3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3" s="31" t="str">
        <f>IF('Input Sheet'!F384=0, "NO",CONCATENATE('Input Sheet'!F384, IF('Input Sheet'!F384&gt;0,"% ","")))</f>
        <v>NO</v>
      </c>
      <c r="L3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3" s="31" t="str">
        <f>CONCATENATE(L383, IF('Input Sheet'!J385="",""," siderite in "))</f>
        <v/>
      </c>
      <c r="N3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3" s="31" t="str">
        <f>CONCATENATE(N383, IF('Input Sheet'!K385="",""," siderite in "))</f>
        <v/>
      </c>
    </row>
    <row r="384" spans="1:15" x14ac:dyDescent="0.35">
      <c r="A384" s="42" t="str">
        <f>IF('Input Sheet'!C386="","",CONCATENATE("Sample ", 'Input Sheet'!B386, "m: ", M384, G384, "% ", "Siltstone, ", O384, 'Input Sheet'!C386, "% ", I384, " Sandstone, ", K384, J384, " FLUOR in SST. ", "TG ", 'Input Sheet'!I386, "U"))</f>
        <v/>
      </c>
      <c r="B384" s="28" t="str">
        <f>IF('Input Sheet'!C386="","",CONCATENATE("Sample ", 'Input Sheet'!B386, "m: ", N384, H384, "% ", "Siltstone, ", P384, 'Input Sheet'!C386, "% ", J384, " Sandstone "))</f>
        <v/>
      </c>
      <c r="C384" s="28" t="str">
        <f>IF('Input Sheet'!C386="","",CONCATENATE("Sample ", 'Input Sheet'!B386, "m: ", M384,, K384, J384, " FLUOR in SST. ", "TG ", 'Input Sheet'!I386, "U"))</f>
        <v/>
      </c>
      <c r="G384" s="31" t="str">
        <f>IF('Input Sheet'!C386="","",100-'Input Sheet'!C386)</f>
        <v/>
      </c>
      <c r="H3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4" s="31" t="str">
        <f t="shared" si="5"/>
        <v/>
      </c>
      <c r="J3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4" s="31" t="str">
        <f>IF('Input Sheet'!F385=0, "NO",CONCATENATE('Input Sheet'!F385, IF('Input Sheet'!F385&gt;0,"% ","")))</f>
        <v>NO</v>
      </c>
      <c r="L3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4" s="31" t="str">
        <f>CONCATENATE(L384, IF('Input Sheet'!J386="",""," siderite in "))</f>
        <v/>
      </c>
      <c r="N3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4" s="31" t="str">
        <f>CONCATENATE(N384, IF('Input Sheet'!K386="",""," siderite in "))</f>
        <v/>
      </c>
    </row>
    <row r="385" spans="1:15" x14ac:dyDescent="0.35">
      <c r="A385" s="42" t="str">
        <f>IF('Input Sheet'!C387="","",CONCATENATE("Sample ", 'Input Sheet'!B387, "m: ", M385, G385, "% ", "Siltstone, ", O385, 'Input Sheet'!C387, "% ", I385, " Sandstone, ", K385, J385, " FLUOR in SST. ", "TG ", 'Input Sheet'!I387, "U"))</f>
        <v/>
      </c>
      <c r="B385" s="28" t="str">
        <f>IF('Input Sheet'!C387="","",CONCATENATE("Sample ", 'Input Sheet'!B387, "m: ", N385, H385, "% ", "Siltstone, ", P385, 'Input Sheet'!C387, "% ", J385, " Sandstone "))</f>
        <v/>
      </c>
      <c r="C385" s="28" t="str">
        <f>IF('Input Sheet'!C387="","",CONCATENATE("Sample ", 'Input Sheet'!B387, "m: ", M385,, K385, J385, " FLUOR in SST. ", "TG ", 'Input Sheet'!I387, "U"))</f>
        <v/>
      </c>
      <c r="G385" s="31" t="str">
        <f>IF('Input Sheet'!C387="","",100-'Input Sheet'!C387)</f>
        <v/>
      </c>
      <c r="H3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5" s="31" t="str">
        <f t="shared" si="5"/>
        <v/>
      </c>
      <c r="J3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5" s="31" t="str">
        <f>IF('Input Sheet'!F386=0, "NO",CONCATENATE('Input Sheet'!F386, IF('Input Sheet'!F386&gt;0,"% ","")))</f>
        <v>NO</v>
      </c>
      <c r="L3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5" s="31" t="str">
        <f>CONCATENATE(L385, IF('Input Sheet'!J387="",""," siderite in "))</f>
        <v/>
      </c>
      <c r="N3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5" s="31" t="str">
        <f>CONCATENATE(N385, IF('Input Sheet'!K387="",""," siderite in "))</f>
        <v/>
      </c>
    </row>
    <row r="386" spans="1:15" x14ac:dyDescent="0.35">
      <c r="A386" s="42" t="str">
        <f>IF('Input Sheet'!C388="","",CONCATENATE("Sample ", 'Input Sheet'!B388, "m: ", M386, G386, "% ", "Siltstone, ", O386, 'Input Sheet'!C388, "% ", I386, " Sandstone, ", K386, J386, " FLUOR in SST. ", "TG ", 'Input Sheet'!I388, "U"))</f>
        <v/>
      </c>
      <c r="B386" s="28" t="str">
        <f>IF('Input Sheet'!C388="","",CONCATENATE("Sample ", 'Input Sheet'!B388, "m: ", N386, H386, "% ", "Siltstone, ", P386, 'Input Sheet'!C388, "% ", J386, " Sandstone "))</f>
        <v/>
      </c>
      <c r="C386" s="28" t="str">
        <f>IF('Input Sheet'!C388="","",CONCATENATE("Sample ", 'Input Sheet'!B388, "m: ", M386,, K386, J386, " FLUOR in SST. ", "TG ", 'Input Sheet'!I388, "U"))</f>
        <v/>
      </c>
      <c r="G386" s="31" t="str">
        <f>IF('Input Sheet'!C388="","",100-'Input Sheet'!C388)</f>
        <v/>
      </c>
      <c r="H3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6" s="31" t="str">
        <f t="shared" ref="I386:I449" si="6">SUBSTITUTE(H386, "veryfine", "very fine")</f>
        <v/>
      </c>
      <c r="J3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6" s="31" t="str">
        <f>IF('Input Sheet'!F387=0, "NO",CONCATENATE('Input Sheet'!F387, IF('Input Sheet'!F387&gt;0,"% ","")))</f>
        <v>NO</v>
      </c>
      <c r="L3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6" s="31" t="str">
        <f>CONCATENATE(L386, IF('Input Sheet'!J388="",""," siderite in "))</f>
        <v/>
      </c>
      <c r="N3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6" s="31" t="str">
        <f>CONCATENATE(N386, IF('Input Sheet'!K388="",""," siderite in "))</f>
        <v/>
      </c>
    </row>
    <row r="387" spans="1:15" x14ac:dyDescent="0.35">
      <c r="A387" s="42" t="str">
        <f>IF('Input Sheet'!C389="","",CONCATENATE("Sample ", 'Input Sheet'!B389, "m: ", M387, G387, "% ", "Siltstone, ", O387, 'Input Sheet'!C389, "% ", I387, " Sandstone, ", K387, J387, " FLUOR in SST. ", "TG ", 'Input Sheet'!I389, "U"))</f>
        <v/>
      </c>
      <c r="B387" s="28" t="str">
        <f>IF('Input Sheet'!C389="","",CONCATENATE("Sample ", 'Input Sheet'!B389, "m: ", N387, H387, "% ", "Siltstone, ", P387, 'Input Sheet'!C389, "% ", J387, " Sandstone "))</f>
        <v/>
      </c>
      <c r="C387" s="28" t="str">
        <f>IF('Input Sheet'!C389="","",CONCATENATE("Sample ", 'Input Sheet'!B389, "m: ", M387,, K387, J387, " FLUOR in SST. ", "TG ", 'Input Sheet'!I389, "U"))</f>
        <v/>
      </c>
      <c r="G387" s="31" t="str">
        <f>IF('Input Sheet'!C389="","",100-'Input Sheet'!C389)</f>
        <v/>
      </c>
      <c r="H3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7" s="31" t="str">
        <f t="shared" si="6"/>
        <v/>
      </c>
      <c r="J3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7" s="31" t="str">
        <f>IF('Input Sheet'!F388=0, "NO",CONCATENATE('Input Sheet'!F388, IF('Input Sheet'!F388&gt;0,"% ","")))</f>
        <v>NO</v>
      </c>
      <c r="L3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7" s="31" t="str">
        <f>CONCATENATE(L387, IF('Input Sheet'!J389="",""," siderite in "))</f>
        <v/>
      </c>
      <c r="N3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7" s="31" t="str">
        <f>CONCATENATE(N387, IF('Input Sheet'!K389="",""," siderite in "))</f>
        <v/>
      </c>
    </row>
    <row r="388" spans="1:15" x14ac:dyDescent="0.35">
      <c r="A388" s="42" t="str">
        <f>IF('Input Sheet'!C390="","",CONCATENATE("Sample ", 'Input Sheet'!B390, "m: ", M388, G388, "% ", "Siltstone, ", O388, 'Input Sheet'!C390, "% ", I388, " Sandstone, ", K388, J388, " FLUOR in SST. ", "TG ", 'Input Sheet'!I390, "U"))</f>
        <v/>
      </c>
      <c r="B388" s="28" t="str">
        <f>IF('Input Sheet'!C390="","",CONCATENATE("Sample ", 'Input Sheet'!B390, "m: ", N388, H388, "% ", "Siltstone, ", P388, 'Input Sheet'!C390, "% ", J388, " Sandstone "))</f>
        <v/>
      </c>
      <c r="C388" s="28" t="str">
        <f>IF('Input Sheet'!C390="","",CONCATENATE("Sample ", 'Input Sheet'!B390, "m: ", M388,, K388, J388, " FLUOR in SST. ", "TG ", 'Input Sheet'!I390, "U"))</f>
        <v/>
      </c>
      <c r="G388" s="31" t="str">
        <f>IF('Input Sheet'!C390="","",100-'Input Sheet'!C390)</f>
        <v/>
      </c>
      <c r="H3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8" s="31" t="str">
        <f t="shared" si="6"/>
        <v/>
      </c>
      <c r="J3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8" s="31" t="str">
        <f>IF('Input Sheet'!F389=0, "NO",CONCATENATE('Input Sheet'!F389, IF('Input Sheet'!F389&gt;0,"% ","")))</f>
        <v>NO</v>
      </c>
      <c r="L3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8" s="31" t="str">
        <f>CONCATENATE(L388, IF('Input Sheet'!J390="",""," siderite in "))</f>
        <v/>
      </c>
      <c r="N3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8" s="31" t="str">
        <f>CONCATENATE(N388, IF('Input Sheet'!K390="",""," siderite in "))</f>
        <v/>
      </c>
    </row>
    <row r="389" spans="1:15" x14ac:dyDescent="0.35">
      <c r="A389" s="42" t="str">
        <f>IF('Input Sheet'!C391="","",CONCATENATE("Sample ", 'Input Sheet'!B391, "m: ", M389, G389, "% ", "Siltstone, ", O389, 'Input Sheet'!C391, "% ", I389, " Sandstone, ", K389, J389, " FLUOR in SST. ", "TG ", 'Input Sheet'!I391, "U"))</f>
        <v/>
      </c>
      <c r="B389" s="28" t="str">
        <f>IF('Input Sheet'!C391="","",CONCATENATE("Sample ", 'Input Sheet'!B391, "m: ", N389, H389, "% ", "Siltstone, ", P389, 'Input Sheet'!C391, "% ", J389, " Sandstone "))</f>
        <v/>
      </c>
      <c r="C389" s="28" t="str">
        <f>IF('Input Sheet'!C391="","",CONCATENATE("Sample ", 'Input Sheet'!B391, "m: ", M389,, K389, J389, " FLUOR in SST. ", "TG ", 'Input Sheet'!I391, "U"))</f>
        <v/>
      </c>
      <c r="G389" s="31" t="str">
        <f>IF('Input Sheet'!C391="","",100-'Input Sheet'!C391)</f>
        <v/>
      </c>
      <c r="H3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9" s="31" t="str">
        <f t="shared" si="6"/>
        <v/>
      </c>
      <c r="J3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9" s="31" t="str">
        <f>IF('Input Sheet'!F390=0, "NO",CONCATENATE('Input Sheet'!F390, IF('Input Sheet'!F390&gt;0,"% ","")))</f>
        <v>NO</v>
      </c>
      <c r="L3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9" s="31" t="str">
        <f>CONCATENATE(L389, IF('Input Sheet'!J391="",""," siderite in "))</f>
        <v/>
      </c>
      <c r="N3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9" s="31" t="str">
        <f>CONCATENATE(N389, IF('Input Sheet'!K391="",""," siderite in "))</f>
        <v/>
      </c>
    </row>
    <row r="390" spans="1:15" x14ac:dyDescent="0.35">
      <c r="A390" s="42" t="str">
        <f>IF('Input Sheet'!C392="","",CONCATENATE("Sample ", 'Input Sheet'!B392, "m: ", M390, G390, "% ", "Siltstone, ", O390, 'Input Sheet'!C392, "% ", I390, " Sandstone, ", K390, J390, " FLUOR in SST. ", "TG ", 'Input Sheet'!I392, "U"))</f>
        <v/>
      </c>
      <c r="B390" s="28" t="str">
        <f>IF('Input Sheet'!C392="","",CONCATENATE("Sample ", 'Input Sheet'!B392, "m: ", N390, H390, "% ", "Siltstone, ", P390, 'Input Sheet'!C392, "% ", J390, " Sandstone "))</f>
        <v/>
      </c>
      <c r="C390" s="28" t="str">
        <f>IF('Input Sheet'!C392="","",CONCATENATE("Sample ", 'Input Sheet'!B392, "m: ", M390,, K390, J390, " FLUOR in SST. ", "TG ", 'Input Sheet'!I392, "U"))</f>
        <v/>
      </c>
      <c r="G390" s="31" t="str">
        <f>IF('Input Sheet'!C392="","",100-'Input Sheet'!C392)</f>
        <v/>
      </c>
      <c r="H3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0" s="31" t="str">
        <f t="shared" si="6"/>
        <v/>
      </c>
      <c r="J3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0" s="31" t="str">
        <f>IF('Input Sheet'!F391=0, "NO",CONCATENATE('Input Sheet'!F391, IF('Input Sheet'!F391&gt;0,"% ","")))</f>
        <v>NO</v>
      </c>
      <c r="L3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0" s="31" t="str">
        <f>CONCATENATE(L390, IF('Input Sheet'!J392="",""," siderite in "))</f>
        <v/>
      </c>
      <c r="N3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0" s="31" t="str">
        <f>CONCATENATE(N390, IF('Input Sheet'!K392="",""," siderite in "))</f>
        <v/>
      </c>
    </row>
    <row r="391" spans="1:15" x14ac:dyDescent="0.35">
      <c r="A391" s="42" t="str">
        <f>IF('Input Sheet'!C393="","",CONCATENATE("Sample ", 'Input Sheet'!B393, "m: ", M391, G391, "% ", "Siltstone, ", O391, 'Input Sheet'!C393, "% ", I391, " Sandstone, ", K391, J391, " FLUOR in SST. ", "TG ", 'Input Sheet'!I393, "U"))</f>
        <v/>
      </c>
      <c r="B391" s="28" t="str">
        <f>IF('Input Sheet'!C393="","",CONCATENATE("Sample ", 'Input Sheet'!B393, "m: ", N391, H391, "% ", "Siltstone, ", P391, 'Input Sheet'!C393, "% ", J391, " Sandstone "))</f>
        <v/>
      </c>
      <c r="C391" s="28" t="str">
        <f>IF('Input Sheet'!C393="","",CONCATENATE("Sample ", 'Input Sheet'!B393, "m: ", M391,, K391, J391, " FLUOR in SST. ", "TG ", 'Input Sheet'!I393, "U"))</f>
        <v/>
      </c>
      <c r="G391" s="31" t="str">
        <f>IF('Input Sheet'!C393="","",100-'Input Sheet'!C393)</f>
        <v/>
      </c>
      <c r="H3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1" s="31" t="str">
        <f t="shared" si="6"/>
        <v/>
      </c>
      <c r="J3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1" s="31" t="str">
        <f>IF('Input Sheet'!F392=0, "NO",CONCATENATE('Input Sheet'!F392, IF('Input Sheet'!F392&gt;0,"% ","")))</f>
        <v>NO</v>
      </c>
      <c r="L3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1" s="31" t="str">
        <f>CONCATENATE(L391, IF('Input Sheet'!J393="",""," siderite in "))</f>
        <v/>
      </c>
      <c r="N3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1" s="31" t="str">
        <f>CONCATENATE(N391, IF('Input Sheet'!K393="",""," siderite in "))</f>
        <v/>
      </c>
    </row>
    <row r="392" spans="1:15" x14ac:dyDescent="0.35">
      <c r="A392" s="42" t="str">
        <f>IF('Input Sheet'!C394="","",CONCATENATE("Sample ", 'Input Sheet'!B394, "m: ", M392, G392, "% ", "Siltstone, ", O392, 'Input Sheet'!C394, "% ", I392, " Sandstone, ", K392, J392, " FLUOR in SST. ", "TG ", 'Input Sheet'!I394, "U"))</f>
        <v/>
      </c>
      <c r="B392" s="28" t="str">
        <f>IF('Input Sheet'!C394="","",CONCATENATE("Sample ", 'Input Sheet'!B394, "m: ", N392, H392, "% ", "Siltstone, ", P392, 'Input Sheet'!C394, "% ", J392, " Sandstone "))</f>
        <v/>
      </c>
      <c r="C392" s="28" t="str">
        <f>IF('Input Sheet'!C394="","",CONCATENATE("Sample ", 'Input Sheet'!B394, "m: ", M392,, K392, J392, " FLUOR in SST. ", "TG ", 'Input Sheet'!I394, "U"))</f>
        <v/>
      </c>
      <c r="G392" s="31" t="str">
        <f>IF('Input Sheet'!C394="","",100-'Input Sheet'!C394)</f>
        <v/>
      </c>
      <c r="H3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2" s="31" t="str">
        <f t="shared" si="6"/>
        <v/>
      </c>
      <c r="J3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2" s="31" t="str">
        <f>IF('Input Sheet'!F393=0, "NO",CONCATENATE('Input Sheet'!F393, IF('Input Sheet'!F393&gt;0,"% ","")))</f>
        <v>NO</v>
      </c>
      <c r="L3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2" s="31" t="str">
        <f>CONCATENATE(L392, IF('Input Sheet'!J394="",""," siderite in "))</f>
        <v/>
      </c>
      <c r="N3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2" s="31" t="str">
        <f>CONCATENATE(N392, IF('Input Sheet'!K394="",""," siderite in "))</f>
        <v/>
      </c>
    </row>
    <row r="393" spans="1:15" x14ac:dyDescent="0.35">
      <c r="A393" s="42" t="str">
        <f>IF('Input Sheet'!C395="","",CONCATENATE("Sample ", 'Input Sheet'!B395, "m: ", M393, G393, "% ", "Siltstone, ", O393, 'Input Sheet'!C395, "% ", I393, " Sandstone, ", K393, J393, " FLUOR in SST. ", "TG ", 'Input Sheet'!I395, "U"))</f>
        <v/>
      </c>
      <c r="B393" s="28" t="str">
        <f>IF('Input Sheet'!C395="","",CONCATENATE("Sample ", 'Input Sheet'!B395, "m: ", N393, H393, "% ", "Siltstone, ", P393, 'Input Sheet'!C395, "% ", J393, " Sandstone "))</f>
        <v/>
      </c>
      <c r="C393" s="28" t="str">
        <f>IF('Input Sheet'!C395="","",CONCATENATE("Sample ", 'Input Sheet'!B395, "m: ", M393,, K393, J393, " FLUOR in SST. ", "TG ", 'Input Sheet'!I395, "U"))</f>
        <v/>
      </c>
      <c r="G393" s="31" t="str">
        <f>IF('Input Sheet'!C395="","",100-'Input Sheet'!C395)</f>
        <v/>
      </c>
      <c r="H3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3" s="31" t="str">
        <f t="shared" si="6"/>
        <v/>
      </c>
      <c r="J3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3" s="31" t="str">
        <f>IF('Input Sheet'!F394=0, "NO",CONCATENATE('Input Sheet'!F394, IF('Input Sheet'!F394&gt;0,"% ","")))</f>
        <v>NO</v>
      </c>
      <c r="L3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3" s="31" t="str">
        <f>CONCATENATE(L393, IF('Input Sheet'!J395="",""," siderite in "))</f>
        <v/>
      </c>
      <c r="N3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3" s="31" t="str">
        <f>CONCATENATE(N393, IF('Input Sheet'!K395="",""," siderite in "))</f>
        <v/>
      </c>
    </row>
    <row r="394" spans="1:15" x14ac:dyDescent="0.35">
      <c r="A394" s="42" t="str">
        <f>IF('Input Sheet'!C396="","",CONCATENATE("Sample ", 'Input Sheet'!B396, "m: ", M394, G394, "% ", "Siltstone, ", O394, 'Input Sheet'!C396, "% ", I394, " Sandstone, ", K394, J394, " FLUOR in SST. ", "TG ", 'Input Sheet'!I396, "U"))</f>
        <v/>
      </c>
      <c r="B394" s="28" t="str">
        <f>IF('Input Sheet'!C396="","",CONCATENATE("Sample ", 'Input Sheet'!B396, "m: ", N394, H394, "% ", "Siltstone, ", P394, 'Input Sheet'!C396, "% ", J394, " Sandstone "))</f>
        <v/>
      </c>
      <c r="C394" s="28" t="str">
        <f>IF('Input Sheet'!C396="","",CONCATENATE("Sample ", 'Input Sheet'!B396, "m: ", M394,, K394, J394, " FLUOR in SST. ", "TG ", 'Input Sheet'!I396, "U"))</f>
        <v/>
      </c>
      <c r="G394" s="31" t="str">
        <f>IF('Input Sheet'!C396="","",100-'Input Sheet'!C396)</f>
        <v/>
      </c>
      <c r="H3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4" s="31" t="str">
        <f t="shared" si="6"/>
        <v/>
      </c>
      <c r="J3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4" s="31" t="str">
        <f>IF('Input Sheet'!F395=0, "NO",CONCATENATE('Input Sheet'!F395, IF('Input Sheet'!F395&gt;0,"% ","")))</f>
        <v>NO</v>
      </c>
      <c r="L3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4" s="31" t="str">
        <f>CONCATENATE(L394, IF('Input Sheet'!J396="",""," siderite in "))</f>
        <v/>
      </c>
      <c r="N3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4" s="31" t="str">
        <f>CONCATENATE(N394, IF('Input Sheet'!K396="",""," siderite in "))</f>
        <v/>
      </c>
    </row>
    <row r="395" spans="1:15" x14ac:dyDescent="0.35">
      <c r="A395" s="42" t="str">
        <f>IF('Input Sheet'!C397="","",CONCATENATE("Sample ", 'Input Sheet'!B397, "m: ", M395, G395, "% ", "Siltstone, ", O395, 'Input Sheet'!C397, "% ", I395, " Sandstone, ", K395, J395, " FLUOR in SST. ", "TG ", 'Input Sheet'!I397, "U"))</f>
        <v/>
      </c>
      <c r="B395" s="28" t="str">
        <f>IF('Input Sheet'!C397="","",CONCATENATE("Sample ", 'Input Sheet'!B397, "m: ", N395, H395, "% ", "Siltstone, ", P395, 'Input Sheet'!C397, "% ", J395, " Sandstone "))</f>
        <v/>
      </c>
      <c r="C395" s="28" t="str">
        <f>IF('Input Sheet'!C397="","",CONCATENATE("Sample ", 'Input Sheet'!B397, "m: ", M395,, K395, J395, " FLUOR in SST. ", "TG ", 'Input Sheet'!I397, "U"))</f>
        <v/>
      </c>
      <c r="G395" s="31" t="str">
        <f>IF('Input Sheet'!C397="","",100-'Input Sheet'!C397)</f>
        <v/>
      </c>
      <c r="H3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5" s="31" t="str">
        <f t="shared" si="6"/>
        <v/>
      </c>
      <c r="J3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5" s="31" t="str">
        <f>IF('Input Sheet'!F396=0, "NO",CONCATENATE('Input Sheet'!F396, IF('Input Sheet'!F396&gt;0,"% ","")))</f>
        <v>NO</v>
      </c>
      <c r="L3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5" s="31" t="str">
        <f>CONCATENATE(L395, IF('Input Sheet'!J397="",""," siderite in "))</f>
        <v/>
      </c>
      <c r="N3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5" s="31" t="str">
        <f>CONCATENATE(N395, IF('Input Sheet'!K397="",""," siderite in "))</f>
        <v/>
      </c>
    </row>
    <row r="396" spans="1:15" x14ac:dyDescent="0.35">
      <c r="A396" s="42" t="str">
        <f>IF('Input Sheet'!C398="","",CONCATENATE("Sample ", 'Input Sheet'!B398, "m: ", M396, G396, "% ", "Siltstone, ", O396, 'Input Sheet'!C398, "% ", I396, " Sandstone, ", K396, J396, " FLUOR in SST. ", "TG ", 'Input Sheet'!I398, "U"))</f>
        <v/>
      </c>
      <c r="B396" s="28" t="str">
        <f>IF('Input Sheet'!C398="","",CONCATENATE("Sample ", 'Input Sheet'!B398, "m: ", N396, H396, "% ", "Siltstone, ", P396, 'Input Sheet'!C398, "% ", J396, " Sandstone "))</f>
        <v/>
      </c>
      <c r="C396" s="28" t="str">
        <f>IF('Input Sheet'!C398="","",CONCATENATE("Sample ", 'Input Sheet'!B398, "m: ", M396,, K396, J396, " FLUOR in SST. ", "TG ", 'Input Sheet'!I398, "U"))</f>
        <v/>
      </c>
      <c r="G396" s="31" t="str">
        <f>IF('Input Sheet'!C398="","",100-'Input Sheet'!C398)</f>
        <v/>
      </c>
      <c r="H3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6" s="31" t="str">
        <f t="shared" si="6"/>
        <v/>
      </c>
      <c r="J3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6" s="31" t="str">
        <f>IF('Input Sheet'!F397=0, "NO",CONCATENATE('Input Sheet'!F397, IF('Input Sheet'!F397&gt;0,"% ","")))</f>
        <v>NO</v>
      </c>
      <c r="L3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6" s="31" t="str">
        <f>CONCATENATE(L396, IF('Input Sheet'!J398="",""," siderite in "))</f>
        <v/>
      </c>
      <c r="N3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6" s="31" t="str">
        <f>CONCATENATE(N396, IF('Input Sheet'!K398="",""," siderite in "))</f>
        <v/>
      </c>
    </row>
    <row r="397" spans="1:15" x14ac:dyDescent="0.35">
      <c r="A397" s="42" t="str">
        <f>IF('Input Sheet'!C399="","",CONCATENATE("Sample ", 'Input Sheet'!B399, "m: ", M397, G397, "% ", "Siltstone, ", O397, 'Input Sheet'!C399, "% ", I397, " Sandstone, ", K397, J397, " FLUOR in SST. ", "TG ", 'Input Sheet'!I399, "U"))</f>
        <v/>
      </c>
      <c r="B397" s="28" t="str">
        <f>IF('Input Sheet'!C399="","",CONCATENATE("Sample ", 'Input Sheet'!B399, "m: ", N397, H397, "% ", "Siltstone, ", P397, 'Input Sheet'!C399, "% ", J397, " Sandstone "))</f>
        <v/>
      </c>
      <c r="C397" s="28" t="str">
        <f>IF('Input Sheet'!C399="","",CONCATENATE("Sample ", 'Input Sheet'!B399, "m: ", M397,, K397, J397, " FLUOR in SST. ", "TG ", 'Input Sheet'!I399, "U"))</f>
        <v/>
      </c>
      <c r="G397" s="31" t="str">
        <f>IF('Input Sheet'!C399="","",100-'Input Sheet'!C399)</f>
        <v/>
      </c>
      <c r="H3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7" s="31" t="str">
        <f t="shared" si="6"/>
        <v/>
      </c>
      <c r="J3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7" s="31" t="str">
        <f>IF('Input Sheet'!F398=0, "NO",CONCATENATE('Input Sheet'!F398, IF('Input Sheet'!F398&gt;0,"% ","")))</f>
        <v>NO</v>
      </c>
      <c r="L3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7" s="31" t="str">
        <f>CONCATENATE(L397, IF('Input Sheet'!J399="",""," siderite in "))</f>
        <v/>
      </c>
      <c r="N3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7" s="31" t="str">
        <f>CONCATENATE(N397, IF('Input Sheet'!K399="",""," siderite in "))</f>
        <v/>
      </c>
    </row>
    <row r="398" spans="1:15" x14ac:dyDescent="0.35">
      <c r="A398" s="42" t="str">
        <f>IF('Input Sheet'!C400="","",CONCATENATE("Sample ", 'Input Sheet'!B400, "m: ", M398, G398, "% ", "Siltstone, ", O398, 'Input Sheet'!C400, "% ", I398, " Sandstone, ", K398, J398, " FLUOR in SST. ", "TG ", 'Input Sheet'!I400, "U"))</f>
        <v/>
      </c>
      <c r="B398" s="28" t="str">
        <f>IF('Input Sheet'!C400="","",CONCATENATE("Sample ", 'Input Sheet'!B400, "m: ", N398, H398, "% ", "Siltstone, ", P398, 'Input Sheet'!C400, "% ", J398, " Sandstone "))</f>
        <v/>
      </c>
      <c r="C398" s="28" t="str">
        <f>IF('Input Sheet'!C400="","",CONCATENATE("Sample ", 'Input Sheet'!B400, "m: ", M398,, K398, J398, " FLUOR in SST. ", "TG ", 'Input Sheet'!I400, "U"))</f>
        <v/>
      </c>
      <c r="G398" s="31" t="str">
        <f>IF('Input Sheet'!C400="","",100-'Input Sheet'!C400)</f>
        <v/>
      </c>
      <c r="H3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8" s="31" t="str">
        <f t="shared" si="6"/>
        <v/>
      </c>
      <c r="J3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8" s="31" t="str">
        <f>IF('Input Sheet'!F399=0, "NO",CONCATENATE('Input Sheet'!F399, IF('Input Sheet'!F399&gt;0,"% ","")))</f>
        <v>NO</v>
      </c>
      <c r="L3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8" s="31" t="str">
        <f>CONCATENATE(L398, IF('Input Sheet'!J400="",""," siderite in "))</f>
        <v/>
      </c>
      <c r="N3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8" s="31" t="str">
        <f>CONCATENATE(N398, IF('Input Sheet'!K400="",""," siderite in "))</f>
        <v/>
      </c>
    </row>
    <row r="399" spans="1:15" x14ac:dyDescent="0.35">
      <c r="A399" s="42" t="str">
        <f>IF('Input Sheet'!C401="","",CONCATENATE("Sample ", 'Input Sheet'!B401, "m: ", M399, G399, "% ", "Siltstone, ", O399, 'Input Sheet'!C401, "% ", I399, " Sandstone, ", K399, J399, " FLUOR in SST. ", "TG ", 'Input Sheet'!I401, "U"))</f>
        <v/>
      </c>
      <c r="B399" s="28" t="str">
        <f>IF('Input Sheet'!C401="","",CONCATENATE("Sample ", 'Input Sheet'!B401, "m: ", N399, H399, "% ", "Siltstone, ", P399, 'Input Sheet'!C401, "% ", J399, " Sandstone "))</f>
        <v/>
      </c>
      <c r="C399" s="28" t="str">
        <f>IF('Input Sheet'!C401="","",CONCATENATE("Sample ", 'Input Sheet'!B401, "m: ", M399,, K399, J399, " FLUOR in SST. ", "TG ", 'Input Sheet'!I401, "U"))</f>
        <v/>
      </c>
      <c r="G399" s="31" t="str">
        <f>IF('Input Sheet'!C401="","",100-'Input Sheet'!C401)</f>
        <v/>
      </c>
      <c r="H3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9" s="31" t="str">
        <f t="shared" si="6"/>
        <v/>
      </c>
      <c r="J3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9" s="31" t="str">
        <f>IF('Input Sheet'!F400=0, "NO",CONCATENATE('Input Sheet'!F400, IF('Input Sheet'!F400&gt;0,"% ","")))</f>
        <v>NO</v>
      </c>
      <c r="L3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9" s="31" t="str">
        <f>CONCATENATE(L399, IF('Input Sheet'!J401="",""," siderite in "))</f>
        <v/>
      </c>
      <c r="N3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9" s="31" t="str">
        <f>CONCATENATE(N399, IF('Input Sheet'!K401="",""," siderite in "))</f>
        <v/>
      </c>
    </row>
    <row r="400" spans="1:15" x14ac:dyDescent="0.35">
      <c r="A400" s="42" t="str">
        <f>IF('Input Sheet'!C402="","",CONCATENATE("Sample ", 'Input Sheet'!B402, "m: ", M400, G400, "% ", "Siltstone, ", O400, 'Input Sheet'!C402, "% ", I400, " Sandstone, ", K400, J400, " FLUOR in SST. ", "TG ", 'Input Sheet'!I402, "U"))</f>
        <v/>
      </c>
      <c r="B400" s="28" t="str">
        <f>IF('Input Sheet'!C402="","",CONCATENATE("Sample ", 'Input Sheet'!B402, "m: ", N400, H400, "% ", "Siltstone, ", P400, 'Input Sheet'!C402, "% ", J400, " Sandstone "))</f>
        <v/>
      </c>
      <c r="C400" s="28" t="str">
        <f>IF('Input Sheet'!C402="","",CONCATENATE("Sample ", 'Input Sheet'!B402, "m: ", M400,, K400, J400, " FLUOR in SST. ", "TG ", 'Input Sheet'!I402, "U"))</f>
        <v/>
      </c>
      <c r="G400" s="31" t="str">
        <f>IF('Input Sheet'!C402="","",100-'Input Sheet'!C402)</f>
        <v/>
      </c>
      <c r="H4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0" s="31" t="str">
        <f t="shared" si="6"/>
        <v/>
      </c>
      <c r="J4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0" s="31" t="str">
        <f>IF('Input Sheet'!F401=0, "NO",CONCATENATE('Input Sheet'!F401, IF('Input Sheet'!F401&gt;0,"% ","")))</f>
        <v>NO</v>
      </c>
      <c r="L4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0" s="31" t="str">
        <f>CONCATENATE(L400, IF('Input Sheet'!J402="",""," siderite in "))</f>
        <v/>
      </c>
      <c r="N4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0" s="31" t="str">
        <f>CONCATENATE(N400, IF('Input Sheet'!K402="",""," siderite in "))</f>
        <v/>
      </c>
    </row>
    <row r="401" spans="1:15" x14ac:dyDescent="0.35">
      <c r="A401" s="42" t="str">
        <f>IF('Input Sheet'!C403="","",CONCATENATE("Sample ", 'Input Sheet'!B403, "m: ", M401, G401, "% ", "Siltstone, ", O401, 'Input Sheet'!C403, "% ", I401, " Sandstone, ", K401, J401, " FLUOR in SST. ", "TG ", 'Input Sheet'!I403, "U"))</f>
        <v/>
      </c>
      <c r="B401" s="28" t="str">
        <f>IF('Input Sheet'!C403="","",CONCATENATE("Sample ", 'Input Sheet'!B403, "m: ", N401, H401, "% ", "Siltstone, ", P401, 'Input Sheet'!C403, "% ", J401, " Sandstone "))</f>
        <v/>
      </c>
      <c r="C401" s="28" t="str">
        <f>IF('Input Sheet'!C403="","",CONCATENATE("Sample ", 'Input Sheet'!B403, "m: ", M401,, K401, J401, " FLUOR in SST. ", "TG ", 'Input Sheet'!I403, "U"))</f>
        <v/>
      </c>
      <c r="G401" s="31" t="str">
        <f>IF('Input Sheet'!C403="","",100-'Input Sheet'!C403)</f>
        <v/>
      </c>
      <c r="H4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1" s="31" t="str">
        <f t="shared" si="6"/>
        <v/>
      </c>
      <c r="J4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1" s="31" t="str">
        <f>IF('Input Sheet'!F402=0, "NO",CONCATENATE('Input Sheet'!F402, IF('Input Sheet'!F402&gt;0,"% ","")))</f>
        <v>NO</v>
      </c>
      <c r="L4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1" s="31" t="str">
        <f>CONCATENATE(L401, IF('Input Sheet'!J403="",""," siderite in "))</f>
        <v/>
      </c>
      <c r="N4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1" s="31" t="str">
        <f>CONCATENATE(N401, IF('Input Sheet'!K403="",""," siderite in "))</f>
        <v/>
      </c>
    </row>
    <row r="402" spans="1:15" x14ac:dyDescent="0.35">
      <c r="A402" s="42" t="str">
        <f>IF('Input Sheet'!C404="","",CONCATENATE("Sample ", 'Input Sheet'!B404, "m: ", M402, G402, "% ", "Siltstone, ", O402, 'Input Sheet'!C404, "% ", I402, " Sandstone, ", K402, J402, " FLUOR in SST. ", "TG ", 'Input Sheet'!I404, "U"))</f>
        <v/>
      </c>
      <c r="B402" s="28" t="str">
        <f>IF('Input Sheet'!C404="","",CONCATENATE("Sample ", 'Input Sheet'!B404, "m: ", N402, H402, "% ", "Siltstone, ", P402, 'Input Sheet'!C404, "% ", J402, " Sandstone "))</f>
        <v/>
      </c>
      <c r="C402" s="28" t="str">
        <f>IF('Input Sheet'!C404="","",CONCATENATE("Sample ", 'Input Sheet'!B404, "m: ", M402,, K402, J402, " FLUOR in SST. ", "TG ", 'Input Sheet'!I404, "U"))</f>
        <v/>
      </c>
      <c r="G402" s="31" t="str">
        <f>IF('Input Sheet'!C404="","",100-'Input Sheet'!C404)</f>
        <v/>
      </c>
      <c r="H4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2" s="31" t="str">
        <f t="shared" si="6"/>
        <v/>
      </c>
      <c r="J4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2" s="31" t="str">
        <f>IF('Input Sheet'!F403=0, "NO",CONCATENATE('Input Sheet'!F403, IF('Input Sheet'!F403&gt;0,"% ","")))</f>
        <v>NO</v>
      </c>
      <c r="L4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2" s="31" t="str">
        <f>CONCATENATE(L402, IF('Input Sheet'!J404="",""," siderite in "))</f>
        <v/>
      </c>
      <c r="N4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2" s="31" t="str">
        <f>CONCATENATE(N402, IF('Input Sheet'!K404="",""," siderite in "))</f>
        <v/>
      </c>
    </row>
    <row r="403" spans="1:15" x14ac:dyDescent="0.35">
      <c r="A403" s="42" t="str">
        <f>IF('Input Sheet'!C405="","",CONCATENATE("Sample ", 'Input Sheet'!B405, "m: ", M403, G403, "% ", "Siltstone, ", O403, 'Input Sheet'!C405, "% ", I403, " Sandstone, ", K403, J403, " FLUOR in SST. ", "TG ", 'Input Sheet'!I405, "U"))</f>
        <v/>
      </c>
      <c r="B403" s="28" t="str">
        <f>IF('Input Sheet'!C405="","",CONCATENATE("Sample ", 'Input Sheet'!B405, "m: ", N403, H403, "% ", "Siltstone, ", P403, 'Input Sheet'!C405, "% ", J403, " Sandstone "))</f>
        <v/>
      </c>
      <c r="C403" s="28" t="str">
        <f>IF('Input Sheet'!C405="","",CONCATENATE("Sample ", 'Input Sheet'!B405, "m: ", M403,, K403, J403, " FLUOR in SST. ", "TG ", 'Input Sheet'!I405, "U"))</f>
        <v/>
      </c>
      <c r="G403" s="31" t="str">
        <f>IF('Input Sheet'!C405="","",100-'Input Sheet'!C405)</f>
        <v/>
      </c>
      <c r="H4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3" s="31" t="str">
        <f t="shared" si="6"/>
        <v/>
      </c>
      <c r="J4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3" s="31" t="str">
        <f>IF('Input Sheet'!F404=0, "NO",CONCATENATE('Input Sheet'!F404, IF('Input Sheet'!F404&gt;0,"% ","")))</f>
        <v>NO</v>
      </c>
      <c r="L4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3" s="31" t="str">
        <f>CONCATENATE(L403, IF('Input Sheet'!J405="",""," siderite in "))</f>
        <v/>
      </c>
      <c r="N4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3" s="31" t="str">
        <f>CONCATENATE(N403, IF('Input Sheet'!K405="",""," siderite in "))</f>
        <v/>
      </c>
    </row>
    <row r="404" spans="1:15" x14ac:dyDescent="0.35">
      <c r="A404" s="42" t="str">
        <f>IF('Input Sheet'!C406="","",CONCATENATE("Sample ", 'Input Sheet'!B406, "m: ", M404, G404, "% ", "Siltstone, ", O404, 'Input Sheet'!C406, "% ", I404, " Sandstone, ", K404, J404, " FLUOR in SST. ", "TG ", 'Input Sheet'!I406, "U"))</f>
        <v/>
      </c>
      <c r="B404" s="28" t="str">
        <f>IF('Input Sheet'!C406="","",CONCATENATE("Sample ", 'Input Sheet'!B406, "m: ", N404, H404, "% ", "Siltstone, ", P404, 'Input Sheet'!C406, "% ", J404, " Sandstone "))</f>
        <v/>
      </c>
      <c r="C404" s="28" t="str">
        <f>IF('Input Sheet'!C406="","",CONCATENATE("Sample ", 'Input Sheet'!B406, "m: ", M404,, K404, J404, " FLUOR in SST. ", "TG ", 'Input Sheet'!I406, "U"))</f>
        <v/>
      </c>
      <c r="G404" s="31" t="str">
        <f>IF('Input Sheet'!C406="","",100-'Input Sheet'!C406)</f>
        <v/>
      </c>
      <c r="H4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4" s="31" t="str">
        <f t="shared" si="6"/>
        <v/>
      </c>
      <c r="J4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4" s="31" t="str">
        <f>IF('Input Sheet'!F405=0, "NO",CONCATENATE('Input Sheet'!F405, IF('Input Sheet'!F405&gt;0,"% ","")))</f>
        <v>NO</v>
      </c>
      <c r="L4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4" s="31" t="str">
        <f>CONCATENATE(L404, IF('Input Sheet'!J406="",""," siderite in "))</f>
        <v/>
      </c>
      <c r="N4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4" s="31" t="str">
        <f>CONCATENATE(N404, IF('Input Sheet'!K406="",""," siderite in "))</f>
        <v/>
      </c>
    </row>
    <row r="405" spans="1:15" x14ac:dyDescent="0.35">
      <c r="A405" s="42" t="str">
        <f>IF('Input Sheet'!C407="","",CONCATENATE("Sample ", 'Input Sheet'!B407, "m: ", M405, G405, "% ", "Siltstone, ", O405, 'Input Sheet'!C407, "% ", I405, " Sandstone, ", K405, J405, " FLUOR in SST. ", "TG ", 'Input Sheet'!I407, "U"))</f>
        <v/>
      </c>
      <c r="B405" s="28" t="str">
        <f>IF('Input Sheet'!C407="","",CONCATENATE("Sample ", 'Input Sheet'!B407, "m: ", N405, H405, "% ", "Siltstone, ", P405, 'Input Sheet'!C407, "% ", J405, " Sandstone "))</f>
        <v/>
      </c>
      <c r="C405" s="28" t="str">
        <f>IF('Input Sheet'!C407="","",CONCATENATE("Sample ", 'Input Sheet'!B407, "m: ", M405,, K405, J405, " FLUOR in SST. ", "TG ", 'Input Sheet'!I407, "U"))</f>
        <v/>
      </c>
      <c r="G405" s="31" t="str">
        <f>IF('Input Sheet'!C407="","",100-'Input Sheet'!C407)</f>
        <v/>
      </c>
      <c r="H4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5" s="31" t="str">
        <f t="shared" si="6"/>
        <v/>
      </c>
      <c r="J4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5" s="31" t="str">
        <f>IF('Input Sheet'!F406=0, "NO",CONCATENATE('Input Sheet'!F406, IF('Input Sheet'!F406&gt;0,"% ","")))</f>
        <v>NO</v>
      </c>
      <c r="L4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5" s="31" t="str">
        <f>CONCATENATE(L405, IF('Input Sheet'!J407="",""," siderite in "))</f>
        <v/>
      </c>
      <c r="N4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5" s="31" t="str">
        <f>CONCATENATE(N405, IF('Input Sheet'!K407="",""," siderite in "))</f>
        <v/>
      </c>
    </row>
    <row r="406" spans="1:15" x14ac:dyDescent="0.35">
      <c r="A406" s="42" t="str">
        <f>IF('Input Sheet'!C408="","",CONCATENATE("Sample ", 'Input Sheet'!B408, "m: ", M406, G406, "% ", "Siltstone, ", O406, 'Input Sheet'!C408, "% ", I406, " Sandstone, ", K406, J406, " FLUOR in SST. ", "TG ", 'Input Sheet'!I408, "U"))</f>
        <v/>
      </c>
      <c r="B406" s="28" t="str">
        <f>IF('Input Sheet'!C408="","",CONCATENATE("Sample ", 'Input Sheet'!B408, "m: ", N406, H406, "% ", "Siltstone, ", P406, 'Input Sheet'!C408, "% ", J406, " Sandstone "))</f>
        <v/>
      </c>
      <c r="C406" s="28" t="str">
        <f>IF('Input Sheet'!C408="","",CONCATENATE("Sample ", 'Input Sheet'!B408, "m: ", M406,, K406, J406, " FLUOR in SST. ", "TG ", 'Input Sheet'!I408, "U"))</f>
        <v/>
      </c>
      <c r="G406" s="31" t="str">
        <f>IF('Input Sheet'!C408="","",100-'Input Sheet'!C408)</f>
        <v/>
      </c>
      <c r="H4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6" s="31" t="str">
        <f t="shared" si="6"/>
        <v/>
      </c>
      <c r="J4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6" s="31" t="str">
        <f>IF('Input Sheet'!F407=0, "NO",CONCATENATE('Input Sheet'!F407, IF('Input Sheet'!F407&gt;0,"% ","")))</f>
        <v>NO</v>
      </c>
      <c r="L4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6" s="31" t="str">
        <f>CONCATENATE(L406, IF('Input Sheet'!J408="",""," siderite in "))</f>
        <v/>
      </c>
      <c r="N4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6" s="31" t="str">
        <f>CONCATENATE(N406, IF('Input Sheet'!K408="",""," siderite in "))</f>
        <v/>
      </c>
    </row>
    <row r="407" spans="1:15" x14ac:dyDescent="0.35">
      <c r="A407" s="42" t="str">
        <f>IF('Input Sheet'!C409="","",CONCATENATE("Sample ", 'Input Sheet'!B409, "m: ", M407, G407, "% ", "Siltstone, ", O407, 'Input Sheet'!C409, "% ", I407, " Sandstone, ", K407, J407, " FLUOR in SST. ", "TG ", 'Input Sheet'!I409, "U"))</f>
        <v/>
      </c>
      <c r="B407" s="28" t="str">
        <f>IF('Input Sheet'!C409="","",CONCATENATE("Sample ", 'Input Sheet'!B409, "m: ", N407, H407, "% ", "Siltstone, ", P407, 'Input Sheet'!C409, "% ", J407, " Sandstone "))</f>
        <v/>
      </c>
      <c r="C407" s="28" t="str">
        <f>IF('Input Sheet'!C409="","",CONCATENATE("Sample ", 'Input Sheet'!B409, "m: ", M407,, K407, J407, " FLUOR in SST. ", "TG ", 'Input Sheet'!I409, "U"))</f>
        <v/>
      </c>
      <c r="G407" s="31" t="str">
        <f>IF('Input Sheet'!C409="","",100-'Input Sheet'!C409)</f>
        <v/>
      </c>
      <c r="H4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7" s="31" t="str">
        <f t="shared" si="6"/>
        <v/>
      </c>
      <c r="J4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7" s="31" t="str">
        <f>IF('Input Sheet'!F408=0, "NO",CONCATENATE('Input Sheet'!F408, IF('Input Sheet'!F408&gt;0,"% ","")))</f>
        <v>NO</v>
      </c>
      <c r="L4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7" s="31" t="str">
        <f>CONCATENATE(L407, IF('Input Sheet'!J409="",""," siderite in "))</f>
        <v/>
      </c>
      <c r="N4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7" s="31" t="str">
        <f>CONCATENATE(N407, IF('Input Sheet'!K409="",""," siderite in "))</f>
        <v/>
      </c>
    </row>
    <row r="408" spans="1:15" x14ac:dyDescent="0.35">
      <c r="A408" s="42" t="str">
        <f>IF('Input Sheet'!C410="","",CONCATENATE("Sample ", 'Input Sheet'!B410, "m: ", M408, G408, "% ", "Siltstone, ", O408, 'Input Sheet'!C410, "% ", I408, " Sandstone, ", K408, J408, " FLUOR in SST. ", "TG ", 'Input Sheet'!I410, "U"))</f>
        <v/>
      </c>
      <c r="B408" s="28" t="str">
        <f>IF('Input Sheet'!C410="","",CONCATENATE("Sample ", 'Input Sheet'!B410, "m: ", N408, H408, "% ", "Siltstone, ", P408, 'Input Sheet'!C410, "% ", J408, " Sandstone "))</f>
        <v/>
      </c>
      <c r="C408" s="28" t="str">
        <f>IF('Input Sheet'!C410="","",CONCATENATE("Sample ", 'Input Sheet'!B410, "m: ", M408,, K408, J408, " FLUOR in SST. ", "TG ", 'Input Sheet'!I410, "U"))</f>
        <v/>
      </c>
      <c r="G408" s="31" t="str">
        <f>IF('Input Sheet'!C410="","",100-'Input Sheet'!C410)</f>
        <v/>
      </c>
      <c r="H4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8" s="31" t="str">
        <f t="shared" si="6"/>
        <v/>
      </c>
      <c r="J4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8" s="31" t="str">
        <f>IF('Input Sheet'!F409=0, "NO",CONCATENATE('Input Sheet'!F409, IF('Input Sheet'!F409&gt;0,"% ","")))</f>
        <v>NO</v>
      </c>
      <c r="L4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8" s="31" t="str">
        <f>CONCATENATE(L408, IF('Input Sheet'!J410="",""," siderite in "))</f>
        <v/>
      </c>
      <c r="N4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8" s="31" t="str">
        <f>CONCATENATE(N408, IF('Input Sheet'!K410="",""," siderite in "))</f>
        <v/>
      </c>
    </row>
    <row r="409" spans="1:15" x14ac:dyDescent="0.35">
      <c r="A409" s="42" t="str">
        <f>IF('Input Sheet'!C411="","",CONCATENATE("Sample ", 'Input Sheet'!B411, "m: ", M409, G409, "% ", "Siltstone, ", O409, 'Input Sheet'!C411, "% ", I409, " Sandstone, ", K409, J409, " FLUOR in SST. ", "TG ", 'Input Sheet'!I411, "U"))</f>
        <v/>
      </c>
      <c r="B409" s="28" t="str">
        <f>IF('Input Sheet'!C411="","",CONCATENATE("Sample ", 'Input Sheet'!B411, "m: ", N409, H409, "% ", "Siltstone, ", P409, 'Input Sheet'!C411, "% ", J409, " Sandstone "))</f>
        <v/>
      </c>
      <c r="C409" s="28" t="str">
        <f>IF('Input Sheet'!C411="","",CONCATENATE("Sample ", 'Input Sheet'!B411, "m: ", M409,, K409, J409, " FLUOR in SST. ", "TG ", 'Input Sheet'!I411, "U"))</f>
        <v/>
      </c>
      <c r="G409" s="31" t="str">
        <f>IF('Input Sheet'!C411="","",100-'Input Sheet'!C411)</f>
        <v/>
      </c>
      <c r="H4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9" s="31" t="str">
        <f t="shared" si="6"/>
        <v/>
      </c>
      <c r="J4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9" s="31" t="str">
        <f>IF('Input Sheet'!F410=0, "NO",CONCATENATE('Input Sheet'!F410, IF('Input Sheet'!F410&gt;0,"% ","")))</f>
        <v>NO</v>
      </c>
      <c r="L4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9" s="31" t="str">
        <f>CONCATENATE(L409, IF('Input Sheet'!J411="",""," siderite in "))</f>
        <v/>
      </c>
      <c r="N4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9" s="31" t="str">
        <f>CONCATENATE(N409, IF('Input Sheet'!K411="",""," siderite in "))</f>
        <v/>
      </c>
    </row>
    <row r="410" spans="1:15" x14ac:dyDescent="0.35">
      <c r="A410" s="42" t="str">
        <f>IF('Input Sheet'!C412="","",CONCATENATE("Sample ", 'Input Sheet'!B412, "m: ", M410, G410, "% ", "Siltstone, ", O410, 'Input Sheet'!C412, "% ", I410, " Sandstone, ", K410, J410, " FLUOR in SST. ", "TG ", 'Input Sheet'!I412, "U"))</f>
        <v/>
      </c>
      <c r="B410" s="28" t="str">
        <f>IF('Input Sheet'!C412="","",CONCATENATE("Sample ", 'Input Sheet'!B412, "m: ", N410, H410, "% ", "Siltstone, ", P410, 'Input Sheet'!C412, "% ", J410, " Sandstone "))</f>
        <v/>
      </c>
      <c r="C410" s="28" t="str">
        <f>IF('Input Sheet'!C412="","",CONCATENATE("Sample ", 'Input Sheet'!B412, "m: ", M410,, K410, J410, " FLUOR in SST. ", "TG ", 'Input Sheet'!I412, "U"))</f>
        <v/>
      </c>
      <c r="G410" s="31" t="str">
        <f>IF('Input Sheet'!C412="","",100-'Input Sheet'!C412)</f>
        <v/>
      </c>
      <c r="H4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0" s="31" t="str">
        <f t="shared" si="6"/>
        <v/>
      </c>
      <c r="J4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0" s="31" t="str">
        <f>IF('Input Sheet'!F411=0, "NO",CONCATENATE('Input Sheet'!F411, IF('Input Sheet'!F411&gt;0,"% ","")))</f>
        <v>NO</v>
      </c>
      <c r="L4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0" s="31" t="str">
        <f>CONCATENATE(L410, IF('Input Sheet'!J412="",""," siderite in "))</f>
        <v/>
      </c>
      <c r="N4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0" s="31" t="str">
        <f>CONCATENATE(N410, IF('Input Sheet'!K412="",""," siderite in "))</f>
        <v/>
      </c>
    </row>
    <row r="411" spans="1:15" x14ac:dyDescent="0.35">
      <c r="A411" s="42" t="str">
        <f>IF('Input Sheet'!C413="","",CONCATENATE("Sample ", 'Input Sheet'!B413, "m: ", M411, G411, "% ", "Siltstone, ", O411, 'Input Sheet'!C413, "% ", I411, " Sandstone, ", K411, J411, " FLUOR in SST. ", "TG ", 'Input Sheet'!I413, "U"))</f>
        <v/>
      </c>
      <c r="B411" s="28" t="str">
        <f>IF('Input Sheet'!C413="","",CONCATENATE("Sample ", 'Input Sheet'!B413, "m: ", N411, H411, "% ", "Siltstone, ", P411, 'Input Sheet'!C413, "% ", J411, " Sandstone "))</f>
        <v/>
      </c>
      <c r="C411" s="28" t="str">
        <f>IF('Input Sheet'!C413="","",CONCATENATE("Sample ", 'Input Sheet'!B413, "m: ", M411,, K411, J411, " FLUOR in SST. ", "TG ", 'Input Sheet'!I413, "U"))</f>
        <v/>
      </c>
      <c r="G411" s="31" t="str">
        <f>IF('Input Sheet'!C413="","",100-'Input Sheet'!C413)</f>
        <v/>
      </c>
      <c r="H4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1" s="31" t="str">
        <f t="shared" si="6"/>
        <v/>
      </c>
      <c r="J4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1" s="31" t="str">
        <f>IF('Input Sheet'!F412=0, "NO",CONCATENATE('Input Sheet'!F412, IF('Input Sheet'!F412&gt;0,"% ","")))</f>
        <v>NO</v>
      </c>
      <c r="L4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1" s="31" t="str">
        <f>CONCATENATE(L411, IF('Input Sheet'!J413="",""," siderite in "))</f>
        <v/>
      </c>
      <c r="N4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1" s="31" t="str">
        <f>CONCATENATE(N411, IF('Input Sheet'!K413="",""," siderite in "))</f>
        <v/>
      </c>
    </row>
    <row r="412" spans="1:15" x14ac:dyDescent="0.35">
      <c r="A412" s="42" t="str">
        <f>IF('Input Sheet'!C414="","",CONCATENATE("Sample ", 'Input Sheet'!B414, "m: ", M412, G412, "% ", "Siltstone, ", O412, 'Input Sheet'!C414, "% ", I412, " Sandstone, ", K412, J412, " FLUOR in SST. ", "TG ", 'Input Sheet'!I414, "U"))</f>
        <v/>
      </c>
      <c r="B412" s="28" t="str">
        <f>IF('Input Sheet'!C414="","",CONCATENATE("Sample ", 'Input Sheet'!B414, "m: ", N412, H412, "% ", "Siltstone, ", P412, 'Input Sheet'!C414, "% ", J412, " Sandstone "))</f>
        <v/>
      </c>
      <c r="C412" s="28" t="str">
        <f>IF('Input Sheet'!C414="","",CONCATENATE("Sample ", 'Input Sheet'!B414, "m: ", M412,, K412, J412, " FLUOR in SST. ", "TG ", 'Input Sheet'!I414, "U"))</f>
        <v/>
      </c>
      <c r="G412" s="31" t="str">
        <f>IF('Input Sheet'!C414="","",100-'Input Sheet'!C414)</f>
        <v/>
      </c>
      <c r="H4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2" s="31" t="str">
        <f t="shared" si="6"/>
        <v/>
      </c>
      <c r="J4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2" s="31" t="str">
        <f>IF('Input Sheet'!F413=0, "NO",CONCATENATE('Input Sheet'!F413, IF('Input Sheet'!F413&gt;0,"% ","")))</f>
        <v>NO</v>
      </c>
      <c r="L4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2" s="31" t="str">
        <f>CONCATENATE(L412, IF('Input Sheet'!J414="",""," siderite in "))</f>
        <v/>
      </c>
      <c r="N4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2" s="31" t="str">
        <f>CONCATENATE(N412, IF('Input Sheet'!K414="",""," siderite in "))</f>
        <v/>
      </c>
    </row>
    <row r="413" spans="1:15" x14ac:dyDescent="0.35">
      <c r="A413" s="42" t="str">
        <f>IF('Input Sheet'!C415="","",CONCATENATE("Sample ", 'Input Sheet'!B415, "m: ", M413, G413, "% ", "Siltstone, ", O413, 'Input Sheet'!C415, "% ", I413, " Sandstone, ", K413, J413, " FLUOR in SST. ", "TG ", 'Input Sheet'!I415, "U"))</f>
        <v/>
      </c>
      <c r="B413" s="28" t="str">
        <f>IF('Input Sheet'!C415="","",CONCATENATE("Sample ", 'Input Sheet'!B415, "m: ", N413, H413, "% ", "Siltstone, ", P413, 'Input Sheet'!C415, "% ", J413, " Sandstone "))</f>
        <v/>
      </c>
      <c r="C413" s="28" t="str">
        <f>IF('Input Sheet'!C415="","",CONCATENATE("Sample ", 'Input Sheet'!B415, "m: ", M413,, K413, J413, " FLUOR in SST. ", "TG ", 'Input Sheet'!I415, "U"))</f>
        <v/>
      </c>
      <c r="G413" s="31" t="str">
        <f>IF('Input Sheet'!C415="","",100-'Input Sheet'!C415)</f>
        <v/>
      </c>
      <c r="H4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3" s="31" t="str">
        <f t="shared" si="6"/>
        <v/>
      </c>
      <c r="J4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3" s="31" t="str">
        <f>IF('Input Sheet'!F414=0, "NO",CONCATENATE('Input Sheet'!F414, IF('Input Sheet'!F414&gt;0,"% ","")))</f>
        <v>NO</v>
      </c>
      <c r="L4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3" s="31" t="str">
        <f>CONCATENATE(L413, IF('Input Sheet'!J415="",""," siderite in "))</f>
        <v/>
      </c>
      <c r="N4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3" s="31" t="str">
        <f>CONCATENATE(N413, IF('Input Sheet'!K415="",""," siderite in "))</f>
        <v/>
      </c>
    </row>
    <row r="414" spans="1:15" x14ac:dyDescent="0.35">
      <c r="A414" s="42" t="str">
        <f>IF('Input Sheet'!C416="","",CONCATENATE("Sample ", 'Input Sheet'!B416, "m: ", M414, G414, "% ", "Siltstone, ", O414, 'Input Sheet'!C416, "% ", I414, " Sandstone, ", K414, J414, " FLUOR in SST. ", "TG ", 'Input Sheet'!I416, "U"))</f>
        <v/>
      </c>
      <c r="B414" s="28" t="str">
        <f>IF('Input Sheet'!C416="","",CONCATENATE("Sample ", 'Input Sheet'!B416, "m: ", N414, H414, "% ", "Siltstone, ", P414, 'Input Sheet'!C416, "% ", J414, " Sandstone "))</f>
        <v/>
      </c>
      <c r="C414" s="28" t="str">
        <f>IF('Input Sheet'!C416="","",CONCATENATE("Sample ", 'Input Sheet'!B416, "m: ", M414,, K414, J414, " FLUOR in SST. ", "TG ", 'Input Sheet'!I416, "U"))</f>
        <v/>
      </c>
      <c r="G414" s="31" t="str">
        <f>IF('Input Sheet'!C416="","",100-'Input Sheet'!C416)</f>
        <v/>
      </c>
      <c r="H4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4" s="31" t="str">
        <f t="shared" si="6"/>
        <v/>
      </c>
      <c r="J4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4" s="31" t="str">
        <f>IF('Input Sheet'!F415=0, "NO",CONCATENATE('Input Sheet'!F415, IF('Input Sheet'!F415&gt;0,"% ","")))</f>
        <v>NO</v>
      </c>
      <c r="L4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4" s="31" t="str">
        <f>CONCATENATE(L414, IF('Input Sheet'!J416="",""," siderite in "))</f>
        <v/>
      </c>
      <c r="N4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4" s="31" t="str">
        <f>CONCATENATE(N414, IF('Input Sheet'!K416="",""," siderite in "))</f>
        <v/>
      </c>
    </row>
    <row r="415" spans="1:15" x14ac:dyDescent="0.35">
      <c r="A415" s="42" t="str">
        <f>IF('Input Sheet'!C417="","",CONCATENATE("Sample ", 'Input Sheet'!B417, "m: ", M415, G415, "% ", "Siltstone, ", O415, 'Input Sheet'!C417, "% ", I415, " Sandstone, ", K415, J415, " FLUOR in SST. ", "TG ", 'Input Sheet'!I417, "U"))</f>
        <v/>
      </c>
      <c r="B415" s="28" t="str">
        <f>IF('Input Sheet'!C417="","",CONCATENATE("Sample ", 'Input Sheet'!B417, "m: ", N415, H415, "% ", "Siltstone, ", P415, 'Input Sheet'!C417, "% ", J415, " Sandstone "))</f>
        <v/>
      </c>
      <c r="C415" s="28" t="str">
        <f>IF('Input Sheet'!C417="","",CONCATENATE("Sample ", 'Input Sheet'!B417, "m: ", M415,, K415, J415, " FLUOR in SST. ", "TG ", 'Input Sheet'!I417, "U"))</f>
        <v/>
      </c>
      <c r="G415" s="31" t="str">
        <f>IF('Input Sheet'!C417="","",100-'Input Sheet'!C417)</f>
        <v/>
      </c>
      <c r="H4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5" s="31" t="str">
        <f t="shared" si="6"/>
        <v/>
      </c>
      <c r="J4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5" s="31" t="str">
        <f>IF('Input Sheet'!F416=0, "NO",CONCATENATE('Input Sheet'!F416, IF('Input Sheet'!F416&gt;0,"% ","")))</f>
        <v>NO</v>
      </c>
      <c r="L4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5" s="31" t="str">
        <f>CONCATENATE(L415, IF('Input Sheet'!J417="",""," siderite in "))</f>
        <v/>
      </c>
      <c r="N4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5" s="31" t="str">
        <f>CONCATENATE(N415, IF('Input Sheet'!K417="",""," siderite in "))</f>
        <v/>
      </c>
    </row>
    <row r="416" spans="1:15" x14ac:dyDescent="0.35">
      <c r="A416" s="42" t="str">
        <f>IF('Input Sheet'!C418="","",CONCATENATE("Sample ", 'Input Sheet'!B418, "m: ", M416, G416, "% ", "Siltstone, ", O416, 'Input Sheet'!C418, "% ", I416, " Sandstone, ", K416, J416, " FLUOR in SST. ", "TG ", 'Input Sheet'!I418, "U"))</f>
        <v/>
      </c>
      <c r="B416" s="28" t="str">
        <f>IF('Input Sheet'!C418="","",CONCATENATE("Sample ", 'Input Sheet'!B418, "m: ", N416, H416, "% ", "Siltstone, ", P416, 'Input Sheet'!C418, "% ", J416, " Sandstone "))</f>
        <v/>
      </c>
      <c r="C416" s="28" t="str">
        <f>IF('Input Sheet'!C418="","",CONCATENATE("Sample ", 'Input Sheet'!B418, "m: ", M416,, K416, J416, " FLUOR in SST. ", "TG ", 'Input Sheet'!I418, "U"))</f>
        <v/>
      </c>
      <c r="G416" s="31" t="str">
        <f>IF('Input Sheet'!C418="","",100-'Input Sheet'!C418)</f>
        <v/>
      </c>
      <c r="H4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6" s="31" t="str">
        <f t="shared" si="6"/>
        <v/>
      </c>
      <c r="J4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6" s="31" t="str">
        <f>IF('Input Sheet'!F417=0, "NO",CONCATENATE('Input Sheet'!F417, IF('Input Sheet'!F417&gt;0,"% ","")))</f>
        <v>NO</v>
      </c>
      <c r="L4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6" s="31" t="str">
        <f>CONCATENATE(L416, IF('Input Sheet'!J418="",""," siderite in "))</f>
        <v/>
      </c>
      <c r="N4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6" s="31" t="str">
        <f>CONCATENATE(N416, IF('Input Sheet'!K418="",""," siderite in "))</f>
        <v/>
      </c>
    </row>
    <row r="417" spans="1:15" x14ac:dyDescent="0.35">
      <c r="A417" s="42" t="str">
        <f>IF('Input Sheet'!C419="","",CONCATENATE("Sample ", 'Input Sheet'!B419, "m: ", M417, G417, "% ", "Siltstone, ", O417, 'Input Sheet'!C419, "% ", I417, " Sandstone, ", K417, J417, " FLUOR in SST. ", "TG ", 'Input Sheet'!I419, "U"))</f>
        <v/>
      </c>
      <c r="B417" s="28" t="str">
        <f>IF('Input Sheet'!C419="","",CONCATENATE("Sample ", 'Input Sheet'!B419, "m: ", N417, H417, "% ", "Siltstone, ", P417, 'Input Sheet'!C419, "% ", J417, " Sandstone "))</f>
        <v/>
      </c>
      <c r="C417" s="28" t="str">
        <f>IF('Input Sheet'!C419="","",CONCATENATE("Sample ", 'Input Sheet'!B419, "m: ", M417,, K417, J417, " FLUOR in SST. ", "TG ", 'Input Sheet'!I419, "U"))</f>
        <v/>
      </c>
      <c r="G417" s="31" t="str">
        <f>IF('Input Sheet'!C419="","",100-'Input Sheet'!C419)</f>
        <v/>
      </c>
      <c r="H4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7" s="31" t="str">
        <f t="shared" si="6"/>
        <v/>
      </c>
      <c r="J4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7" s="31" t="str">
        <f>IF('Input Sheet'!F418=0, "NO",CONCATENATE('Input Sheet'!F418, IF('Input Sheet'!F418&gt;0,"% ","")))</f>
        <v>NO</v>
      </c>
      <c r="L4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7" s="31" t="str">
        <f>CONCATENATE(L417, IF('Input Sheet'!J419="",""," siderite in "))</f>
        <v/>
      </c>
      <c r="N4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7" s="31" t="str">
        <f>CONCATENATE(N417, IF('Input Sheet'!K419="",""," siderite in "))</f>
        <v/>
      </c>
    </row>
    <row r="418" spans="1:15" x14ac:dyDescent="0.35">
      <c r="A418" s="42" t="str">
        <f>IF('Input Sheet'!C420="","",CONCATENATE("Sample ", 'Input Sheet'!B420, "m: ", M418, G418, "% ", "Siltstone, ", O418, 'Input Sheet'!C420, "% ", I418, " Sandstone, ", K418, J418, " FLUOR in SST. ", "TG ", 'Input Sheet'!I420, "U"))</f>
        <v/>
      </c>
      <c r="B418" s="28" t="str">
        <f>IF('Input Sheet'!C420="","",CONCATENATE("Sample ", 'Input Sheet'!B420, "m: ", N418, H418, "% ", "Siltstone, ", P418, 'Input Sheet'!C420, "% ", J418, " Sandstone "))</f>
        <v/>
      </c>
      <c r="C418" s="28" t="str">
        <f>IF('Input Sheet'!C420="","",CONCATENATE("Sample ", 'Input Sheet'!B420, "m: ", M418,, K418, J418, " FLUOR in SST. ", "TG ", 'Input Sheet'!I420, "U"))</f>
        <v/>
      </c>
      <c r="G418" s="31" t="str">
        <f>IF('Input Sheet'!C420="","",100-'Input Sheet'!C420)</f>
        <v/>
      </c>
      <c r="H4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8" s="31" t="str">
        <f t="shared" si="6"/>
        <v/>
      </c>
      <c r="J4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8" s="31" t="str">
        <f>IF('Input Sheet'!F419=0, "NO",CONCATENATE('Input Sheet'!F419, IF('Input Sheet'!F419&gt;0,"% ","")))</f>
        <v>NO</v>
      </c>
      <c r="L4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8" s="31" t="str">
        <f>CONCATENATE(L418, IF('Input Sheet'!J420="",""," siderite in "))</f>
        <v/>
      </c>
      <c r="N4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8" s="31" t="str">
        <f>CONCATENATE(N418, IF('Input Sheet'!K420="",""," siderite in "))</f>
        <v/>
      </c>
    </row>
    <row r="419" spans="1:15" x14ac:dyDescent="0.35">
      <c r="A419" s="42" t="str">
        <f>IF('Input Sheet'!C421="","",CONCATENATE("Sample ", 'Input Sheet'!B421, "m: ", M419, G419, "% ", "Siltstone, ", O419, 'Input Sheet'!C421, "% ", I419, " Sandstone, ", K419, J419, " FLUOR in SST. ", "TG ", 'Input Sheet'!I421, "U"))</f>
        <v/>
      </c>
      <c r="B419" s="28" t="str">
        <f>IF('Input Sheet'!C421="","",CONCATENATE("Sample ", 'Input Sheet'!B421, "m: ", N419, H419, "% ", "Siltstone, ", P419, 'Input Sheet'!C421, "% ", J419, " Sandstone "))</f>
        <v/>
      </c>
      <c r="C419" s="28" t="str">
        <f>IF('Input Sheet'!C421="","",CONCATENATE("Sample ", 'Input Sheet'!B421, "m: ", M419,, K419, J419, " FLUOR in SST. ", "TG ", 'Input Sheet'!I421, "U"))</f>
        <v/>
      </c>
      <c r="G419" s="31" t="str">
        <f>IF('Input Sheet'!C421="","",100-'Input Sheet'!C421)</f>
        <v/>
      </c>
      <c r="H4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9" s="31" t="str">
        <f t="shared" si="6"/>
        <v/>
      </c>
      <c r="J4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9" s="31" t="str">
        <f>IF('Input Sheet'!F420=0, "NO",CONCATENATE('Input Sheet'!F420, IF('Input Sheet'!F420&gt;0,"% ","")))</f>
        <v>NO</v>
      </c>
      <c r="L4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9" s="31" t="str">
        <f>CONCATENATE(L419, IF('Input Sheet'!J421="",""," siderite in "))</f>
        <v/>
      </c>
      <c r="N4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9" s="31" t="str">
        <f>CONCATENATE(N419, IF('Input Sheet'!K421="",""," siderite in "))</f>
        <v/>
      </c>
    </row>
    <row r="420" spans="1:15" x14ac:dyDescent="0.35">
      <c r="A420" s="42" t="str">
        <f>IF('Input Sheet'!C422="","",CONCATENATE("Sample ", 'Input Sheet'!B422, "m: ", M420, G420, "% ", "Siltstone, ", O420, 'Input Sheet'!C422, "% ", I420, " Sandstone, ", K420, J420, " FLUOR in SST. ", "TG ", 'Input Sheet'!I422, "U"))</f>
        <v/>
      </c>
      <c r="B420" s="28" t="str">
        <f>IF('Input Sheet'!C422="","",CONCATENATE("Sample ", 'Input Sheet'!B422, "m: ", N420, H420, "% ", "Siltstone, ", P420, 'Input Sheet'!C422, "% ", J420, " Sandstone "))</f>
        <v/>
      </c>
      <c r="C420" s="28" t="str">
        <f>IF('Input Sheet'!C422="","",CONCATENATE("Sample ", 'Input Sheet'!B422, "m: ", M420,, K420, J420, " FLUOR in SST. ", "TG ", 'Input Sheet'!I422, "U"))</f>
        <v/>
      </c>
      <c r="G420" s="31" t="str">
        <f>IF('Input Sheet'!C422="","",100-'Input Sheet'!C422)</f>
        <v/>
      </c>
      <c r="H4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0" s="31" t="str">
        <f t="shared" si="6"/>
        <v/>
      </c>
      <c r="J4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0" s="31" t="str">
        <f>IF('Input Sheet'!F421=0, "NO",CONCATENATE('Input Sheet'!F421, IF('Input Sheet'!F421&gt;0,"% ","")))</f>
        <v>NO</v>
      </c>
      <c r="L4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0" s="31" t="str">
        <f>CONCATENATE(L420, IF('Input Sheet'!J422="",""," siderite in "))</f>
        <v/>
      </c>
      <c r="N4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0" s="31" t="str">
        <f>CONCATENATE(N420, IF('Input Sheet'!K422="",""," siderite in "))</f>
        <v/>
      </c>
    </row>
    <row r="421" spans="1:15" x14ac:dyDescent="0.35">
      <c r="A421" s="42" t="str">
        <f>IF('Input Sheet'!C423="","",CONCATENATE("Sample ", 'Input Sheet'!B423, "m: ", M421, G421, "% ", "Siltstone, ", O421, 'Input Sheet'!C423, "% ", I421, " Sandstone, ", K421, J421, " FLUOR in SST. ", "TG ", 'Input Sheet'!I423, "U"))</f>
        <v/>
      </c>
      <c r="B421" s="28" t="str">
        <f>IF('Input Sheet'!C423="","",CONCATENATE("Sample ", 'Input Sheet'!B423, "m: ", N421, H421, "% ", "Siltstone, ", P421, 'Input Sheet'!C423, "% ", J421, " Sandstone "))</f>
        <v/>
      </c>
      <c r="C421" s="28" t="str">
        <f>IF('Input Sheet'!C423="","",CONCATENATE("Sample ", 'Input Sheet'!B423, "m: ", M421,, K421, J421, " FLUOR in SST. ", "TG ", 'Input Sheet'!I423, "U"))</f>
        <v/>
      </c>
      <c r="G421" s="31" t="str">
        <f>IF('Input Sheet'!C423="","",100-'Input Sheet'!C423)</f>
        <v/>
      </c>
      <c r="H4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1" s="31" t="str">
        <f t="shared" si="6"/>
        <v/>
      </c>
      <c r="J4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1" s="31" t="str">
        <f>IF('Input Sheet'!F422=0, "NO",CONCATENATE('Input Sheet'!F422, IF('Input Sheet'!F422&gt;0,"% ","")))</f>
        <v>NO</v>
      </c>
      <c r="L4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1" s="31" t="str">
        <f>CONCATENATE(L421, IF('Input Sheet'!J423="",""," siderite in "))</f>
        <v/>
      </c>
      <c r="N4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1" s="31" t="str">
        <f>CONCATENATE(N421, IF('Input Sheet'!K423="",""," siderite in "))</f>
        <v/>
      </c>
    </row>
    <row r="422" spans="1:15" x14ac:dyDescent="0.35">
      <c r="A422" s="42" t="str">
        <f>IF('Input Sheet'!C424="","",CONCATENATE("Sample ", 'Input Sheet'!B424, "m: ", M422, G422, "% ", "Siltstone, ", O422, 'Input Sheet'!C424, "% ", I422, " Sandstone, ", K422, J422, " FLUOR in SST. ", "TG ", 'Input Sheet'!I424, "U"))</f>
        <v/>
      </c>
      <c r="B422" s="28" t="str">
        <f>IF('Input Sheet'!C424="","",CONCATENATE("Sample ", 'Input Sheet'!B424, "m: ", N422, H422, "% ", "Siltstone, ", P422, 'Input Sheet'!C424, "% ", J422, " Sandstone "))</f>
        <v/>
      </c>
      <c r="C422" s="28" t="str">
        <f>IF('Input Sheet'!C424="","",CONCATENATE("Sample ", 'Input Sheet'!B424, "m: ", M422,, K422, J422, " FLUOR in SST. ", "TG ", 'Input Sheet'!I424, "U"))</f>
        <v/>
      </c>
      <c r="G422" s="31" t="str">
        <f>IF('Input Sheet'!C424="","",100-'Input Sheet'!C424)</f>
        <v/>
      </c>
      <c r="H4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2" s="31" t="str">
        <f t="shared" si="6"/>
        <v/>
      </c>
      <c r="J4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2" s="31" t="str">
        <f>IF('Input Sheet'!F423=0, "NO",CONCATENATE('Input Sheet'!F423, IF('Input Sheet'!F423&gt;0,"% ","")))</f>
        <v>NO</v>
      </c>
      <c r="L4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2" s="31" t="str">
        <f>CONCATENATE(L422, IF('Input Sheet'!J424="",""," siderite in "))</f>
        <v/>
      </c>
      <c r="N4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2" s="31" t="str">
        <f>CONCATENATE(N422, IF('Input Sheet'!K424="",""," siderite in "))</f>
        <v/>
      </c>
    </row>
    <row r="423" spans="1:15" x14ac:dyDescent="0.35">
      <c r="A423" s="42" t="str">
        <f>IF('Input Sheet'!C425="","",CONCATENATE("Sample ", 'Input Sheet'!B425, "m: ", M423, G423, "% ", "Siltstone, ", O423, 'Input Sheet'!C425, "% ", I423, " Sandstone, ", K423, J423, " FLUOR in SST. ", "TG ", 'Input Sheet'!I425, "U"))</f>
        <v/>
      </c>
      <c r="B423" s="28" t="str">
        <f>IF('Input Sheet'!C425="","",CONCATENATE("Sample ", 'Input Sheet'!B425, "m: ", N423, H423, "% ", "Siltstone, ", P423, 'Input Sheet'!C425, "% ", J423, " Sandstone "))</f>
        <v/>
      </c>
      <c r="C423" s="28" t="str">
        <f>IF('Input Sheet'!C425="","",CONCATENATE("Sample ", 'Input Sheet'!B425, "m: ", M423,, K423, J423, " FLUOR in SST. ", "TG ", 'Input Sheet'!I425, "U"))</f>
        <v/>
      </c>
      <c r="G423" s="31" t="str">
        <f>IF('Input Sheet'!C425="","",100-'Input Sheet'!C425)</f>
        <v/>
      </c>
      <c r="H4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3" s="31" t="str">
        <f t="shared" si="6"/>
        <v/>
      </c>
      <c r="J4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3" s="31" t="str">
        <f>IF('Input Sheet'!F424=0, "NO",CONCATENATE('Input Sheet'!F424, IF('Input Sheet'!F424&gt;0,"% ","")))</f>
        <v>NO</v>
      </c>
      <c r="L4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3" s="31" t="str">
        <f>CONCATENATE(L423, IF('Input Sheet'!J425="",""," siderite in "))</f>
        <v/>
      </c>
      <c r="N4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3" s="31" t="str">
        <f>CONCATENATE(N423, IF('Input Sheet'!K425="",""," siderite in "))</f>
        <v/>
      </c>
    </row>
    <row r="424" spans="1:15" x14ac:dyDescent="0.35">
      <c r="A424" s="42" t="str">
        <f>IF('Input Sheet'!C426="","",CONCATENATE("Sample ", 'Input Sheet'!B426, "m: ", M424, G424, "% ", "Siltstone, ", O424, 'Input Sheet'!C426, "% ", I424, " Sandstone, ", K424, J424, " FLUOR in SST. ", "TG ", 'Input Sheet'!I426, "U"))</f>
        <v/>
      </c>
      <c r="B424" s="28" t="str">
        <f>IF('Input Sheet'!C426="","",CONCATENATE("Sample ", 'Input Sheet'!B426, "m: ", N424, H424, "% ", "Siltstone, ", P424, 'Input Sheet'!C426, "% ", J424, " Sandstone "))</f>
        <v/>
      </c>
      <c r="C424" s="28" t="str">
        <f>IF('Input Sheet'!C426="","",CONCATENATE("Sample ", 'Input Sheet'!B426, "m: ", M424,, K424, J424, " FLUOR in SST. ", "TG ", 'Input Sheet'!I426, "U"))</f>
        <v/>
      </c>
      <c r="G424" s="31" t="str">
        <f>IF('Input Sheet'!C426="","",100-'Input Sheet'!C426)</f>
        <v/>
      </c>
      <c r="H4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4" s="31" t="str">
        <f t="shared" si="6"/>
        <v/>
      </c>
      <c r="J4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4" s="31" t="str">
        <f>IF('Input Sheet'!F425=0, "NO",CONCATENATE('Input Sheet'!F425, IF('Input Sheet'!F425&gt;0,"% ","")))</f>
        <v>NO</v>
      </c>
      <c r="L4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4" s="31" t="str">
        <f>CONCATENATE(L424, IF('Input Sheet'!J426="",""," siderite in "))</f>
        <v/>
      </c>
      <c r="N4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4" s="31" t="str">
        <f>CONCATENATE(N424, IF('Input Sheet'!K426="",""," siderite in "))</f>
        <v/>
      </c>
    </row>
    <row r="425" spans="1:15" x14ac:dyDescent="0.35">
      <c r="A425" s="42" t="str">
        <f>IF('Input Sheet'!C427="","",CONCATENATE("Sample ", 'Input Sheet'!B427, "m: ", M425, G425, "% ", "Siltstone, ", O425, 'Input Sheet'!C427, "% ", I425, " Sandstone, ", K425, J425, " FLUOR in SST. ", "TG ", 'Input Sheet'!I427, "U"))</f>
        <v/>
      </c>
      <c r="B425" s="28" t="str">
        <f>IF('Input Sheet'!C427="","",CONCATENATE("Sample ", 'Input Sheet'!B427, "m: ", N425, H425, "% ", "Siltstone, ", P425, 'Input Sheet'!C427, "% ", J425, " Sandstone "))</f>
        <v/>
      </c>
      <c r="C425" s="28" t="str">
        <f>IF('Input Sheet'!C427="","",CONCATENATE("Sample ", 'Input Sheet'!B427, "m: ", M425,, K425, J425, " FLUOR in SST. ", "TG ", 'Input Sheet'!I427, "U"))</f>
        <v/>
      </c>
      <c r="G425" s="31" t="str">
        <f>IF('Input Sheet'!C427="","",100-'Input Sheet'!C427)</f>
        <v/>
      </c>
      <c r="H4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5" s="31" t="str">
        <f t="shared" si="6"/>
        <v/>
      </c>
      <c r="J4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5" s="31" t="str">
        <f>IF('Input Sheet'!F426=0, "NO",CONCATENATE('Input Sheet'!F426, IF('Input Sheet'!F426&gt;0,"% ","")))</f>
        <v>NO</v>
      </c>
      <c r="L4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5" s="31" t="str">
        <f>CONCATENATE(L425, IF('Input Sheet'!J427="",""," siderite in "))</f>
        <v/>
      </c>
      <c r="N4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5" s="31" t="str">
        <f>CONCATENATE(N425, IF('Input Sheet'!K427="",""," siderite in "))</f>
        <v/>
      </c>
    </row>
    <row r="426" spans="1:15" x14ac:dyDescent="0.35">
      <c r="A426" s="42" t="str">
        <f>IF('Input Sheet'!C428="","",CONCATENATE("Sample ", 'Input Sheet'!B428, "m: ", M426, G426, "% ", "Siltstone, ", O426, 'Input Sheet'!C428, "% ", I426, " Sandstone, ", K426, J426, " FLUOR in SST. ", "TG ", 'Input Sheet'!I428, "U"))</f>
        <v/>
      </c>
      <c r="B426" s="28" t="str">
        <f>IF('Input Sheet'!C428="","",CONCATENATE("Sample ", 'Input Sheet'!B428, "m: ", N426, H426, "% ", "Siltstone, ", P426, 'Input Sheet'!C428, "% ", J426, " Sandstone "))</f>
        <v/>
      </c>
      <c r="C426" s="28" t="str">
        <f>IF('Input Sheet'!C428="","",CONCATENATE("Sample ", 'Input Sheet'!B428, "m: ", M426,, K426, J426, " FLUOR in SST. ", "TG ", 'Input Sheet'!I428, "U"))</f>
        <v/>
      </c>
      <c r="G426" s="31" t="str">
        <f>IF('Input Sheet'!C428="","",100-'Input Sheet'!C428)</f>
        <v/>
      </c>
      <c r="H4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6" s="31" t="str">
        <f t="shared" si="6"/>
        <v/>
      </c>
      <c r="J4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6" s="31" t="str">
        <f>IF('Input Sheet'!F427=0, "NO",CONCATENATE('Input Sheet'!F427, IF('Input Sheet'!F427&gt;0,"% ","")))</f>
        <v>NO</v>
      </c>
      <c r="L4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6" s="31" t="str">
        <f>CONCATENATE(L426, IF('Input Sheet'!J428="",""," siderite in "))</f>
        <v/>
      </c>
      <c r="N4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6" s="31" t="str">
        <f>CONCATENATE(N426, IF('Input Sheet'!K428="",""," siderite in "))</f>
        <v/>
      </c>
    </row>
    <row r="427" spans="1:15" x14ac:dyDescent="0.35">
      <c r="A427" s="42" t="str">
        <f>IF('Input Sheet'!C429="","",CONCATENATE("Sample ", 'Input Sheet'!B429, "m: ", M427, G427, "% ", "Siltstone, ", O427, 'Input Sheet'!C429, "% ", I427, " Sandstone, ", K427, J427, " FLUOR in SST. ", "TG ", 'Input Sheet'!I429, "U"))</f>
        <v/>
      </c>
      <c r="B427" s="28" t="str">
        <f>IF('Input Sheet'!C429="","",CONCATENATE("Sample ", 'Input Sheet'!B429, "m: ", N427, H427, "% ", "Siltstone, ", P427, 'Input Sheet'!C429, "% ", J427, " Sandstone "))</f>
        <v/>
      </c>
      <c r="C427" s="28" t="str">
        <f>IF('Input Sheet'!C429="","",CONCATENATE("Sample ", 'Input Sheet'!B429, "m: ", M427,, K427, J427, " FLUOR in SST. ", "TG ", 'Input Sheet'!I429, "U"))</f>
        <v/>
      </c>
      <c r="G427" s="31" t="str">
        <f>IF('Input Sheet'!C429="","",100-'Input Sheet'!C429)</f>
        <v/>
      </c>
      <c r="H4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7" s="31" t="str">
        <f t="shared" si="6"/>
        <v/>
      </c>
      <c r="J4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7" s="31" t="str">
        <f>IF('Input Sheet'!F428=0, "NO",CONCATENATE('Input Sheet'!F428, IF('Input Sheet'!F428&gt;0,"% ","")))</f>
        <v>NO</v>
      </c>
      <c r="L4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7" s="31" t="str">
        <f>CONCATENATE(L427, IF('Input Sheet'!J429="",""," siderite in "))</f>
        <v/>
      </c>
      <c r="N4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7" s="31" t="str">
        <f>CONCATENATE(N427, IF('Input Sheet'!K429="",""," siderite in "))</f>
        <v/>
      </c>
    </row>
    <row r="428" spans="1:15" x14ac:dyDescent="0.35">
      <c r="A428" s="42" t="str">
        <f>IF('Input Sheet'!C430="","",CONCATENATE("Sample ", 'Input Sheet'!B430, "m: ", M428, G428, "% ", "Siltstone, ", O428, 'Input Sheet'!C430, "% ", I428, " Sandstone, ", K428, J428, " FLUOR in SST. ", "TG ", 'Input Sheet'!I430, "U"))</f>
        <v/>
      </c>
      <c r="B428" s="28" t="str">
        <f>IF('Input Sheet'!C430="","",CONCATENATE("Sample ", 'Input Sheet'!B430, "m: ", N428, H428, "% ", "Siltstone, ", P428, 'Input Sheet'!C430, "% ", J428, " Sandstone "))</f>
        <v/>
      </c>
      <c r="C428" s="28" t="str">
        <f>IF('Input Sheet'!C430="","",CONCATENATE("Sample ", 'Input Sheet'!B430, "m: ", M428,, K428, J428, " FLUOR in SST. ", "TG ", 'Input Sheet'!I430, "U"))</f>
        <v/>
      </c>
      <c r="G428" s="31" t="str">
        <f>IF('Input Sheet'!C430="","",100-'Input Sheet'!C430)</f>
        <v/>
      </c>
      <c r="H4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8" s="31" t="str">
        <f t="shared" si="6"/>
        <v/>
      </c>
      <c r="J4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8" s="31" t="str">
        <f>IF('Input Sheet'!F429=0, "NO",CONCATENATE('Input Sheet'!F429, IF('Input Sheet'!F429&gt;0,"% ","")))</f>
        <v>NO</v>
      </c>
      <c r="L4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8" s="31" t="str">
        <f>CONCATENATE(L428, IF('Input Sheet'!J430="",""," siderite in "))</f>
        <v/>
      </c>
      <c r="N4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8" s="31" t="str">
        <f>CONCATENATE(N428, IF('Input Sheet'!K430="",""," siderite in "))</f>
        <v/>
      </c>
    </row>
    <row r="429" spans="1:15" x14ac:dyDescent="0.35">
      <c r="A429" s="42" t="str">
        <f>IF('Input Sheet'!C431="","",CONCATENATE("Sample ", 'Input Sheet'!B431, "m: ", M429, G429, "% ", "Siltstone, ", O429, 'Input Sheet'!C431, "% ", I429, " Sandstone, ", K429, J429, " FLUOR in SST. ", "TG ", 'Input Sheet'!I431, "U"))</f>
        <v/>
      </c>
      <c r="B429" s="28" t="str">
        <f>IF('Input Sheet'!C431="","",CONCATENATE("Sample ", 'Input Sheet'!B431, "m: ", N429, H429, "% ", "Siltstone, ", P429, 'Input Sheet'!C431, "% ", J429, " Sandstone "))</f>
        <v/>
      </c>
      <c r="C429" s="28" t="str">
        <f>IF('Input Sheet'!C431="","",CONCATENATE("Sample ", 'Input Sheet'!B431, "m: ", M429,, K429, J429, " FLUOR in SST. ", "TG ", 'Input Sheet'!I431, "U"))</f>
        <v/>
      </c>
      <c r="G429" s="31" t="str">
        <f>IF('Input Sheet'!C431="","",100-'Input Sheet'!C431)</f>
        <v/>
      </c>
      <c r="H4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9" s="31" t="str">
        <f t="shared" si="6"/>
        <v/>
      </c>
      <c r="J4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9" s="31" t="str">
        <f>IF('Input Sheet'!F430=0, "NO",CONCATENATE('Input Sheet'!F430, IF('Input Sheet'!F430&gt;0,"% ","")))</f>
        <v>NO</v>
      </c>
      <c r="L4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9" s="31" t="str">
        <f>CONCATENATE(L429, IF('Input Sheet'!J431="",""," siderite in "))</f>
        <v/>
      </c>
      <c r="N4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9" s="31" t="str">
        <f>CONCATENATE(N429, IF('Input Sheet'!K431="",""," siderite in "))</f>
        <v/>
      </c>
    </row>
    <row r="430" spans="1:15" x14ac:dyDescent="0.35">
      <c r="A430" s="42" t="str">
        <f>IF('Input Sheet'!C432="","",CONCATENATE("Sample ", 'Input Sheet'!B432, "m: ", M430, G430, "% ", "Siltstone, ", O430, 'Input Sheet'!C432, "% ", I430, " Sandstone, ", K430, J430, " FLUOR in SST. ", "TG ", 'Input Sheet'!I432, "U"))</f>
        <v/>
      </c>
      <c r="B430" s="28" t="str">
        <f>IF('Input Sheet'!C432="","",CONCATENATE("Sample ", 'Input Sheet'!B432, "m: ", N430, H430, "% ", "Siltstone, ", P430, 'Input Sheet'!C432, "% ", J430, " Sandstone "))</f>
        <v/>
      </c>
      <c r="C430" s="28" t="str">
        <f>IF('Input Sheet'!C432="","",CONCATENATE("Sample ", 'Input Sheet'!B432, "m: ", M430,, K430, J430, " FLUOR in SST. ", "TG ", 'Input Sheet'!I432, "U"))</f>
        <v/>
      </c>
      <c r="G430" s="31" t="str">
        <f>IF('Input Sheet'!C432="","",100-'Input Sheet'!C432)</f>
        <v/>
      </c>
      <c r="H4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0" s="31" t="str">
        <f t="shared" si="6"/>
        <v/>
      </c>
      <c r="J4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0" s="31" t="str">
        <f>IF('Input Sheet'!F431=0, "NO",CONCATENATE('Input Sheet'!F431, IF('Input Sheet'!F431&gt;0,"% ","")))</f>
        <v>NO</v>
      </c>
      <c r="L4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0" s="31" t="str">
        <f>CONCATENATE(L430, IF('Input Sheet'!J432="",""," siderite in "))</f>
        <v/>
      </c>
      <c r="N4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0" s="31" t="str">
        <f>CONCATENATE(N430, IF('Input Sheet'!K432="",""," siderite in "))</f>
        <v/>
      </c>
    </row>
    <row r="431" spans="1:15" x14ac:dyDescent="0.35">
      <c r="A431" s="42" t="str">
        <f>IF('Input Sheet'!C433="","",CONCATENATE("Sample ", 'Input Sheet'!B433, "m: ", M431, G431, "% ", "Siltstone, ", O431, 'Input Sheet'!C433, "% ", I431, " Sandstone, ", K431, J431, " FLUOR in SST. ", "TG ", 'Input Sheet'!I433, "U"))</f>
        <v/>
      </c>
      <c r="B431" s="28" t="str">
        <f>IF('Input Sheet'!C433="","",CONCATENATE("Sample ", 'Input Sheet'!B433, "m: ", N431, H431, "% ", "Siltstone, ", P431, 'Input Sheet'!C433, "% ", J431, " Sandstone "))</f>
        <v/>
      </c>
      <c r="C431" s="28" t="str">
        <f>IF('Input Sheet'!C433="","",CONCATENATE("Sample ", 'Input Sheet'!B433, "m: ", M431,, K431, J431, " FLUOR in SST. ", "TG ", 'Input Sheet'!I433, "U"))</f>
        <v/>
      </c>
      <c r="G431" s="31" t="str">
        <f>IF('Input Sheet'!C433="","",100-'Input Sheet'!C433)</f>
        <v/>
      </c>
      <c r="H4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1" s="31" t="str">
        <f t="shared" si="6"/>
        <v/>
      </c>
      <c r="J4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1" s="31" t="str">
        <f>IF('Input Sheet'!F432=0, "NO",CONCATENATE('Input Sheet'!F432, IF('Input Sheet'!F432&gt;0,"% ","")))</f>
        <v>NO</v>
      </c>
      <c r="L4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1" s="31" t="str">
        <f>CONCATENATE(L431, IF('Input Sheet'!J433="",""," siderite in "))</f>
        <v/>
      </c>
      <c r="N4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1" s="31" t="str">
        <f>CONCATENATE(N431, IF('Input Sheet'!K433="",""," siderite in "))</f>
        <v/>
      </c>
    </row>
    <row r="432" spans="1:15" x14ac:dyDescent="0.35">
      <c r="A432" s="42" t="str">
        <f>IF('Input Sheet'!C434="","",CONCATENATE("Sample ", 'Input Sheet'!B434, "m: ", M432, G432, "% ", "Siltstone, ", O432, 'Input Sheet'!C434, "% ", I432, " Sandstone, ", K432, J432, " FLUOR in SST. ", "TG ", 'Input Sheet'!I434, "U"))</f>
        <v/>
      </c>
      <c r="B432" s="28" t="str">
        <f>IF('Input Sheet'!C434="","",CONCATENATE("Sample ", 'Input Sheet'!B434, "m: ", N432, H432, "% ", "Siltstone, ", P432, 'Input Sheet'!C434, "% ", J432, " Sandstone "))</f>
        <v/>
      </c>
      <c r="C432" s="28" t="str">
        <f>IF('Input Sheet'!C434="","",CONCATENATE("Sample ", 'Input Sheet'!B434, "m: ", M432,, K432, J432, " FLUOR in SST. ", "TG ", 'Input Sheet'!I434, "U"))</f>
        <v/>
      </c>
      <c r="G432" s="31" t="str">
        <f>IF('Input Sheet'!C434="","",100-'Input Sheet'!C434)</f>
        <v/>
      </c>
      <c r="H4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2" s="31" t="str">
        <f t="shared" si="6"/>
        <v/>
      </c>
      <c r="J4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2" s="31" t="str">
        <f>IF('Input Sheet'!F433=0, "NO",CONCATENATE('Input Sheet'!F433, IF('Input Sheet'!F433&gt;0,"% ","")))</f>
        <v>NO</v>
      </c>
      <c r="L4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2" s="31" t="str">
        <f>CONCATENATE(L432, IF('Input Sheet'!J434="",""," siderite in "))</f>
        <v/>
      </c>
      <c r="N4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2" s="31" t="str">
        <f>CONCATENATE(N432, IF('Input Sheet'!K434="",""," siderite in "))</f>
        <v/>
      </c>
    </row>
    <row r="433" spans="1:15" x14ac:dyDescent="0.35">
      <c r="A433" s="42" t="str">
        <f>IF('Input Sheet'!C435="","",CONCATENATE("Sample ", 'Input Sheet'!B435, "m: ", M433, G433, "% ", "Siltstone, ", O433, 'Input Sheet'!C435, "% ", I433, " Sandstone, ", K433, J433, " FLUOR in SST. ", "TG ", 'Input Sheet'!I435, "U"))</f>
        <v/>
      </c>
      <c r="B433" s="28" t="str">
        <f>IF('Input Sheet'!C435="","",CONCATENATE("Sample ", 'Input Sheet'!B435, "m: ", N433, H433, "% ", "Siltstone, ", P433, 'Input Sheet'!C435, "% ", J433, " Sandstone "))</f>
        <v/>
      </c>
      <c r="C433" s="28" t="str">
        <f>IF('Input Sheet'!C435="","",CONCATENATE("Sample ", 'Input Sheet'!B435, "m: ", M433,, K433, J433, " FLUOR in SST. ", "TG ", 'Input Sheet'!I435, "U"))</f>
        <v/>
      </c>
      <c r="G433" s="31" t="str">
        <f>IF('Input Sheet'!C435="","",100-'Input Sheet'!C435)</f>
        <v/>
      </c>
      <c r="H4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3" s="31" t="str">
        <f t="shared" si="6"/>
        <v/>
      </c>
      <c r="J4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3" s="31" t="str">
        <f>IF('Input Sheet'!F434=0, "NO",CONCATENATE('Input Sheet'!F434, IF('Input Sheet'!F434&gt;0,"% ","")))</f>
        <v>NO</v>
      </c>
      <c r="L4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3" s="31" t="str">
        <f>CONCATENATE(L433, IF('Input Sheet'!J435="",""," siderite in "))</f>
        <v/>
      </c>
      <c r="N4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3" s="31" t="str">
        <f>CONCATENATE(N433, IF('Input Sheet'!K435="",""," siderite in "))</f>
        <v/>
      </c>
    </row>
    <row r="434" spans="1:15" x14ac:dyDescent="0.35">
      <c r="A434" s="42" t="str">
        <f>IF('Input Sheet'!C436="","",CONCATENATE("Sample ", 'Input Sheet'!B436, "m: ", M434, G434, "% ", "Siltstone, ", O434, 'Input Sheet'!C436, "% ", I434, " Sandstone, ", K434, J434, " FLUOR in SST. ", "TG ", 'Input Sheet'!I436, "U"))</f>
        <v/>
      </c>
      <c r="B434" s="28" t="str">
        <f>IF('Input Sheet'!C436="","",CONCATENATE("Sample ", 'Input Sheet'!B436, "m: ", N434, H434, "% ", "Siltstone, ", P434, 'Input Sheet'!C436, "% ", J434, " Sandstone "))</f>
        <v/>
      </c>
      <c r="C434" s="28" t="str">
        <f>IF('Input Sheet'!C436="","",CONCATENATE("Sample ", 'Input Sheet'!B436, "m: ", M434,, K434, J434, " FLUOR in SST. ", "TG ", 'Input Sheet'!I436, "U"))</f>
        <v/>
      </c>
      <c r="G434" s="31" t="str">
        <f>IF('Input Sheet'!C436="","",100-'Input Sheet'!C436)</f>
        <v/>
      </c>
      <c r="H4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4" s="31" t="str">
        <f t="shared" si="6"/>
        <v/>
      </c>
      <c r="J4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4" s="31" t="str">
        <f>IF('Input Sheet'!F435=0, "NO",CONCATENATE('Input Sheet'!F435, IF('Input Sheet'!F435&gt;0,"% ","")))</f>
        <v>NO</v>
      </c>
      <c r="L4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4" s="31" t="str">
        <f>CONCATENATE(L434, IF('Input Sheet'!J436="",""," siderite in "))</f>
        <v/>
      </c>
      <c r="N4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4" s="31" t="str">
        <f>CONCATENATE(N434, IF('Input Sheet'!K436="",""," siderite in "))</f>
        <v/>
      </c>
    </row>
    <row r="435" spans="1:15" x14ac:dyDescent="0.35">
      <c r="A435" s="42" t="str">
        <f>IF('Input Sheet'!C437="","",CONCATENATE("Sample ", 'Input Sheet'!B437, "m: ", M435, G435, "% ", "Siltstone, ", O435, 'Input Sheet'!C437, "% ", I435, " Sandstone, ", K435, J435, " FLUOR in SST. ", "TG ", 'Input Sheet'!I437, "U"))</f>
        <v/>
      </c>
      <c r="B435" s="28" t="str">
        <f>IF('Input Sheet'!C437="","",CONCATENATE("Sample ", 'Input Sheet'!B437, "m: ", N435, H435, "% ", "Siltstone, ", P435, 'Input Sheet'!C437, "% ", J435, " Sandstone "))</f>
        <v/>
      </c>
      <c r="C435" s="28" t="str">
        <f>IF('Input Sheet'!C437="","",CONCATENATE("Sample ", 'Input Sheet'!B437, "m: ", M435,, K435, J435, " FLUOR in SST. ", "TG ", 'Input Sheet'!I437, "U"))</f>
        <v/>
      </c>
      <c r="G435" s="31" t="str">
        <f>IF('Input Sheet'!C437="","",100-'Input Sheet'!C437)</f>
        <v/>
      </c>
      <c r="H4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5" s="31" t="str">
        <f t="shared" si="6"/>
        <v/>
      </c>
      <c r="J4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5" s="31" t="str">
        <f>IF('Input Sheet'!F436=0, "NO",CONCATENATE('Input Sheet'!F436, IF('Input Sheet'!F436&gt;0,"% ","")))</f>
        <v>NO</v>
      </c>
      <c r="L4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5" s="31" t="str">
        <f>CONCATENATE(L435, IF('Input Sheet'!J437="",""," siderite in "))</f>
        <v/>
      </c>
      <c r="N4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5" s="31" t="str">
        <f>CONCATENATE(N435, IF('Input Sheet'!K437="",""," siderite in "))</f>
        <v/>
      </c>
    </row>
    <row r="436" spans="1:15" x14ac:dyDescent="0.35">
      <c r="A436" s="42" t="str">
        <f>IF('Input Sheet'!C438="","",CONCATENATE("Sample ", 'Input Sheet'!B438, "m: ", M436, G436, "% ", "Siltstone, ", O436, 'Input Sheet'!C438, "% ", I436, " Sandstone, ", K436, J436, " FLUOR in SST. ", "TG ", 'Input Sheet'!I438, "U"))</f>
        <v/>
      </c>
      <c r="B436" s="28" t="str">
        <f>IF('Input Sheet'!C438="","",CONCATENATE("Sample ", 'Input Sheet'!B438, "m: ", N436, H436, "% ", "Siltstone, ", P436, 'Input Sheet'!C438, "% ", J436, " Sandstone "))</f>
        <v/>
      </c>
      <c r="C436" s="28" t="str">
        <f>IF('Input Sheet'!C438="","",CONCATENATE("Sample ", 'Input Sheet'!B438, "m: ", M436,, K436, J436, " FLUOR in SST. ", "TG ", 'Input Sheet'!I438, "U"))</f>
        <v/>
      </c>
      <c r="G436" s="31" t="str">
        <f>IF('Input Sheet'!C438="","",100-'Input Sheet'!C438)</f>
        <v/>
      </c>
      <c r="H4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6" s="31" t="str">
        <f t="shared" si="6"/>
        <v/>
      </c>
      <c r="J4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6" s="31" t="str">
        <f>IF('Input Sheet'!F437=0, "NO",CONCATENATE('Input Sheet'!F437, IF('Input Sheet'!F437&gt;0,"% ","")))</f>
        <v>NO</v>
      </c>
      <c r="L4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6" s="31" t="str">
        <f>CONCATENATE(L436, IF('Input Sheet'!J438="",""," siderite in "))</f>
        <v/>
      </c>
      <c r="N4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6" s="31" t="str">
        <f>CONCATENATE(N436, IF('Input Sheet'!K438="",""," siderite in "))</f>
        <v/>
      </c>
    </row>
    <row r="437" spans="1:15" x14ac:dyDescent="0.35">
      <c r="A437" s="42" t="str">
        <f>IF('Input Sheet'!C439="","",CONCATENATE("Sample ", 'Input Sheet'!B439, "m: ", M437, G437, "% ", "Siltstone, ", O437, 'Input Sheet'!C439, "% ", I437, " Sandstone, ", K437, J437, " FLUOR in SST. ", "TG ", 'Input Sheet'!I439, "U"))</f>
        <v/>
      </c>
      <c r="B437" s="28" t="str">
        <f>IF('Input Sheet'!C439="","",CONCATENATE("Sample ", 'Input Sheet'!B439, "m: ", N437, H437, "% ", "Siltstone, ", P437, 'Input Sheet'!C439, "% ", J437, " Sandstone "))</f>
        <v/>
      </c>
      <c r="C437" s="28" t="str">
        <f>IF('Input Sheet'!C439="","",CONCATENATE("Sample ", 'Input Sheet'!B439, "m: ", M437,, K437, J437, " FLUOR in SST. ", "TG ", 'Input Sheet'!I439, "U"))</f>
        <v/>
      </c>
      <c r="G437" s="31" t="str">
        <f>IF('Input Sheet'!C439="","",100-'Input Sheet'!C439)</f>
        <v/>
      </c>
      <c r="H4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7" s="31" t="str">
        <f t="shared" si="6"/>
        <v/>
      </c>
      <c r="J4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7" s="31" t="str">
        <f>IF('Input Sheet'!F438=0, "NO",CONCATENATE('Input Sheet'!F438, IF('Input Sheet'!F438&gt;0,"% ","")))</f>
        <v>NO</v>
      </c>
      <c r="L4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7" s="31" t="str">
        <f>CONCATENATE(L437, IF('Input Sheet'!J439="",""," siderite in "))</f>
        <v/>
      </c>
      <c r="N4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7" s="31" t="str">
        <f>CONCATENATE(N437, IF('Input Sheet'!K439="",""," siderite in "))</f>
        <v/>
      </c>
    </row>
    <row r="438" spans="1:15" x14ac:dyDescent="0.35">
      <c r="A438" s="42" t="str">
        <f>IF('Input Sheet'!C440="","",CONCATENATE("Sample ", 'Input Sheet'!B440, "m: ", M438, G438, "% ", "Siltstone, ", O438, 'Input Sheet'!C440, "% ", I438, " Sandstone, ", K438, J438, " FLUOR in SST. ", "TG ", 'Input Sheet'!I440, "U"))</f>
        <v/>
      </c>
      <c r="B438" s="28" t="str">
        <f>IF('Input Sheet'!C440="","",CONCATENATE("Sample ", 'Input Sheet'!B440, "m: ", N438, H438, "% ", "Siltstone, ", P438, 'Input Sheet'!C440, "% ", J438, " Sandstone "))</f>
        <v/>
      </c>
      <c r="C438" s="28" t="str">
        <f>IF('Input Sheet'!C440="","",CONCATENATE("Sample ", 'Input Sheet'!B440, "m: ", M438,, K438, J438, " FLUOR in SST. ", "TG ", 'Input Sheet'!I440, "U"))</f>
        <v/>
      </c>
      <c r="G438" s="31" t="str">
        <f>IF('Input Sheet'!C440="","",100-'Input Sheet'!C440)</f>
        <v/>
      </c>
      <c r="H4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8" s="31" t="str">
        <f t="shared" si="6"/>
        <v/>
      </c>
      <c r="J4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8" s="31" t="str">
        <f>IF('Input Sheet'!F439=0, "NO",CONCATENATE('Input Sheet'!F439, IF('Input Sheet'!F439&gt;0,"% ","")))</f>
        <v>NO</v>
      </c>
      <c r="L4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8" s="31" t="str">
        <f>CONCATENATE(L438, IF('Input Sheet'!J440="",""," siderite in "))</f>
        <v/>
      </c>
      <c r="N4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8" s="31" t="str">
        <f>CONCATENATE(N438, IF('Input Sheet'!K440="",""," siderite in "))</f>
        <v/>
      </c>
    </row>
    <row r="439" spans="1:15" x14ac:dyDescent="0.35">
      <c r="A439" s="42" t="str">
        <f>IF('Input Sheet'!C441="","",CONCATENATE("Sample ", 'Input Sheet'!B441, "m: ", M439, G439, "% ", "Siltstone, ", O439, 'Input Sheet'!C441, "% ", I439, " Sandstone, ", K439, J439, " FLUOR in SST. ", "TG ", 'Input Sheet'!I441, "U"))</f>
        <v/>
      </c>
      <c r="B439" s="28" t="str">
        <f>IF('Input Sheet'!C441="","",CONCATENATE("Sample ", 'Input Sheet'!B441, "m: ", N439, H439, "% ", "Siltstone, ", P439, 'Input Sheet'!C441, "% ", J439, " Sandstone "))</f>
        <v/>
      </c>
      <c r="C439" s="28" t="str">
        <f>IF('Input Sheet'!C441="","",CONCATENATE("Sample ", 'Input Sheet'!B441, "m: ", M439,, K439, J439, " FLUOR in SST. ", "TG ", 'Input Sheet'!I441, "U"))</f>
        <v/>
      </c>
      <c r="G439" s="31" t="str">
        <f>IF('Input Sheet'!C441="","",100-'Input Sheet'!C441)</f>
        <v/>
      </c>
      <c r="H4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9" s="31" t="str">
        <f t="shared" si="6"/>
        <v/>
      </c>
      <c r="J4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9" s="31" t="str">
        <f>IF('Input Sheet'!F440=0, "NO",CONCATENATE('Input Sheet'!F440, IF('Input Sheet'!F440&gt;0,"% ","")))</f>
        <v>NO</v>
      </c>
      <c r="L4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9" s="31" t="str">
        <f>CONCATENATE(L439, IF('Input Sheet'!J441="",""," siderite in "))</f>
        <v/>
      </c>
      <c r="N4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9" s="31" t="str">
        <f>CONCATENATE(N439, IF('Input Sheet'!K441="",""," siderite in "))</f>
        <v/>
      </c>
    </row>
    <row r="440" spans="1:15" x14ac:dyDescent="0.35">
      <c r="A440" s="42" t="str">
        <f>IF('Input Sheet'!C442="","",CONCATENATE("Sample ", 'Input Sheet'!B442, "m: ", M440, G440, "% ", "Siltstone, ", O440, 'Input Sheet'!C442, "% ", I440, " Sandstone, ", K440, J440, " FLUOR in SST. ", "TG ", 'Input Sheet'!I442, "U"))</f>
        <v/>
      </c>
      <c r="B440" s="28" t="str">
        <f>IF('Input Sheet'!C442="","",CONCATENATE("Sample ", 'Input Sheet'!B442, "m: ", N440, H440, "% ", "Siltstone, ", P440, 'Input Sheet'!C442, "% ", J440, " Sandstone "))</f>
        <v/>
      </c>
      <c r="C440" s="28" t="str">
        <f>IF('Input Sheet'!C442="","",CONCATENATE("Sample ", 'Input Sheet'!B442, "m: ", M440,, K440, J440, " FLUOR in SST. ", "TG ", 'Input Sheet'!I442, "U"))</f>
        <v/>
      </c>
      <c r="G440" s="31" t="str">
        <f>IF('Input Sheet'!C442="","",100-'Input Sheet'!C442)</f>
        <v/>
      </c>
      <c r="H4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0" s="31" t="str">
        <f t="shared" si="6"/>
        <v/>
      </c>
      <c r="J4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0" s="31" t="str">
        <f>IF('Input Sheet'!F441=0, "NO",CONCATENATE('Input Sheet'!F441, IF('Input Sheet'!F441&gt;0,"% ","")))</f>
        <v>NO</v>
      </c>
      <c r="L4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0" s="31" t="str">
        <f>CONCATENATE(L440, IF('Input Sheet'!J442="",""," siderite in "))</f>
        <v/>
      </c>
      <c r="N4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0" s="31" t="str">
        <f>CONCATENATE(N440, IF('Input Sheet'!K442="",""," siderite in "))</f>
        <v/>
      </c>
    </row>
    <row r="441" spans="1:15" x14ac:dyDescent="0.35">
      <c r="A441" s="42" t="str">
        <f>IF('Input Sheet'!C443="","",CONCATENATE("Sample ", 'Input Sheet'!B443, "m: ", M441, G441, "% ", "Siltstone, ", O441, 'Input Sheet'!C443, "% ", I441, " Sandstone, ", K441, J441, " FLUOR in SST. ", "TG ", 'Input Sheet'!I443, "U"))</f>
        <v/>
      </c>
      <c r="B441" s="28" t="str">
        <f>IF('Input Sheet'!C443="","",CONCATENATE("Sample ", 'Input Sheet'!B443, "m: ", N441, H441, "% ", "Siltstone, ", P441, 'Input Sheet'!C443, "% ", J441, " Sandstone "))</f>
        <v/>
      </c>
      <c r="C441" s="28" t="str">
        <f>IF('Input Sheet'!C443="","",CONCATENATE("Sample ", 'Input Sheet'!B443, "m: ", M441,, K441, J441, " FLUOR in SST. ", "TG ", 'Input Sheet'!I443, "U"))</f>
        <v/>
      </c>
      <c r="G441" s="31" t="str">
        <f>IF('Input Sheet'!C443="","",100-'Input Sheet'!C443)</f>
        <v/>
      </c>
      <c r="H4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1" s="31" t="str">
        <f t="shared" si="6"/>
        <v/>
      </c>
      <c r="J4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1" s="31" t="str">
        <f>IF('Input Sheet'!F442=0, "NO",CONCATENATE('Input Sheet'!F442, IF('Input Sheet'!F442&gt;0,"% ","")))</f>
        <v>NO</v>
      </c>
      <c r="L4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1" s="31" t="str">
        <f>CONCATENATE(L441, IF('Input Sheet'!J443="",""," siderite in "))</f>
        <v/>
      </c>
      <c r="N4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1" s="31" t="str">
        <f>CONCATENATE(N441, IF('Input Sheet'!K443="",""," siderite in "))</f>
        <v/>
      </c>
    </row>
    <row r="442" spans="1:15" x14ac:dyDescent="0.35">
      <c r="A442" s="42" t="str">
        <f>IF('Input Sheet'!C444="","",CONCATENATE("Sample ", 'Input Sheet'!B444, "m: ", M442, G442, "% ", "Siltstone, ", O442, 'Input Sheet'!C444, "% ", I442, " Sandstone, ", K442, J442, " FLUOR in SST. ", "TG ", 'Input Sheet'!I444, "U"))</f>
        <v/>
      </c>
      <c r="B442" s="28" t="str">
        <f>IF('Input Sheet'!C444="","",CONCATENATE("Sample ", 'Input Sheet'!B444, "m: ", N442, H442, "% ", "Siltstone, ", P442, 'Input Sheet'!C444, "% ", J442, " Sandstone "))</f>
        <v/>
      </c>
      <c r="C442" s="28" t="str">
        <f>IF('Input Sheet'!C444="","",CONCATENATE("Sample ", 'Input Sheet'!B444, "m: ", M442,, K442, J442, " FLUOR in SST. ", "TG ", 'Input Sheet'!I444, "U"))</f>
        <v/>
      </c>
      <c r="G442" s="31" t="str">
        <f>IF('Input Sheet'!C444="","",100-'Input Sheet'!C444)</f>
        <v/>
      </c>
      <c r="H4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2" s="31" t="str">
        <f t="shared" si="6"/>
        <v/>
      </c>
      <c r="J4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2" s="31" t="str">
        <f>IF('Input Sheet'!F443=0, "NO",CONCATENATE('Input Sheet'!F443, IF('Input Sheet'!F443&gt;0,"% ","")))</f>
        <v>NO</v>
      </c>
      <c r="L4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2" s="31" t="str">
        <f>CONCATENATE(L442, IF('Input Sheet'!J444="",""," siderite in "))</f>
        <v/>
      </c>
      <c r="N4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2" s="31" t="str">
        <f>CONCATENATE(N442, IF('Input Sheet'!K444="",""," siderite in "))</f>
        <v/>
      </c>
    </row>
    <row r="443" spans="1:15" x14ac:dyDescent="0.35">
      <c r="A443" s="42" t="str">
        <f>IF('Input Sheet'!C445="","",CONCATENATE("Sample ", 'Input Sheet'!B445, "m: ", M443, G443, "% ", "Siltstone, ", O443, 'Input Sheet'!C445, "% ", I443, " Sandstone, ", K443, J443, " FLUOR in SST. ", "TG ", 'Input Sheet'!I445, "U"))</f>
        <v/>
      </c>
      <c r="B443" s="28" t="str">
        <f>IF('Input Sheet'!C445="","",CONCATENATE("Sample ", 'Input Sheet'!B445, "m: ", N443, H443, "% ", "Siltstone, ", P443, 'Input Sheet'!C445, "% ", J443, " Sandstone "))</f>
        <v/>
      </c>
      <c r="C443" s="28" t="str">
        <f>IF('Input Sheet'!C445="","",CONCATENATE("Sample ", 'Input Sheet'!B445, "m: ", M443,, K443, J443, " FLUOR in SST. ", "TG ", 'Input Sheet'!I445, "U"))</f>
        <v/>
      </c>
      <c r="G443" s="31" t="str">
        <f>IF('Input Sheet'!C445="","",100-'Input Sheet'!C445)</f>
        <v/>
      </c>
      <c r="H4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3" s="31" t="str">
        <f t="shared" si="6"/>
        <v/>
      </c>
      <c r="J4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3" s="31" t="str">
        <f>IF('Input Sheet'!F444=0, "NO",CONCATENATE('Input Sheet'!F444, IF('Input Sheet'!F444&gt;0,"% ","")))</f>
        <v>NO</v>
      </c>
      <c r="L4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3" s="31" t="str">
        <f>CONCATENATE(L443, IF('Input Sheet'!J445="",""," siderite in "))</f>
        <v/>
      </c>
      <c r="N4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3" s="31" t="str">
        <f>CONCATENATE(N443, IF('Input Sheet'!K445="",""," siderite in "))</f>
        <v/>
      </c>
    </row>
    <row r="444" spans="1:15" x14ac:dyDescent="0.35">
      <c r="A444" s="42" t="str">
        <f>IF('Input Sheet'!C446="","",CONCATENATE("Sample ", 'Input Sheet'!B446, "m: ", M444, G444, "% ", "Siltstone, ", O444, 'Input Sheet'!C446, "% ", I444, " Sandstone, ", K444, J444, " FLUOR in SST. ", "TG ", 'Input Sheet'!I446, "U"))</f>
        <v/>
      </c>
      <c r="B444" s="28" t="str">
        <f>IF('Input Sheet'!C446="","",CONCATENATE("Sample ", 'Input Sheet'!B446, "m: ", N444, H444, "% ", "Siltstone, ", P444, 'Input Sheet'!C446, "% ", J444, " Sandstone "))</f>
        <v/>
      </c>
      <c r="C444" s="28" t="str">
        <f>IF('Input Sheet'!C446="","",CONCATENATE("Sample ", 'Input Sheet'!B446, "m: ", M444,, K444, J444, " FLUOR in SST. ", "TG ", 'Input Sheet'!I446, "U"))</f>
        <v/>
      </c>
      <c r="G444" s="31" t="str">
        <f>IF('Input Sheet'!C446="","",100-'Input Sheet'!C446)</f>
        <v/>
      </c>
      <c r="H4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4" s="31" t="str">
        <f t="shared" si="6"/>
        <v/>
      </c>
      <c r="J4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4" s="31" t="str">
        <f>IF('Input Sheet'!F445=0, "NO",CONCATENATE('Input Sheet'!F445, IF('Input Sheet'!F445&gt;0,"% ","")))</f>
        <v>NO</v>
      </c>
      <c r="L4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4" s="31" t="str">
        <f>CONCATENATE(L444, IF('Input Sheet'!J446="",""," siderite in "))</f>
        <v/>
      </c>
      <c r="N4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4" s="31" t="str">
        <f>CONCATENATE(N444, IF('Input Sheet'!K446="",""," siderite in "))</f>
        <v/>
      </c>
    </row>
    <row r="445" spans="1:15" x14ac:dyDescent="0.35">
      <c r="A445" s="42" t="str">
        <f>IF('Input Sheet'!C447="","",CONCATENATE("Sample ", 'Input Sheet'!B447, "m: ", M445, G445, "% ", "Siltstone, ", O445, 'Input Sheet'!C447, "% ", I445, " Sandstone, ", K445, J445, " FLUOR in SST. ", "TG ", 'Input Sheet'!I447, "U"))</f>
        <v/>
      </c>
      <c r="B445" s="28" t="str">
        <f>IF('Input Sheet'!C447="","",CONCATENATE("Sample ", 'Input Sheet'!B447, "m: ", N445, H445, "% ", "Siltstone, ", P445, 'Input Sheet'!C447, "% ", J445, " Sandstone "))</f>
        <v/>
      </c>
      <c r="C445" s="28" t="str">
        <f>IF('Input Sheet'!C447="","",CONCATENATE("Sample ", 'Input Sheet'!B447, "m: ", M445,, K445, J445, " FLUOR in SST. ", "TG ", 'Input Sheet'!I447, "U"))</f>
        <v/>
      </c>
      <c r="G445" s="31" t="str">
        <f>IF('Input Sheet'!C447="","",100-'Input Sheet'!C447)</f>
        <v/>
      </c>
      <c r="H4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5" s="31" t="str">
        <f t="shared" si="6"/>
        <v/>
      </c>
      <c r="J4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5" s="31" t="str">
        <f>IF('Input Sheet'!F446=0, "NO",CONCATENATE('Input Sheet'!F446, IF('Input Sheet'!F446&gt;0,"% ","")))</f>
        <v>NO</v>
      </c>
      <c r="L4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5" s="31" t="str">
        <f>CONCATENATE(L445, IF('Input Sheet'!J447="",""," siderite in "))</f>
        <v/>
      </c>
      <c r="N4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5" s="31" t="str">
        <f>CONCATENATE(N445, IF('Input Sheet'!K447="",""," siderite in "))</f>
        <v/>
      </c>
    </row>
    <row r="446" spans="1:15" x14ac:dyDescent="0.35">
      <c r="A446" s="42" t="str">
        <f>IF('Input Sheet'!C448="","",CONCATENATE("Sample ", 'Input Sheet'!B448, "m: ", M446, G446, "% ", "Siltstone, ", O446, 'Input Sheet'!C448, "% ", I446, " Sandstone, ", K446, J446, " FLUOR in SST. ", "TG ", 'Input Sheet'!I448, "U"))</f>
        <v/>
      </c>
      <c r="B446" s="28" t="str">
        <f>IF('Input Sheet'!C448="","",CONCATENATE("Sample ", 'Input Sheet'!B448, "m: ", N446, H446, "% ", "Siltstone, ", P446, 'Input Sheet'!C448, "% ", J446, " Sandstone "))</f>
        <v/>
      </c>
      <c r="C446" s="28" t="str">
        <f>IF('Input Sheet'!C448="","",CONCATENATE("Sample ", 'Input Sheet'!B448, "m: ", M446,, K446, J446, " FLUOR in SST. ", "TG ", 'Input Sheet'!I448, "U"))</f>
        <v/>
      </c>
      <c r="G446" s="31" t="str">
        <f>IF('Input Sheet'!C448="","",100-'Input Sheet'!C448)</f>
        <v/>
      </c>
      <c r="H4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6" s="31" t="str">
        <f t="shared" si="6"/>
        <v/>
      </c>
      <c r="J4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6" s="31" t="str">
        <f>IF('Input Sheet'!F447=0, "NO",CONCATENATE('Input Sheet'!F447, IF('Input Sheet'!F447&gt;0,"% ","")))</f>
        <v>NO</v>
      </c>
      <c r="L4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6" s="31" t="str">
        <f>CONCATENATE(L446, IF('Input Sheet'!J448="",""," siderite in "))</f>
        <v/>
      </c>
      <c r="N4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6" s="31" t="str">
        <f>CONCATENATE(N446, IF('Input Sheet'!K448="",""," siderite in "))</f>
        <v/>
      </c>
    </row>
    <row r="447" spans="1:15" x14ac:dyDescent="0.35">
      <c r="A447" s="42" t="str">
        <f>IF('Input Sheet'!C449="","",CONCATENATE("Sample ", 'Input Sheet'!B449, "m: ", M447, G447, "% ", "Siltstone, ", O447, 'Input Sheet'!C449, "% ", I447, " Sandstone, ", K447, J447, " FLUOR in SST. ", "TG ", 'Input Sheet'!I449, "U"))</f>
        <v/>
      </c>
      <c r="B447" s="28" t="str">
        <f>IF('Input Sheet'!C449="","",CONCATENATE("Sample ", 'Input Sheet'!B449, "m: ", N447, H447, "% ", "Siltstone, ", P447, 'Input Sheet'!C449, "% ", J447, " Sandstone "))</f>
        <v/>
      </c>
      <c r="C447" s="28" t="str">
        <f>IF('Input Sheet'!C449="","",CONCATENATE("Sample ", 'Input Sheet'!B449, "m: ", M447,, K447, J447, " FLUOR in SST. ", "TG ", 'Input Sheet'!I449, "U"))</f>
        <v/>
      </c>
      <c r="G447" s="31" t="str">
        <f>IF('Input Sheet'!C449="","",100-'Input Sheet'!C449)</f>
        <v/>
      </c>
      <c r="H4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7" s="31" t="str">
        <f t="shared" si="6"/>
        <v/>
      </c>
      <c r="J4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7" s="31" t="str">
        <f>IF('Input Sheet'!F448=0, "NO",CONCATENATE('Input Sheet'!F448, IF('Input Sheet'!F448&gt;0,"% ","")))</f>
        <v>NO</v>
      </c>
      <c r="L4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7" s="31" t="str">
        <f>CONCATENATE(L447, IF('Input Sheet'!J449="",""," siderite in "))</f>
        <v/>
      </c>
      <c r="N4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7" s="31" t="str">
        <f>CONCATENATE(N447, IF('Input Sheet'!K449="",""," siderite in "))</f>
        <v/>
      </c>
    </row>
    <row r="448" spans="1:15" x14ac:dyDescent="0.35">
      <c r="A448" s="42" t="str">
        <f>IF('Input Sheet'!C450="","",CONCATENATE("Sample ", 'Input Sheet'!B450, "m: ", M448, G448, "% ", "Siltstone, ", O448, 'Input Sheet'!C450, "% ", I448, " Sandstone, ", K448, J448, " FLUOR in SST. ", "TG ", 'Input Sheet'!I450, "U"))</f>
        <v/>
      </c>
      <c r="B448" s="28" t="str">
        <f>IF('Input Sheet'!C450="","",CONCATENATE("Sample ", 'Input Sheet'!B450, "m: ", N448, H448, "% ", "Siltstone, ", P448, 'Input Sheet'!C450, "% ", J448, " Sandstone "))</f>
        <v/>
      </c>
      <c r="C448" s="28" t="str">
        <f>IF('Input Sheet'!C450="","",CONCATENATE("Sample ", 'Input Sheet'!B450, "m: ", M448,, K448, J448, " FLUOR in SST. ", "TG ", 'Input Sheet'!I450, "U"))</f>
        <v/>
      </c>
      <c r="G448" s="31" t="str">
        <f>IF('Input Sheet'!C450="","",100-'Input Sheet'!C450)</f>
        <v/>
      </c>
      <c r="H4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8" s="31" t="str">
        <f t="shared" si="6"/>
        <v/>
      </c>
      <c r="J4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8" s="31" t="str">
        <f>IF('Input Sheet'!F449=0, "NO",CONCATENATE('Input Sheet'!F449, IF('Input Sheet'!F449&gt;0,"% ","")))</f>
        <v>NO</v>
      </c>
      <c r="L4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8" s="31" t="str">
        <f>CONCATENATE(L448, IF('Input Sheet'!J450="",""," siderite in "))</f>
        <v/>
      </c>
      <c r="N4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8" s="31" t="str">
        <f>CONCATENATE(N448, IF('Input Sheet'!K450="",""," siderite in "))</f>
        <v/>
      </c>
    </row>
    <row r="449" spans="1:15" x14ac:dyDescent="0.35">
      <c r="A449" s="42" t="str">
        <f>IF('Input Sheet'!C451="","",CONCATENATE("Sample ", 'Input Sheet'!B451, "m: ", M449, G449, "% ", "Siltstone, ", O449, 'Input Sheet'!C451, "% ", I449, " Sandstone, ", K449, J449, " FLUOR in SST. ", "TG ", 'Input Sheet'!I451, "U"))</f>
        <v/>
      </c>
      <c r="B449" s="28" t="str">
        <f>IF('Input Sheet'!C451="","",CONCATENATE("Sample ", 'Input Sheet'!B451, "m: ", N449, H449, "% ", "Siltstone, ", P449, 'Input Sheet'!C451, "% ", J449, " Sandstone "))</f>
        <v/>
      </c>
      <c r="C449" s="28" t="str">
        <f>IF('Input Sheet'!C451="","",CONCATENATE("Sample ", 'Input Sheet'!B451, "m: ", M449,, K449, J449, " FLUOR in SST. ", "TG ", 'Input Sheet'!I451, "U"))</f>
        <v/>
      </c>
      <c r="G449" s="31" t="str">
        <f>IF('Input Sheet'!C451="","",100-'Input Sheet'!C451)</f>
        <v/>
      </c>
      <c r="H4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9" s="31" t="str">
        <f t="shared" si="6"/>
        <v/>
      </c>
      <c r="J4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9" s="31" t="str">
        <f>IF('Input Sheet'!F450=0, "NO",CONCATENATE('Input Sheet'!F450, IF('Input Sheet'!F450&gt;0,"% ","")))</f>
        <v>NO</v>
      </c>
      <c r="L4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9" s="31" t="str">
        <f>CONCATENATE(L449, IF('Input Sheet'!J451="",""," siderite in "))</f>
        <v/>
      </c>
      <c r="N4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9" s="31" t="str">
        <f>CONCATENATE(N449, IF('Input Sheet'!K451="",""," siderite in "))</f>
        <v/>
      </c>
    </row>
    <row r="450" spans="1:15" x14ac:dyDescent="0.35">
      <c r="A450" s="42" t="str">
        <f>IF('Input Sheet'!C452="","",CONCATENATE("Sample ", 'Input Sheet'!B452, "m: ", M450, G450, "% ", "Siltstone, ", O450, 'Input Sheet'!C452, "% ", I450, " Sandstone, ", K450, J450, " FLUOR in SST. ", "TG ", 'Input Sheet'!I452, "U"))</f>
        <v/>
      </c>
      <c r="B450" s="28" t="str">
        <f>IF('Input Sheet'!C452="","",CONCATENATE("Sample ", 'Input Sheet'!B452, "m: ", N450, H450, "% ", "Siltstone, ", P450, 'Input Sheet'!C452, "% ", J450, " Sandstone "))</f>
        <v/>
      </c>
      <c r="C450" s="28" t="str">
        <f>IF('Input Sheet'!C452="","",CONCATENATE("Sample ", 'Input Sheet'!B452, "m: ", M450,, K450, J450, " FLUOR in SST. ", "TG ", 'Input Sheet'!I452, "U"))</f>
        <v/>
      </c>
      <c r="G450" s="31" t="str">
        <f>IF('Input Sheet'!C452="","",100-'Input Sheet'!C452)</f>
        <v/>
      </c>
      <c r="H4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0" s="31" t="str">
        <f t="shared" ref="I450:I513" si="7">SUBSTITUTE(H450, "veryfine", "very fine")</f>
        <v/>
      </c>
      <c r="J4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0" s="31" t="str">
        <f>IF('Input Sheet'!F451=0, "NO",CONCATENATE('Input Sheet'!F451, IF('Input Sheet'!F451&gt;0,"% ","")))</f>
        <v>NO</v>
      </c>
      <c r="L4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0" s="31" t="str">
        <f>CONCATENATE(L450, IF('Input Sheet'!J452="",""," siderite in "))</f>
        <v/>
      </c>
      <c r="N4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0" s="31" t="str">
        <f>CONCATENATE(N450, IF('Input Sheet'!K452="",""," siderite in "))</f>
        <v/>
      </c>
    </row>
    <row r="451" spans="1:15" x14ac:dyDescent="0.35">
      <c r="A451" s="42" t="str">
        <f>IF('Input Sheet'!C453="","",CONCATENATE("Sample ", 'Input Sheet'!B453, "m: ", M451, G451, "% ", "Siltstone, ", O451, 'Input Sheet'!C453, "% ", I451, " Sandstone, ", K451, J451, " FLUOR in SST. ", "TG ", 'Input Sheet'!I453, "U"))</f>
        <v/>
      </c>
      <c r="B451" s="28" t="str">
        <f>IF('Input Sheet'!C453="","",CONCATENATE("Sample ", 'Input Sheet'!B453, "m: ", N451, H451, "% ", "Siltstone, ", P451, 'Input Sheet'!C453, "% ", J451, " Sandstone "))</f>
        <v/>
      </c>
      <c r="C451" s="28" t="str">
        <f>IF('Input Sheet'!C453="","",CONCATENATE("Sample ", 'Input Sheet'!B453, "m: ", M451,, K451, J451, " FLUOR in SST. ", "TG ", 'Input Sheet'!I453, "U"))</f>
        <v/>
      </c>
      <c r="G451" s="31" t="str">
        <f>IF('Input Sheet'!C453="","",100-'Input Sheet'!C453)</f>
        <v/>
      </c>
      <c r="H4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1" s="31" t="str">
        <f t="shared" si="7"/>
        <v/>
      </c>
      <c r="J4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1" s="31" t="str">
        <f>IF('Input Sheet'!F452=0, "NO",CONCATENATE('Input Sheet'!F452, IF('Input Sheet'!F452&gt;0,"% ","")))</f>
        <v>NO</v>
      </c>
      <c r="L4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1" s="31" t="str">
        <f>CONCATENATE(L451, IF('Input Sheet'!J453="",""," siderite in "))</f>
        <v/>
      </c>
      <c r="N4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1" s="31" t="str">
        <f>CONCATENATE(N451, IF('Input Sheet'!K453="",""," siderite in "))</f>
        <v/>
      </c>
    </row>
    <row r="452" spans="1:15" x14ac:dyDescent="0.35">
      <c r="A452" s="42" t="str">
        <f>IF('Input Sheet'!C454="","",CONCATENATE("Sample ", 'Input Sheet'!B454, "m: ", M452, G452, "% ", "Siltstone, ", O452, 'Input Sheet'!C454, "% ", I452, " Sandstone, ", K452, J452, " FLUOR in SST. ", "TG ", 'Input Sheet'!I454, "U"))</f>
        <v/>
      </c>
      <c r="B452" s="28" t="str">
        <f>IF('Input Sheet'!C454="","",CONCATENATE("Sample ", 'Input Sheet'!B454, "m: ", N452, H452, "% ", "Siltstone, ", P452, 'Input Sheet'!C454, "% ", J452, " Sandstone "))</f>
        <v/>
      </c>
      <c r="C452" s="28" t="str">
        <f>IF('Input Sheet'!C454="","",CONCATENATE("Sample ", 'Input Sheet'!B454, "m: ", M452,, K452, J452, " FLUOR in SST. ", "TG ", 'Input Sheet'!I454, "U"))</f>
        <v/>
      </c>
      <c r="G452" s="31" t="str">
        <f>IF('Input Sheet'!C454="","",100-'Input Sheet'!C454)</f>
        <v/>
      </c>
      <c r="H4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2" s="31" t="str">
        <f t="shared" si="7"/>
        <v/>
      </c>
      <c r="J4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2" s="31" t="str">
        <f>IF('Input Sheet'!F453=0, "NO",CONCATENATE('Input Sheet'!F453, IF('Input Sheet'!F453&gt;0,"% ","")))</f>
        <v>NO</v>
      </c>
      <c r="L4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2" s="31" t="str">
        <f>CONCATENATE(L452, IF('Input Sheet'!J454="",""," siderite in "))</f>
        <v/>
      </c>
      <c r="N4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2" s="31" t="str">
        <f>CONCATENATE(N452, IF('Input Sheet'!K454="",""," siderite in "))</f>
        <v/>
      </c>
    </row>
    <row r="453" spans="1:15" x14ac:dyDescent="0.35">
      <c r="A453" s="42" t="str">
        <f>IF('Input Sheet'!C455="","",CONCATENATE("Sample ", 'Input Sheet'!B455, "m: ", M453, G453, "% ", "Siltstone, ", O453, 'Input Sheet'!C455, "% ", I453, " Sandstone, ", K453, J453, " FLUOR in SST. ", "TG ", 'Input Sheet'!I455, "U"))</f>
        <v/>
      </c>
      <c r="B453" s="28" t="str">
        <f>IF('Input Sheet'!C455="","",CONCATENATE("Sample ", 'Input Sheet'!B455, "m: ", N453, H453, "% ", "Siltstone, ", P453, 'Input Sheet'!C455, "% ", J453, " Sandstone "))</f>
        <v/>
      </c>
      <c r="C453" s="28" t="str">
        <f>IF('Input Sheet'!C455="","",CONCATENATE("Sample ", 'Input Sheet'!B455, "m: ", M453,, K453, J453, " FLUOR in SST. ", "TG ", 'Input Sheet'!I455, "U"))</f>
        <v/>
      </c>
      <c r="G453" s="31" t="str">
        <f>IF('Input Sheet'!C455="","",100-'Input Sheet'!C455)</f>
        <v/>
      </c>
      <c r="H4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3" s="31" t="str">
        <f t="shared" si="7"/>
        <v/>
      </c>
      <c r="J4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3" s="31" t="str">
        <f>IF('Input Sheet'!F454=0, "NO",CONCATENATE('Input Sheet'!F454, IF('Input Sheet'!F454&gt;0,"% ","")))</f>
        <v>NO</v>
      </c>
      <c r="L4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3" s="31" t="str">
        <f>CONCATENATE(L453, IF('Input Sheet'!J455="",""," siderite in "))</f>
        <v/>
      </c>
      <c r="N4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3" s="31" t="str">
        <f>CONCATENATE(N453, IF('Input Sheet'!K455="",""," siderite in "))</f>
        <v/>
      </c>
    </row>
    <row r="454" spans="1:15" x14ac:dyDescent="0.35">
      <c r="A454" s="42" t="str">
        <f>IF('Input Sheet'!C456="","",CONCATENATE("Sample ", 'Input Sheet'!B456, "m: ", M454, G454, "% ", "Siltstone, ", O454, 'Input Sheet'!C456, "% ", I454, " Sandstone, ", K454, J454, " FLUOR in SST. ", "TG ", 'Input Sheet'!I456, "U"))</f>
        <v/>
      </c>
      <c r="B454" s="28" t="str">
        <f>IF('Input Sheet'!C456="","",CONCATENATE("Sample ", 'Input Sheet'!B456, "m: ", N454, H454, "% ", "Siltstone, ", P454, 'Input Sheet'!C456, "% ", J454, " Sandstone "))</f>
        <v/>
      </c>
      <c r="C454" s="28" t="str">
        <f>IF('Input Sheet'!C456="","",CONCATENATE("Sample ", 'Input Sheet'!B456, "m: ", M454,, K454, J454, " FLUOR in SST. ", "TG ", 'Input Sheet'!I456, "U"))</f>
        <v/>
      </c>
      <c r="G454" s="31" t="str">
        <f>IF('Input Sheet'!C456="","",100-'Input Sheet'!C456)</f>
        <v/>
      </c>
      <c r="H4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4" s="31" t="str">
        <f t="shared" si="7"/>
        <v/>
      </c>
      <c r="J4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4" s="31" t="str">
        <f>IF('Input Sheet'!F455=0, "NO",CONCATENATE('Input Sheet'!F455, IF('Input Sheet'!F455&gt;0,"% ","")))</f>
        <v>NO</v>
      </c>
      <c r="L4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4" s="31" t="str">
        <f>CONCATENATE(L454, IF('Input Sheet'!J456="",""," siderite in "))</f>
        <v/>
      </c>
      <c r="N4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4" s="31" t="str">
        <f>CONCATENATE(N454, IF('Input Sheet'!K456="",""," siderite in "))</f>
        <v/>
      </c>
    </row>
    <row r="455" spans="1:15" x14ac:dyDescent="0.35">
      <c r="A455" s="42" t="str">
        <f>IF('Input Sheet'!C457="","",CONCATENATE("Sample ", 'Input Sheet'!B457, "m: ", M455, G455, "% ", "Siltstone, ", O455, 'Input Sheet'!C457, "% ", I455, " Sandstone, ", K455, J455, " FLUOR in SST. ", "TG ", 'Input Sheet'!I457, "U"))</f>
        <v/>
      </c>
      <c r="B455" s="28" t="str">
        <f>IF('Input Sheet'!C457="","",CONCATENATE("Sample ", 'Input Sheet'!B457, "m: ", N455, H455, "% ", "Siltstone, ", P455, 'Input Sheet'!C457, "% ", J455, " Sandstone "))</f>
        <v/>
      </c>
      <c r="C455" s="28" t="str">
        <f>IF('Input Sheet'!C457="","",CONCATENATE("Sample ", 'Input Sheet'!B457, "m: ", M455,, K455, J455, " FLUOR in SST. ", "TG ", 'Input Sheet'!I457, "U"))</f>
        <v/>
      </c>
      <c r="G455" s="31" t="str">
        <f>IF('Input Sheet'!C457="","",100-'Input Sheet'!C457)</f>
        <v/>
      </c>
      <c r="H4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5" s="31" t="str">
        <f t="shared" si="7"/>
        <v/>
      </c>
      <c r="J4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5" s="31" t="str">
        <f>IF('Input Sheet'!F456=0, "NO",CONCATENATE('Input Sheet'!F456, IF('Input Sheet'!F456&gt;0,"% ","")))</f>
        <v>NO</v>
      </c>
      <c r="L4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5" s="31" t="str">
        <f>CONCATENATE(L455, IF('Input Sheet'!J457="",""," siderite in "))</f>
        <v/>
      </c>
      <c r="N4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5" s="31" t="str">
        <f>CONCATENATE(N455, IF('Input Sheet'!K457="",""," siderite in "))</f>
        <v/>
      </c>
    </row>
    <row r="456" spans="1:15" x14ac:dyDescent="0.35">
      <c r="A456" s="42" t="str">
        <f>IF('Input Sheet'!C458="","",CONCATENATE("Sample ", 'Input Sheet'!B458, "m: ", M456, G456, "% ", "Siltstone, ", O456, 'Input Sheet'!C458, "% ", I456, " Sandstone, ", K456, J456, " FLUOR in SST. ", "TG ", 'Input Sheet'!I458, "U"))</f>
        <v/>
      </c>
      <c r="B456" s="28" t="str">
        <f>IF('Input Sheet'!C458="","",CONCATENATE("Sample ", 'Input Sheet'!B458, "m: ", N456, H456, "% ", "Siltstone, ", P456, 'Input Sheet'!C458, "% ", J456, " Sandstone "))</f>
        <v/>
      </c>
      <c r="C456" s="28" t="str">
        <f>IF('Input Sheet'!C458="","",CONCATENATE("Sample ", 'Input Sheet'!B458, "m: ", M456,, K456, J456, " FLUOR in SST. ", "TG ", 'Input Sheet'!I458, "U"))</f>
        <v/>
      </c>
      <c r="G456" s="31" t="str">
        <f>IF('Input Sheet'!C458="","",100-'Input Sheet'!C458)</f>
        <v/>
      </c>
      <c r="H4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6" s="31" t="str">
        <f t="shared" si="7"/>
        <v/>
      </c>
      <c r="J4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6" s="31" t="str">
        <f>IF('Input Sheet'!F457=0, "NO",CONCATENATE('Input Sheet'!F457, IF('Input Sheet'!F457&gt;0,"% ","")))</f>
        <v>NO</v>
      </c>
      <c r="L4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6" s="31" t="str">
        <f>CONCATENATE(L456, IF('Input Sheet'!J458="",""," siderite in "))</f>
        <v/>
      </c>
      <c r="N4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6" s="31" t="str">
        <f>CONCATENATE(N456, IF('Input Sheet'!K458="",""," siderite in "))</f>
        <v/>
      </c>
    </row>
    <row r="457" spans="1:15" x14ac:dyDescent="0.35">
      <c r="A457" s="42" t="str">
        <f>IF('Input Sheet'!C459="","",CONCATENATE("Sample ", 'Input Sheet'!B459, "m: ", M457, G457, "% ", "Siltstone, ", O457, 'Input Sheet'!C459, "% ", I457, " Sandstone, ", K457, J457, " FLUOR in SST. ", "TG ", 'Input Sheet'!I459, "U"))</f>
        <v/>
      </c>
      <c r="B457" s="28" t="str">
        <f>IF('Input Sheet'!C459="","",CONCATENATE("Sample ", 'Input Sheet'!B459, "m: ", N457, H457, "% ", "Siltstone, ", P457, 'Input Sheet'!C459, "% ", J457, " Sandstone "))</f>
        <v/>
      </c>
      <c r="C457" s="28" t="str">
        <f>IF('Input Sheet'!C459="","",CONCATENATE("Sample ", 'Input Sheet'!B459, "m: ", M457,, K457, J457, " FLUOR in SST. ", "TG ", 'Input Sheet'!I459, "U"))</f>
        <v/>
      </c>
      <c r="G457" s="31" t="str">
        <f>IF('Input Sheet'!C459="","",100-'Input Sheet'!C459)</f>
        <v/>
      </c>
      <c r="H4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7" s="31" t="str">
        <f t="shared" si="7"/>
        <v/>
      </c>
      <c r="J4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7" s="31" t="str">
        <f>IF('Input Sheet'!F458=0, "NO",CONCATENATE('Input Sheet'!F458, IF('Input Sheet'!F458&gt;0,"% ","")))</f>
        <v>NO</v>
      </c>
      <c r="L4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7" s="31" t="str">
        <f>CONCATENATE(L457, IF('Input Sheet'!J459="",""," siderite in "))</f>
        <v/>
      </c>
      <c r="N4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7" s="31" t="str">
        <f>CONCATENATE(N457, IF('Input Sheet'!K459="",""," siderite in "))</f>
        <v/>
      </c>
    </row>
    <row r="458" spans="1:15" x14ac:dyDescent="0.35">
      <c r="A458" s="42" t="str">
        <f>IF('Input Sheet'!C460="","",CONCATENATE("Sample ", 'Input Sheet'!B460, "m: ", M458, G458, "% ", "Siltstone, ", O458, 'Input Sheet'!C460, "% ", I458, " Sandstone, ", K458, J458, " FLUOR in SST. ", "TG ", 'Input Sheet'!I460, "U"))</f>
        <v/>
      </c>
      <c r="B458" s="28" t="str">
        <f>IF('Input Sheet'!C460="","",CONCATENATE("Sample ", 'Input Sheet'!B460, "m: ", N458, H458, "% ", "Siltstone, ", P458, 'Input Sheet'!C460, "% ", J458, " Sandstone "))</f>
        <v/>
      </c>
      <c r="C458" s="28" t="str">
        <f>IF('Input Sheet'!C460="","",CONCATENATE("Sample ", 'Input Sheet'!B460, "m: ", M458,, K458, J458, " FLUOR in SST. ", "TG ", 'Input Sheet'!I460, "U"))</f>
        <v/>
      </c>
      <c r="G458" s="31" t="str">
        <f>IF('Input Sheet'!C460="","",100-'Input Sheet'!C460)</f>
        <v/>
      </c>
      <c r="H4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8" s="31" t="str">
        <f t="shared" si="7"/>
        <v/>
      </c>
      <c r="J4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8" s="31" t="str">
        <f>IF('Input Sheet'!F459=0, "NO",CONCATENATE('Input Sheet'!F459, IF('Input Sheet'!F459&gt;0,"% ","")))</f>
        <v>NO</v>
      </c>
      <c r="L4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8" s="31" t="str">
        <f>CONCATENATE(L458, IF('Input Sheet'!J460="",""," siderite in "))</f>
        <v/>
      </c>
      <c r="N4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8" s="31" t="str">
        <f>CONCATENATE(N458, IF('Input Sheet'!K460="",""," siderite in "))</f>
        <v/>
      </c>
    </row>
    <row r="459" spans="1:15" x14ac:dyDescent="0.35">
      <c r="A459" s="42" t="str">
        <f>IF('Input Sheet'!C461="","",CONCATENATE("Sample ", 'Input Sheet'!B461, "m: ", M459, G459, "% ", "Siltstone, ", O459, 'Input Sheet'!C461, "% ", I459, " Sandstone, ", K459, J459, " FLUOR in SST. ", "TG ", 'Input Sheet'!I461, "U"))</f>
        <v/>
      </c>
      <c r="B459" s="28" t="str">
        <f>IF('Input Sheet'!C461="","",CONCATENATE("Sample ", 'Input Sheet'!B461, "m: ", N459, H459, "% ", "Siltstone, ", P459, 'Input Sheet'!C461, "% ", J459, " Sandstone "))</f>
        <v/>
      </c>
      <c r="C459" s="28" t="str">
        <f>IF('Input Sheet'!C461="","",CONCATENATE("Sample ", 'Input Sheet'!B461, "m: ", M459,, K459, J459, " FLUOR in SST. ", "TG ", 'Input Sheet'!I461, "U"))</f>
        <v/>
      </c>
      <c r="G459" s="31" t="str">
        <f>IF('Input Sheet'!C461="","",100-'Input Sheet'!C461)</f>
        <v/>
      </c>
      <c r="H4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9" s="31" t="str">
        <f t="shared" si="7"/>
        <v/>
      </c>
      <c r="J4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9" s="31" t="str">
        <f>IF('Input Sheet'!F460=0, "NO",CONCATENATE('Input Sheet'!F460, IF('Input Sheet'!F460&gt;0,"% ","")))</f>
        <v>NO</v>
      </c>
      <c r="L4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9" s="31" t="str">
        <f>CONCATENATE(L459, IF('Input Sheet'!J461="",""," siderite in "))</f>
        <v/>
      </c>
      <c r="N4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9" s="31" t="str">
        <f>CONCATENATE(N459, IF('Input Sheet'!K461="",""," siderite in "))</f>
        <v/>
      </c>
    </row>
    <row r="460" spans="1:15" x14ac:dyDescent="0.35">
      <c r="A460" s="42" t="str">
        <f>IF('Input Sheet'!C462="","",CONCATENATE("Sample ", 'Input Sheet'!B462, "m: ", M460, G460, "% ", "Siltstone, ", O460, 'Input Sheet'!C462, "% ", I460, " Sandstone, ", K460, J460, " FLUOR in SST. ", "TG ", 'Input Sheet'!I462, "U"))</f>
        <v/>
      </c>
      <c r="B460" s="28" t="str">
        <f>IF('Input Sheet'!C462="","",CONCATENATE("Sample ", 'Input Sheet'!B462, "m: ", N460, H460, "% ", "Siltstone, ", P460, 'Input Sheet'!C462, "% ", J460, " Sandstone "))</f>
        <v/>
      </c>
      <c r="C460" s="28" t="str">
        <f>IF('Input Sheet'!C462="","",CONCATENATE("Sample ", 'Input Sheet'!B462, "m: ", M460,, K460, J460, " FLUOR in SST. ", "TG ", 'Input Sheet'!I462, "U"))</f>
        <v/>
      </c>
      <c r="G460" s="31" t="str">
        <f>IF('Input Sheet'!C462="","",100-'Input Sheet'!C462)</f>
        <v/>
      </c>
      <c r="H4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0" s="31" t="str">
        <f t="shared" si="7"/>
        <v/>
      </c>
      <c r="J4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0" s="31" t="str">
        <f>IF('Input Sheet'!F461=0, "NO",CONCATENATE('Input Sheet'!F461, IF('Input Sheet'!F461&gt;0,"% ","")))</f>
        <v>NO</v>
      </c>
      <c r="L4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0" s="31" t="str">
        <f>CONCATENATE(L460, IF('Input Sheet'!J462="",""," siderite in "))</f>
        <v/>
      </c>
      <c r="N4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0" s="31" t="str">
        <f>CONCATENATE(N460, IF('Input Sheet'!K462="",""," siderite in "))</f>
        <v/>
      </c>
    </row>
    <row r="461" spans="1:15" x14ac:dyDescent="0.35">
      <c r="A461" s="42" t="str">
        <f>IF('Input Sheet'!C463="","",CONCATENATE("Sample ", 'Input Sheet'!B463, "m: ", M461, G461, "% ", "Siltstone, ", O461, 'Input Sheet'!C463, "% ", I461, " Sandstone, ", K461, J461, " FLUOR in SST. ", "TG ", 'Input Sheet'!I463, "U"))</f>
        <v/>
      </c>
      <c r="B461" s="28" t="str">
        <f>IF('Input Sheet'!C463="","",CONCATENATE("Sample ", 'Input Sheet'!B463, "m: ", N461, H461, "% ", "Siltstone, ", P461, 'Input Sheet'!C463, "% ", J461, " Sandstone "))</f>
        <v/>
      </c>
      <c r="C461" s="28" t="str">
        <f>IF('Input Sheet'!C463="","",CONCATENATE("Sample ", 'Input Sheet'!B463, "m: ", M461,, K461, J461, " FLUOR in SST. ", "TG ", 'Input Sheet'!I463, "U"))</f>
        <v/>
      </c>
      <c r="G461" s="31" t="str">
        <f>IF('Input Sheet'!C463="","",100-'Input Sheet'!C463)</f>
        <v/>
      </c>
      <c r="H4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1" s="31" t="str">
        <f t="shared" si="7"/>
        <v/>
      </c>
      <c r="J4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1" s="31" t="str">
        <f>IF('Input Sheet'!F462=0, "NO",CONCATENATE('Input Sheet'!F462, IF('Input Sheet'!F462&gt;0,"% ","")))</f>
        <v>NO</v>
      </c>
      <c r="L4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1" s="31" t="str">
        <f>CONCATENATE(L461, IF('Input Sheet'!J463="",""," siderite in "))</f>
        <v/>
      </c>
      <c r="N4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1" s="31" t="str">
        <f>CONCATENATE(N461, IF('Input Sheet'!K463="",""," siderite in "))</f>
        <v/>
      </c>
    </row>
    <row r="462" spans="1:15" x14ac:dyDescent="0.35">
      <c r="A462" s="42" t="str">
        <f>IF('Input Sheet'!C464="","",CONCATENATE("Sample ", 'Input Sheet'!B464, "m: ", M462, G462, "% ", "Siltstone, ", O462, 'Input Sheet'!C464, "% ", I462, " Sandstone, ", K462, J462, " FLUOR in SST. ", "TG ", 'Input Sheet'!I464, "U"))</f>
        <v/>
      </c>
      <c r="B462" s="28" t="str">
        <f>IF('Input Sheet'!C464="","",CONCATENATE("Sample ", 'Input Sheet'!B464, "m: ", N462, H462, "% ", "Siltstone, ", P462, 'Input Sheet'!C464, "% ", J462, " Sandstone "))</f>
        <v/>
      </c>
      <c r="C462" s="28" t="str">
        <f>IF('Input Sheet'!C464="","",CONCATENATE("Sample ", 'Input Sheet'!B464, "m: ", M462,, K462, J462, " FLUOR in SST. ", "TG ", 'Input Sheet'!I464, "U"))</f>
        <v/>
      </c>
      <c r="G462" s="31" t="str">
        <f>IF('Input Sheet'!C464="","",100-'Input Sheet'!C464)</f>
        <v/>
      </c>
      <c r="H4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2" s="31" t="str">
        <f t="shared" si="7"/>
        <v/>
      </c>
      <c r="J4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2" s="31" t="str">
        <f>IF('Input Sheet'!F463=0, "NO",CONCATENATE('Input Sheet'!F463, IF('Input Sheet'!F463&gt;0,"% ","")))</f>
        <v>NO</v>
      </c>
      <c r="L4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2" s="31" t="str">
        <f>CONCATENATE(L462, IF('Input Sheet'!J464="",""," siderite in "))</f>
        <v/>
      </c>
      <c r="N4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2" s="31" t="str">
        <f>CONCATENATE(N462, IF('Input Sheet'!K464="",""," siderite in "))</f>
        <v/>
      </c>
    </row>
    <row r="463" spans="1:15" x14ac:dyDescent="0.35">
      <c r="A463" s="42" t="str">
        <f>IF('Input Sheet'!C465="","",CONCATENATE("Sample ", 'Input Sheet'!B465, "m: ", M463, G463, "% ", "Siltstone, ", O463, 'Input Sheet'!C465, "% ", I463, " Sandstone, ", K463, J463, " FLUOR in SST. ", "TG ", 'Input Sheet'!I465, "U"))</f>
        <v/>
      </c>
      <c r="B463" s="28" t="str">
        <f>IF('Input Sheet'!C465="","",CONCATENATE("Sample ", 'Input Sheet'!B465, "m: ", N463, H463, "% ", "Siltstone, ", P463, 'Input Sheet'!C465, "% ", J463, " Sandstone "))</f>
        <v/>
      </c>
      <c r="C463" s="28" t="str">
        <f>IF('Input Sheet'!C465="","",CONCATENATE("Sample ", 'Input Sheet'!B465, "m: ", M463,, K463, J463, " FLUOR in SST. ", "TG ", 'Input Sheet'!I465, "U"))</f>
        <v/>
      </c>
      <c r="G463" s="31" t="str">
        <f>IF('Input Sheet'!C465="","",100-'Input Sheet'!C465)</f>
        <v/>
      </c>
      <c r="H4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3" s="31" t="str">
        <f t="shared" si="7"/>
        <v/>
      </c>
      <c r="J4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3" s="31" t="str">
        <f>IF('Input Sheet'!F464=0, "NO",CONCATENATE('Input Sheet'!F464, IF('Input Sheet'!F464&gt;0,"% ","")))</f>
        <v>NO</v>
      </c>
      <c r="L4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3" s="31" t="str">
        <f>CONCATENATE(L463, IF('Input Sheet'!J465="",""," siderite in "))</f>
        <v/>
      </c>
      <c r="N4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3" s="31" t="str">
        <f>CONCATENATE(N463, IF('Input Sheet'!K465="",""," siderite in "))</f>
        <v/>
      </c>
    </row>
    <row r="464" spans="1:15" x14ac:dyDescent="0.35">
      <c r="A464" s="42" t="str">
        <f>IF('Input Sheet'!C466="","",CONCATENATE("Sample ", 'Input Sheet'!B466, "m: ", M464, G464, "% ", "Siltstone, ", O464, 'Input Sheet'!C466, "% ", I464, " Sandstone, ", K464, J464, " FLUOR in SST. ", "TG ", 'Input Sheet'!I466, "U"))</f>
        <v/>
      </c>
      <c r="B464" s="28" t="str">
        <f>IF('Input Sheet'!C466="","",CONCATENATE("Sample ", 'Input Sheet'!B466, "m: ", N464, H464, "% ", "Siltstone, ", P464, 'Input Sheet'!C466, "% ", J464, " Sandstone "))</f>
        <v/>
      </c>
      <c r="C464" s="28" t="str">
        <f>IF('Input Sheet'!C466="","",CONCATENATE("Sample ", 'Input Sheet'!B466, "m: ", M464,, K464, J464, " FLUOR in SST. ", "TG ", 'Input Sheet'!I466, "U"))</f>
        <v/>
      </c>
      <c r="G464" s="31" t="str">
        <f>IF('Input Sheet'!C466="","",100-'Input Sheet'!C466)</f>
        <v/>
      </c>
      <c r="H4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4" s="31" t="str">
        <f t="shared" si="7"/>
        <v/>
      </c>
      <c r="J4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4" s="31" t="str">
        <f>IF('Input Sheet'!F465=0, "NO",CONCATENATE('Input Sheet'!F465, IF('Input Sheet'!F465&gt;0,"% ","")))</f>
        <v>NO</v>
      </c>
      <c r="L4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4" s="31" t="str">
        <f>CONCATENATE(L464, IF('Input Sheet'!J466="",""," siderite in "))</f>
        <v/>
      </c>
      <c r="N4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4" s="31" t="str">
        <f>CONCATENATE(N464, IF('Input Sheet'!K466="",""," siderite in "))</f>
        <v/>
      </c>
    </row>
    <row r="465" spans="1:15" x14ac:dyDescent="0.35">
      <c r="A465" s="42" t="str">
        <f>IF('Input Sheet'!C467="","",CONCATENATE("Sample ", 'Input Sheet'!B467, "m: ", M465, G465, "% ", "Siltstone, ", O465, 'Input Sheet'!C467, "% ", I465, " Sandstone, ", K465, J465, " FLUOR in SST. ", "TG ", 'Input Sheet'!I467, "U"))</f>
        <v/>
      </c>
      <c r="B465" s="28" t="str">
        <f>IF('Input Sheet'!C467="","",CONCATENATE("Sample ", 'Input Sheet'!B467, "m: ", N465, H465, "% ", "Siltstone, ", P465, 'Input Sheet'!C467, "% ", J465, " Sandstone "))</f>
        <v/>
      </c>
      <c r="C465" s="28" t="str">
        <f>IF('Input Sheet'!C467="","",CONCATENATE("Sample ", 'Input Sheet'!B467, "m: ", M465,, K465, J465, " FLUOR in SST. ", "TG ", 'Input Sheet'!I467, "U"))</f>
        <v/>
      </c>
      <c r="G465" s="31" t="str">
        <f>IF('Input Sheet'!C467="","",100-'Input Sheet'!C467)</f>
        <v/>
      </c>
      <c r="H4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5" s="31" t="str">
        <f t="shared" si="7"/>
        <v/>
      </c>
      <c r="J4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5" s="31" t="str">
        <f>IF('Input Sheet'!F466=0, "NO",CONCATENATE('Input Sheet'!F466, IF('Input Sheet'!F466&gt;0,"% ","")))</f>
        <v>NO</v>
      </c>
      <c r="L4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5" s="31" t="str">
        <f>CONCATENATE(L465, IF('Input Sheet'!J467="",""," siderite in "))</f>
        <v/>
      </c>
      <c r="N4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5" s="31" t="str">
        <f>CONCATENATE(N465, IF('Input Sheet'!K467="",""," siderite in "))</f>
        <v/>
      </c>
    </row>
    <row r="466" spans="1:15" x14ac:dyDescent="0.35">
      <c r="A466" s="42" t="str">
        <f>IF('Input Sheet'!C468="","",CONCATENATE("Sample ", 'Input Sheet'!B468, "m: ", M466, G466, "% ", "Siltstone, ", O466, 'Input Sheet'!C468, "% ", I466, " Sandstone, ", K466, J466, " FLUOR in SST. ", "TG ", 'Input Sheet'!I468, "U"))</f>
        <v/>
      </c>
      <c r="B466" s="28" t="str">
        <f>IF('Input Sheet'!C468="","",CONCATENATE("Sample ", 'Input Sheet'!B468, "m: ", N466, H466, "% ", "Siltstone, ", P466, 'Input Sheet'!C468, "% ", J466, " Sandstone "))</f>
        <v/>
      </c>
      <c r="C466" s="28" t="str">
        <f>IF('Input Sheet'!C468="","",CONCATENATE("Sample ", 'Input Sheet'!B468, "m: ", M466,, K466, J466, " FLUOR in SST. ", "TG ", 'Input Sheet'!I468, "U"))</f>
        <v/>
      </c>
      <c r="G466" s="31" t="str">
        <f>IF('Input Sheet'!C468="","",100-'Input Sheet'!C468)</f>
        <v/>
      </c>
      <c r="H4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6" s="31" t="str">
        <f t="shared" si="7"/>
        <v/>
      </c>
      <c r="J4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6" s="31" t="str">
        <f>IF('Input Sheet'!F467=0, "NO",CONCATENATE('Input Sheet'!F467, IF('Input Sheet'!F467&gt;0,"% ","")))</f>
        <v>NO</v>
      </c>
      <c r="L4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6" s="31" t="str">
        <f>CONCATENATE(L466, IF('Input Sheet'!J468="",""," siderite in "))</f>
        <v/>
      </c>
      <c r="N4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6" s="31" t="str">
        <f>CONCATENATE(N466, IF('Input Sheet'!K468="",""," siderite in "))</f>
        <v/>
      </c>
    </row>
    <row r="467" spans="1:15" x14ac:dyDescent="0.35">
      <c r="A467" s="42" t="str">
        <f>IF('Input Sheet'!C469="","",CONCATENATE("Sample ", 'Input Sheet'!B469, "m: ", M467, G467, "% ", "Siltstone, ", O467, 'Input Sheet'!C469, "% ", I467, " Sandstone, ", K467, J467, " FLUOR in SST. ", "TG ", 'Input Sheet'!I469, "U"))</f>
        <v/>
      </c>
      <c r="B467" s="28" t="str">
        <f>IF('Input Sheet'!C469="","",CONCATENATE("Sample ", 'Input Sheet'!B469, "m: ", N467, H467, "% ", "Siltstone, ", P467, 'Input Sheet'!C469, "% ", J467, " Sandstone "))</f>
        <v/>
      </c>
      <c r="C467" s="28" t="str">
        <f>IF('Input Sheet'!C469="","",CONCATENATE("Sample ", 'Input Sheet'!B469, "m: ", M467,, K467, J467, " FLUOR in SST. ", "TG ", 'Input Sheet'!I469, "U"))</f>
        <v/>
      </c>
      <c r="G467" s="31" t="str">
        <f>IF('Input Sheet'!C469="","",100-'Input Sheet'!C469)</f>
        <v/>
      </c>
      <c r="H4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7" s="31" t="str">
        <f t="shared" si="7"/>
        <v/>
      </c>
      <c r="J4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7" s="31" t="str">
        <f>IF('Input Sheet'!F468=0, "NO",CONCATENATE('Input Sheet'!F468, IF('Input Sheet'!F468&gt;0,"% ","")))</f>
        <v>NO</v>
      </c>
      <c r="L4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7" s="31" t="str">
        <f>CONCATENATE(L467, IF('Input Sheet'!J469="",""," siderite in "))</f>
        <v/>
      </c>
      <c r="N4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7" s="31" t="str">
        <f>CONCATENATE(N467, IF('Input Sheet'!K469="",""," siderite in "))</f>
        <v/>
      </c>
    </row>
    <row r="468" spans="1:15" x14ac:dyDescent="0.35">
      <c r="A468" s="42" t="str">
        <f>IF('Input Sheet'!C470="","",CONCATENATE("Sample ", 'Input Sheet'!B470, "m: ", M468, G468, "% ", "Siltstone, ", O468, 'Input Sheet'!C470, "% ", I468, " Sandstone, ", K468, J468, " FLUOR in SST. ", "TG ", 'Input Sheet'!I470, "U"))</f>
        <v/>
      </c>
      <c r="B468" s="28" t="str">
        <f>IF('Input Sheet'!C470="","",CONCATENATE("Sample ", 'Input Sheet'!B470, "m: ", N468, H468, "% ", "Siltstone, ", P468, 'Input Sheet'!C470, "% ", J468, " Sandstone "))</f>
        <v/>
      </c>
      <c r="C468" s="28" t="str">
        <f>IF('Input Sheet'!C470="","",CONCATENATE("Sample ", 'Input Sheet'!B470, "m: ", M468,, K468, J468, " FLUOR in SST. ", "TG ", 'Input Sheet'!I470, "U"))</f>
        <v/>
      </c>
      <c r="G468" s="31" t="str">
        <f>IF('Input Sheet'!C470="","",100-'Input Sheet'!C470)</f>
        <v/>
      </c>
      <c r="H4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8" s="31" t="str">
        <f t="shared" si="7"/>
        <v/>
      </c>
      <c r="J4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8" s="31" t="str">
        <f>IF('Input Sheet'!F469=0, "NO",CONCATENATE('Input Sheet'!F469, IF('Input Sheet'!F469&gt;0,"% ","")))</f>
        <v>NO</v>
      </c>
      <c r="L4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8" s="31" t="str">
        <f>CONCATENATE(L468, IF('Input Sheet'!J470="",""," siderite in "))</f>
        <v/>
      </c>
      <c r="N4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8" s="31" t="str">
        <f>CONCATENATE(N468, IF('Input Sheet'!K470="",""," siderite in "))</f>
        <v/>
      </c>
    </row>
    <row r="469" spans="1:15" x14ac:dyDescent="0.35">
      <c r="A469" s="42" t="str">
        <f>IF('Input Sheet'!C471="","",CONCATENATE("Sample ", 'Input Sheet'!B471, "m: ", M469, G469, "% ", "Siltstone, ", O469, 'Input Sheet'!C471, "% ", I469, " Sandstone, ", K469, J469, " FLUOR in SST. ", "TG ", 'Input Sheet'!I471, "U"))</f>
        <v/>
      </c>
      <c r="B469" s="28" t="str">
        <f>IF('Input Sheet'!C471="","",CONCATENATE("Sample ", 'Input Sheet'!B471, "m: ", N469, H469, "% ", "Siltstone, ", P469, 'Input Sheet'!C471, "% ", J469, " Sandstone "))</f>
        <v/>
      </c>
      <c r="C469" s="28" t="str">
        <f>IF('Input Sheet'!C471="","",CONCATENATE("Sample ", 'Input Sheet'!B471, "m: ", M469,, K469, J469, " FLUOR in SST. ", "TG ", 'Input Sheet'!I471, "U"))</f>
        <v/>
      </c>
      <c r="G469" s="31" t="str">
        <f>IF('Input Sheet'!C471="","",100-'Input Sheet'!C471)</f>
        <v/>
      </c>
      <c r="H4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9" s="31" t="str">
        <f t="shared" si="7"/>
        <v/>
      </c>
      <c r="J4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9" s="31" t="str">
        <f>IF('Input Sheet'!F470=0, "NO",CONCATENATE('Input Sheet'!F470, IF('Input Sheet'!F470&gt;0,"% ","")))</f>
        <v>NO</v>
      </c>
      <c r="L4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9" s="31" t="str">
        <f>CONCATENATE(L469, IF('Input Sheet'!J471="",""," siderite in "))</f>
        <v/>
      </c>
      <c r="N4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9" s="31" t="str">
        <f>CONCATENATE(N469, IF('Input Sheet'!K471="",""," siderite in "))</f>
        <v/>
      </c>
    </row>
    <row r="470" spans="1:15" x14ac:dyDescent="0.35">
      <c r="A470" s="42" t="str">
        <f>IF('Input Sheet'!C472="","",CONCATENATE("Sample ", 'Input Sheet'!B472, "m: ", M470, G470, "% ", "Siltstone, ", O470, 'Input Sheet'!C472, "% ", I470, " Sandstone, ", K470, J470, " FLUOR in SST. ", "TG ", 'Input Sheet'!I472, "U"))</f>
        <v/>
      </c>
      <c r="B470" s="28" t="str">
        <f>IF('Input Sheet'!C472="","",CONCATENATE("Sample ", 'Input Sheet'!B472, "m: ", N470, H470, "% ", "Siltstone, ", P470, 'Input Sheet'!C472, "% ", J470, " Sandstone "))</f>
        <v/>
      </c>
      <c r="C470" s="28" t="str">
        <f>IF('Input Sheet'!C472="","",CONCATENATE("Sample ", 'Input Sheet'!B472, "m: ", M470,, K470, J470, " FLUOR in SST. ", "TG ", 'Input Sheet'!I472, "U"))</f>
        <v/>
      </c>
      <c r="G470" s="31" t="str">
        <f>IF('Input Sheet'!C472="","",100-'Input Sheet'!C472)</f>
        <v/>
      </c>
      <c r="H4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0" s="31" t="str">
        <f t="shared" si="7"/>
        <v/>
      </c>
      <c r="J4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0" s="31" t="str">
        <f>IF('Input Sheet'!F471=0, "NO",CONCATENATE('Input Sheet'!F471, IF('Input Sheet'!F471&gt;0,"% ","")))</f>
        <v>NO</v>
      </c>
      <c r="L4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0" s="31" t="str">
        <f>CONCATENATE(L470, IF('Input Sheet'!J472="",""," siderite in "))</f>
        <v/>
      </c>
      <c r="N4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0" s="31" t="str">
        <f>CONCATENATE(N470, IF('Input Sheet'!K472="",""," siderite in "))</f>
        <v/>
      </c>
    </row>
    <row r="471" spans="1:15" x14ac:dyDescent="0.35">
      <c r="A471" s="42" t="str">
        <f>IF('Input Sheet'!C473="","",CONCATENATE("Sample ", 'Input Sheet'!B473, "m: ", M471, G471, "% ", "Siltstone, ", O471, 'Input Sheet'!C473, "% ", I471, " Sandstone, ", K471, J471, " FLUOR in SST. ", "TG ", 'Input Sheet'!I473, "U"))</f>
        <v/>
      </c>
      <c r="B471" s="28" t="str">
        <f>IF('Input Sheet'!C473="","",CONCATENATE("Sample ", 'Input Sheet'!B473, "m: ", N471, H471, "% ", "Siltstone, ", P471, 'Input Sheet'!C473, "% ", J471, " Sandstone "))</f>
        <v/>
      </c>
      <c r="C471" s="28" t="str">
        <f>IF('Input Sheet'!C473="","",CONCATENATE("Sample ", 'Input Sheet'!B473, "m: ", M471,, K471, J471, " FLUOR in SST. ", "TG ", 'Input Sheet'!I473, "U"))</f>
        <v/>
      </c>
      <c r="G471" s="31" t="str">
        <f>IF('Input Sheet'!C473="","",100-'Input Sheet'!C473)</f>
        <v/>
      </c>
      <c r="H4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1" s="31" t="str">
        <f t="shared" si="7"/>
        <v/>
      </c>
      <c r="J4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1" s="31" t="str">
        <f>IF('Input Sheet'!F472=0, "NO",CONCATENATE('Input Sheet'!F472, IF('Input Sheet'!F472&gt;0,"% ","")))</f>
        <v>NO</v>
      </c>
      <c r="L4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1" s="31" t="str">
        <f>CONCATENATE(L471, IF('Input Sheet'!J473="",""," siderite in "))</f>
        <v/>
      </c>
      <c r="N4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1" s="31" t="str">
        <f>CONCATENATE(N471, IF('Input Sheet'!K473="",""," siderite in "))</f>
        <v/>
      </c>
    </row>
    <row r="472" spans="1:15" x14ac:dyDescent="0.35">
      <c r="A472" s="42" t="str">
        <f>IF('Input Sheet'!C474="","",CONCATENATE("Sample ", 'Input Sheet'!B474, "m: ", M472, G472, "% ", "Siltstone, ", O472, 'Input Sheet'!C474, "% ", I472, " Sandstone, ", K472, J472, " FLUOR in SST. ", "TG ", 'Input Sheet'!I474, "U"))</f>
        <v/>
      </c>
      <c r="B472" s="28" t="str">
        <f>IF('Input Sheet'!C474="","",CONCATENATE("Sample ", 'Input Sheet'!B474, "m: ", N472, H472, "% ", "Siltstone, ", P472, 'Input Sheet'!C474, "% ", J472, " Sandstone "))</f>
        <v/>
      </c>
      <c r="C472" s="28" t="str">
        <f>IF('Input Sheet'!C474="","",CONCATENATE("Sample ", 'Input Sheet'!B474, "m: ", M472,, K472, J472, " FLUOR in SST. ", "TG ", 'Input Sheet'!I474, "U"))</f>
        <v/>
      </c>
      <c r="G472" s="31" t="str">
        <f>IF('Input Sheet'!C474="","",100-'Input Sheet'!C474)</f>
        <v/>
      </c>
      <c r="H4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2" s="31" t="str">
        <f t="shared" si="7"/>
        <v/>
      </c>
      <c r="J4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2" s="31" t="str">
        <f>IF('Input Sheet'!F473=0, "NO",CONCATENATE('Input Sheet'!F473, IF('Input Sheet'!F473&gt;0,"% ","")))</f>
        <v>NO</v>
      </c>
      <c r="L4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2" s="31" t="str">
        <f>CONCATENATE(L472, IF('Input Sheet'!J474="",""," siderite in "))</f>
        <v/>
      </c>
      <c r="N4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2" s="31" t="str">
        <f>CONCATENATE(N472, IF('Input Sheet'!K474="",""," siderite in "))</f>
        <v/>
      </c>
    </row>
    <row r="473" spans="1:15" x14ac:dyDescent="0.35">
      <c r="A473" s="42" t="str">
        <f>IF('Input Sheet'!C475="","",CONCATENATE("Sample ", 'Input Sheet'!B475, "m: ", M473, G473, "% ", "Siltstone, ", O473, 'Input Sheet'!C475, "% ", I473, " Sandstone, ", K473, J473, " FLUOR in SST. ", "TG ", 'Input Sheet'!I475, "U"))</f>
        <v/>
      </c>
      <c r="B473" s="28" t="str">
        <f>IF('Input Sheet'!C475="","",CONCATENATE("Sample ", 'Input Sheet'!B475, "m: ", N473, H473, "% ", "Siltstone, ", P473, 'Input Sheet'!C475, "% ", J473, " Sandstone "))</f>
        <v/>
      </c>
      <c r="C473" s="28" t="str">
        <f>IF('Input Sheet'!C475="","",CONCATENATE("Sample ", 'Input Sheet'!B475, "m: ", M473,, K473, J473, " FLUOR in SST. ", "TG ", 'Input Sheet'!I475, "U"))</f>
        <v/>
      </c>
      <c r="G473" s="31" t="str">
        <f>IF('Input Sheet'!C475="","",100-'Input Sheet'!C475)</f>
        <v/>
      </c>
      <c r="H4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3" s="31" t="str">
        <f t="shared" si="7"/>
        <v/>
      </c>
      <c r="J4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3" s="31" t="str">
        <f>IF('Input Sheet'!F474=0, "NO",CONCATENATE('Input Sheet'!F474, IF('Input Sheet'!F474&gt;0,"% ","")))</f>
        <v>NO</v>
      </c>
      <c r="L4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3" s="31" t="str">
        <f>CONCATENATE(L473, IF('Input Sheet'!J475="",""," siderite in "))</f>
        <v/>
      </c>
      <c r="N4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3" s="31" t="str">
        <f>CONCATENATE(N473, IF('Input Sheet'!K475="",""," siderite in "))</f>
        <v/>
      </c>
    </row>
    <row r="474" spans="1:15" x14ac:dyDescent="0.35">
      <c r="A474" s="42" t="str">
        <f>IF('Input Sheet'!C476="","",CONCATENATE("Sample ", 'Input Sheet'!B476, "m: ", M474, G474, "% ", "Siltstone, ", O474, 'Input Sheet'!C476, "% ", I474, " Sandstone, ", K474, J474, " FLUOR in SST. ", "TG ", 'Input Sheet'!I476, "U"))</f>
        <v/>
      </c>
      <c r="B474" s="28" t="str">
        <f>IF('Input Sheet'!C476="","",CONCATENATE("Sample ", 'Input Sheet'!B476, "m: ", N474, H474, "% ", "Siltstone, ", P474, 'Input Sheet'!C476, "% ", J474, " Sandstone "))</f>
        <v/>
      </c>
      <c r="C474" s="28" t="str">
        <f>IF('Input Sheet'!C476="","",CONCATENATE("Sample ", 'Input Sheet'!B476, "m: ", M474,, K474, J474, " FLUOR in SST. ", "TG ", 'Input Sheet'!I476, "U"))</f>
        <v/>
      </c>
      <c r="G474" s="31" t="str">
        <f>IF('Input Sheet'!C476="","",100-'Input Sheet'!C476)</f>
        <v/>
      </c>
      <c r="H4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4" s="31" t="str">
        <f t="shared" si="7"/>
        <v/>
      </c>
      <c r="J4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4" s="31" t="str">
        <f>IF('Input Sheet'!F475=0, "NO",CONCATENATE('Input Sheet'!F475, IF('Input Sheet'!F475&gt;0,"% ","")))</f>
        <v>NO</v>
      </c>
      <c r="L4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4" s="31" t="str">
        <f>CONCATENATE(L474, IF('Input Sheet'!J476="",""," siderite in "))</f>
        <v/>
      </c>
      <c r="N4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4" s="31" t="str">
        <f>CONCATENATE(N474, IF('Input Sheet'!K476="",""," siderite in "))</f>
        <v/>
      </c>
    </row>
    <row r="475" spans="1:15" x14ac:dyDescent="0.35">
      <c r="A475" s="42" t="str">
        <f>IF('Input Sheet'!C477="","",CONCATENATE("Sample ", 'Input Sheet'!B477, "m: ", M475, G475, "% ", "Siltstone, ", O475, 'Input Sheet'!C477, "% ", I475, " Sandstone, ", K475, J475, " FLUOR in SST. ", "TG ", 'Input Sheet'!I477, "U"))</f>
        <v/>
      </c>
      <c r="B475" s="28" t="str">
        <f>IF('Input Sheet'!C477="","",CONCATENATE("Sample ", 'Input Sheet'!B477, "m: ", N475, H475, "% ", "Siltstone, ", P475, 'Input Sheet'!C477, "% ", J475, " Sandstone "))</f>
        <v/>
      </c>
      <c r="C475" s="28" t="str">
        <f>IF('Input Sheet'!C477="","",CONCATENATE("Sample ", 'Input Sheet'!B477, "m: ", M475,, K475, J475, " FLUOR in SST. ", "TG ", 'Input Sheet'!I477, "U"))</f>
        <v/>
      </c>
      <c r="G475" s="31" t="str">
        <f>IF('Input Sheet'!C477="","",100-'Input Sheet'!C477)</f>
        <v/>
      </c>
      <c r="H4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5" s="31" t="str">
        <f t="shared" si="7"/>
        <v/>
      </c>
      <c r="J4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5" s="31" t="str">
        <f>IF('Input Sheet'!F476=0, "NO",CONCATENATE('Input Sheet'!F476, IF('Input Sheet'!F476&gt;0,"% ","")))</f>
        <v>NO</v>
      </c>
      <c r="L4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5" s="31" t="str">
        <f>CONCATENATE(L475, IF('Input Sheet'!J477="",""," siderite in "))</f>
        <v/>
      </c>
      <c r="N4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5" s="31" t="str">
        <f>CONCATENATE(N475, IF('Input Sheet'!K477="",""," siderite in "))</f>
        <v/>
      </c>
    </row>
    <row r="476" spans="1:15" x14ac:dyDescent="0.35">
      <c r="A476" s="42" t="str">
        <f>IF('Input Sheet'!C478="","",CONCATENATE("Sample ", 'Input Sheet'!B478, "m: ", M476, G476, "% ", "Siltstone, ", O476, 'Input Sheet'!C478, "% ", I476, " Sandstone, ", K476, J476, " FLUOR in SST. ", "TG ", 'Input Sheet'!I478, "U"))</f>
        <v/>
      </c>
      <c r="B476" s="28" t="str">
        <f>IF('Input Sheet'!C478="","",CONCATENATE("Sample ", 'Input Sheet'!B478, "m: ", N476, H476, "% ", "Siltstone, ", P476, 'Input Sheet'!C478, "% ", J476, " Sandstone "))</f>
        <v/>
      </c>
      <c r="C476" s="28" t="str">
        <f>IF('Input Sheet'!C478="","",CONCATENATE("Sample ", 'Input Sheet'!B478, "m: ", M476,, K476, J476, " FLUOR in SST. ", "TG ", 'Input Sheet'!I478, "U"))</f>
        <v/>
      </c>
      <c r="G476" s="31" t="str">
        <f>IF('Input Sheet'!C478="","",100-'Input Sheet'!C478)</f>
        <v/>
      </c>
      <c r="H4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6" s="31" t="str">
        <f t="shared" si="7"/>
        <v/>
      </c>
      <c r="J4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6" s="31" t="str">
        <f>IF('Input Sheet'!F477=0, "NO",CONCATENATE('Input Sheet'!F477, IF('Input Sheet'!F477&gt;0,"% ","")))</f>
        <v>NO</v>
      </c>
      <c r="L4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6" s="31" t="str">
        <f>CONCATENATE(L476, IF('Input Sheet'!J478="",""," siderite in "))</f>
        <v/>
      </c>
      <c r="N4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6" s="31" t="str">
        <f>CONCATENATE(N476, IF('Input Sheet'!K478="",""," siderite in "))</f>
        <v/>
      </c>
    </row>
    <row r="477" spans="1:15" x14ac:dyDescent="0.35">
      <c r="A477" s="42" t="str">
        <f>IF('Input Sheet'!C479="","",CONCATENATE("Sample ", 'Input Sheet'!B479, "m: ", M477, G477, "% ", "Siltstone, ", O477, 'Input Sheet'!C479, "% ", I477, " Sandstone, ", K477, J477, " FLUOR in SST. ", "TG ", 'Input Sheet'!I479, "U"))</f>
        <v/>
      </c>
      <c r="B477" s="28" t="str">
        <f>IF('Input Sheet'!C479="","",CONCATENATE("Sample ", 'Input Sheet'!B479, "m: ", N477, H477, "% ", "Siltstone, ", P477, 'Input Sheet'!C479, "% ", J477, " Sandstone "))</f>
        <v/>
      </c>
      <c r="C477" s="28" t="str">
        <f>IF('Input Sheet'!C479="","",CONCATENATE("Sample ", 'Input Sheet'!B479, "m: ", M477,, K477, J477, " FLUOR in SST. ", "TG ", 'Input Sheet'!I479, "U"))</f>
        <v/>
      </c>
      <c r="G477" s="31" t="str">
        <f>IF('Input Sheet'!C479="","",100-'Input Sheet'!C479)</f>
        <v/>
      </c>
      <c r="H4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7" s="31" t="str">
        <f t="shared" si="7"/>
        <v/>
      </c>
      <c r="J4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7" s="31" t="str">
        <f>IF('Input Sheet'!F478=0, "NO",CONCATENATE('Input Sheet'!F478, IF('Input Sheet'!F478&gt;0,"% ","")))</f>
        <v>NO</v>
      </c>
      <c r="L4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7" s="31" t="str">
        <f>CONCATENATE(L477, IF('Input Sheet'!J479="",""," siderite in "))</f>
        <v/>
      </c>
      <c r="N4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7" s="31" t="str">
        <f>CONCATENATE(N477, IF('Input Sheet'!K479="",""," siderite in "))</f>
        <v/>
      </c>
    </row>
    <row r="478" spans="1:15" x14ac:dyDescent="0.35">
      <c r="A478" s="42" t="str">
        <f>IF('Input Sheet'!C480="","",CONCATENATE("Sample ", 'Input Sheet'!B480, "m: ", M478, G478, "% ", "Siltstone, ", O478, 'Input Sheet'!C480, "% ", I478, " Sandstone, ", K478, J478, " FLUOR in SST. ", "TG ", 'Input Sheet'!I480, "U"))</f>
        <v/>
      </c>
      <c r="B478" s="28" t="str">
        <f>IF('Input Sheet'!C480="","",CONCATENATE("Sample ", 'Input Sheet'!B480, "m: ", N478, H478, "% ", "Siltstone, ", P478, 'Input Sheet'!C480, "% ", J478, " Sandstone "))</f>
        <v/>
      </c>
      <c r="C478" s="28" t="str">
        <f>IF('Input Sheet'!C480="","",CONCATENATE("Sample ", 'Input Sheet'!B480, "m: ", M478,, K478, J478, " FLUOR in SST. ", "TG ", 'Input Sheet'!I480, "U"))</f>
        <v/>
      </c>
      <c r="G478" s="31" t="str">
        <f>IF('Input Sheet'!C480="","",100-'Input Sheet'!C480)</f>
        <v/>
      </c>
      <c r="H4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8" s="31" t="str">
        <f t="shared" si="7"/>
        <v/>
      </c>
      <c r="J4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8" s="31" t="str">
        <f>IF('Input Sheet'!F479=0, "NO",CONCATENATE('Input Sheet'!F479, IF('Input Sheet'!F479&gt;0,"% ","")))</f>
        <v>NO</v>
      </c>
      <c r="L4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8" s="31" t="str">
        <f>CONCATENATE(L478, IF('Input Sheet'!J480="",""," siderite in "))</f>
        <v/>
      </c>
      <c r="N4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8" s="31" t="str">
        <f>CONCATENATE(N478, IF('Input Sheet'!K480="",""," siderite in "))</f>
        <v/>
      </c>
    </row>
    <row r="479" spans="1:15" x14ac:dyDescent="0.35">
      <c r="A479" s="42" t="str">
        <f>IF('Input Sheet'!C481="","",CONCATENATE("Sample ", 'Input Sheet'!B481, "m: ", M479, G479, "% ", "Siltstone, ", O479, 'Input Sheet'!C481, "% ", I479, " Sandstone, ", K479, J479, " FLUOR in SST. ", "TG ", 'Input Sheet'!I481, "U"))</f>
        <v/>
      </c>
      <c r="B479" s="28" t="str">
        <f>IF('Input Sheet'!C481="","",CONCATENATE("Sample ", 'Input Sheet'!B481, "m: ", N479, H479, "% ", "Siltstone, ", P479, 'Input Sheet'!C481, "% ", J479, " Sandstone "))</f>
        <v/>
      </c>
      <c r="C479" s="28" t="str">
        <f>IF('Input Sheet'!C481="","",CONCATENATE("Sample ", 'Input Sheet'!B481, "m: ", M479,, K479, J479, " FLUOR in SST. ", "TG ", 'Input Sheet'!I481, "U"))</f>
        <v/>
      </c>
      <c r="G479" s="31" t="str">
        <f>IF('Input Sheet'!C481="","",100-'Input Sheet'!C481)</f>
        <v/>
      </c>
      <c r="H4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9" s="31" t="str">
        <f t="shared" si="7"/>
        <v/>
      </c>
      <c r="J4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9" s="31" t="str">
        <f>IF('Input Sheet'!F480=0, "NO",CONCATENATE('Input Sheet'!F480, IF('Input Sheet'!F480&gt;0,"% ","")))</f>
        <v>NO</v>
      </c>
      <c r="L4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9" s="31" t="str">
        <f>CONCATENATE(L479, IF('Input Sheet'!J481="",""," siderite in "))</f>
        <v/>
      </c>
      <c r="N4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9" s="31" t="str">
        <f>CONCATENATE(N479, IF('Input Sheet'!K481="",""," siderite in "))</f>
        <v/>
      </c>
    </row>
    <row r="480" spans="1:15" x14ac:dyDescent="0.35">
      <c r="A480" s="42" t="str">
        <f>IF('Input Sheet'!C482="","",CONCATENATE("Sample ", 'Input Sheet'!B482, "m: ", M480, G480, "% ", "Siltstone, ", O480, 'Input Sheet'!C482, "% ", I480, " Sandstone, ", K480, J480, " FLUOR in SST. ", "TG ", 'Input Sheet'!I482, "U"))</f>
        <v/>
      </c>
      <c r="B480" s="28" t="str">
        <f>IF('Input Sheet'!C482="","",CONCATENATE("Sample ", 'Input Sheet'!B482, "m: ", N480, H480, "% ", "Siltstone, ", P480, 'Input Sheet'!C482, "% ", J480, " Sandstone "))</f>
        <v/>
      </c>
      <c r="C480" s="28" t="str">
        <f>IF('Input Sheet'!C482="","",CONCATENATE("Sample ", 'Input Sheet'!B482, "m: ", M480,, K480, J480, " FLUOR in SST. ", "TG ", 'Input Sheet'!I482, "U"))</f>
        <v/>
      </c>
      <c r="G480" s="31" t="str">
        <f>IF('Input Sheet'!C482="","",100-'Input Sheet'!C482)</f>
        <v/>
      </c>
      <c r="H4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0" s="31" t="str">
        <f t="shared" si="7"/>
        <v/>
      </c>
      <c r="J4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0" s="31" t="str">
        <f>IF('Input Sheet'!F481=0, "NO",CONCATENATE('Input Sheet'!F481, IF('Input Sheet'!F481&gt;0,"% ","")))</f>
        <v>NO</v>
      </c>
      <c r="L4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0" s="31" t="str">
        <f>CONCATENATE(L480, IF('Input Sheet'!J482="",""," siderite in "))</f>
        <v/>
      </c>
      <c r="N4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0" s="31" t="str">
        <f>CONCATENATE(N480, IF('Input Sheet'!K482="",""," siderite in "))</f>
        <v/>
      </c>
    </row>
    <row r="481" spans="1:15" x14ac:dyDescent="0.35">
      <c r="A481" s="42" t="str">
        <f>IF('Input Sheet'!C483="","",CONCATENATE("Sample ", 'Input Sheet'!B483, "m: ", M481, G481, "% ", "Siltstone, ", O481, 'Input Sheet'!C483, "% ", I481, " Sandstone, ", K481, J481, " FLUOR in SST. ", "TG ", 'Input Sheet'!I483, "U"))</f>
        <v/>
      </c>
      <c r="B481" s="28" t="str">
        <f>IF('Input Sheet'!C483="","",CONCATENATE("Sample ", 'Input Sheet'!B483, "m: ", N481, H481, "% ", "Siltstone, ", P481, 'Input Sheet'!C483, "% ", J481, " Sandstone "))</f>
        <v/>
      </c>
      <c r="C481" s="28" t="str">
        <f>IF('Input Sheet'!C483="","",CONCATENATE("Sample ", 'Input Sheet'!B483, "m: ", M481,, K481, J481, " FLUOR in SST. ", "TG ", 'Input Sheet'!I483, "U"))</f>
        <v/>
      </c>
      <c r="G481" s="31" t="str">
        <f>IF('Input Sheet'!C483="","",100-'Input Sheet'!C483)</f>
        <v/>
      </c>
      <c r="H4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1" s="31" t="str">
        <f t="shared" si="7"/>
        <v/>
      </c>
      <c r="J4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1" s="31" t="str">
        <f>IF('Input Sheet'!F482=0, "NO",CONCATENATE('Input Sheet'!F482, IF('Input Sheet'!F482&gt;0,"% ","")))</f>
        <v>NO</v>
      </c>
      <c r="L4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1" s="31" t="str">
        <f>CONCATENATE(L481, IF('Input Sheet'!J483="",""," siderite in "))</f>
        <v/>
      </c>
      <c r="N4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1" s="31" t="str">
        <f>CONCATENATE(N481, IF('Input Sheet'!K483="",""," siderite in "))</f>
        <v/>
      </c>
    </row>
    <row r="482" spans="1:15" x14ac:dyDescent="0.35">
      <c r="A482" s="42" t="str">
        <f>IF('Input Sheet'!C484="","",CONCATENATE("Sample ", 'Input Sheet'!B484, "m: ", M482, G482, "% ", "Siltstone, ", O482, 'Input Sheet'!C484, "% ", I482, " Sandstone, ", K482, J482, " FLUOR in SST. ", "TG ", 'Input Sheet'!I484, "U"))</f>
        <v/>
      </c>
      <c r="B482" s="28" t="str">
        <f>IF('Input Sheet'!C484="","",CONCATENATE("Sample ", 'Input Sheet'!B484, "m: ", N482, H482, "% ", "Siltstone, ", P482, 'Input Sheet'!C484, "% ", J482, " Sandstone "))</f>
        <v/>
      </c>
      <c r="C482" s="28" t="str">
        <f>IF('Input Sheet'!C484="","",CONCATENATE("Sample ", 'Input Sheet'!B484, "m: ", M482,, K482, J482, " FLUOR in SST. ", "TG ", 'Input Sheet'!I484, "U"))</f>
        <v/>
      </c>
      <c r="G482" s="31" t="str">
        <f>IF('Input Sheet'!C484="","",100-'Input Sheet'!C484)</f>
        <v/>
      </c>
      <c r="H4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2" s="31" t="str">
        <f t="shared" si="7"/>
        <v/>
      </c>
      <c r="J4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2" s="31" t="str">
        <f>IF('Input Sheet'!F483=0, "NO",CONCATENATE('Input Sheet'!F483, IF('Input Sheet'!F483&gt;0,"% ","")))</f>
        <v>NO</v>
      </c>
      <c r="L4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2" s="31" t="str">
        <f>CONCATENATE(L482, IF('Input Sheet'!J484="",""," siderite in "))</f>
        <v/>
      </c>
      <c r="N4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2" s="31" t="str">
        <f>CONCATENATE(N482, IF('Input Sheet'!K484="",""," siderite in "))</f>
        <v/>
      </c>
    </row>
    <row r="483" spans="1:15" x14ac:dyDescent="0.35">
      <c r="A483" s="42" t="str">
        <f>IF('Input Sheet'!C485="","",CONCATENATE("Sample ", 'Input Sheet'!B485, "m: ", M483, G483, "% ", "Siltstone, ", O483, 'Input Sheet'!C485, "% ", I483, " Sandstone, ", K483, J483, " FLUOR in SST. ", "TG ", 'Input Sheet'!I485, "U"))</f>
        <v/>
      </c>
      <c r="B483" s="28" t="str">
        <f>IF('Input Sheet'!C485="","",CONCATENATE("Sample ", 'Input Sheet'!B485, "m: ", N483, H483, "% ", "Siltstone, ", P483, 'Input Sheet'!C485, "% ", J483, " Sandstone "))</f>
        <v/>
      </c>
      <c r="C483" s="28" t="str">
        <f>IF('Input Sheet'!C485="","",CONCATENATE("Sample ", 'Input Sheet'!B485, "m: ", M483,, K483, J483, " FLUOR in SST. ", "TG ", 'Input Sheet'!I485, "U"))</f>
        <v/>
      </c>
      <c r="G483" s="31" t="str">
        <f>IF('Input Sheet'!C485="","",100-'Input Sheet'!C485)</f>
        <v/>
      </c>
      <c r="H4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3" s="31" t="str">
        <f t="shared" si="7"/>
        <v/>
      </c>
      <c r="J4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3" s="31" t="str">
        <f>IF('Input Sheet'!F484=0, "NO",CONCATENATE('Input Sheet'!F484, IF('Input Sheet'!F484&gt;0,"% ","")))</f>
        <v>NO</v>
      </c>
      <c r="L4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3" s="31" t="str">
        <f>CONCATENATE(L483, IF('Input Sheet'!J485="",""," siderite in "))</f>
        <v/>
      </c>
      <c r="N4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3" s="31" t="str">
        <f>CONCATENATE(N483, IF('Input Sheet'!K485="",""," siderite in "))</f>
        <v/>
      </c>
    </row>
    <row r="484" spans="1:15" x14ac:dyDescent="0.35">
      <c r="A484" s="42" t="str">
        <f>IF('Input Sheet'!C486="","",CONCATENATE("Sample ", 'Input Sheet'!B486, "m: ", M484, G484, "% ", "Siltstone, ", O484, 'Input Sheet'!C486, "% ", I484, " Sandstone, ", K484, J484, " FLUOR in SST. ", "TG ", 'Input Sheet'!I486, "U"))</f>
        <v/>
      </c>
      <c r="B484" s="28" t="str">
        <f>IF('Input Sheet'!C486="","",CONCATENATE("Sample ", 'Input Sheet'!B486, "m: ", N484, H484, "% ", "Siltstone, ", P484, 'Input Sheet'!C486, "% ", J484, " Sandstone "))</f>
        <v/>
      </c>
      <c r="C484" s="28" t="str">
        <f>IF('Input Sheet'!C486="","",CONCATENATE("Sample ", 'Input Sheet'!B486, "m: ", M484,, K484, J484, " FLUOR in SST. ", "TG ", 'Input Sheet'!I486, "U"))</f>
        <v/>
      </c>
      <c r="G484" s="31" t="str">
        <f>IF('Input Sheet'!C486="","",100-'Input Sheet'!C486)</f>
        <v/>
      </c>
      <c r="H4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4" s="31" t="str">
        <f t="shared" si="7"/>
        <v/>
      </c>
      <c r="J4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4" s="31" t="str">
        <f>IF('Input Sheet'!F485=0, "NO",CONCATENATE('Input Sheet'!F485, IF('Input Sheet'!F485&gt;0,"% ","")))</f>
        <v>NO</v>
      </c>
      <c r="L4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4" s="31" t="str">
        <f>CONCATENATE(L484, IF('Input Sheet'!J486="",""," siderite in "))</f>
        <v/>
      </c>
      <c r="N4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4" s="31" t="str">
        <f>CONCATENATE(N484, IF('Input Sheet'!K486="",""," siderite in "))</f>
        <v/>
      </c>
    </row>
    <row r="485" spans="1:15" x14ac:dyDescent="0.35">
      <c r="A485" s="42" t="str">
        <f>IF('Input Sheet'!C487="","",CONCATENATE("Sample ", 'Input Sheet'!B487, "m: ", M485, G485, "% ", "Siltstone, ", O485, 'Input Sheet'!C487, "% ", I485, " Sandstone, ", K485, J485, " FLUOR in SST. ", "TG ", 'Input Sheet'!I487, "U"))</f>
        <v/>
      </c>
      <c r="B485" s="28" t="str">
        <f>IF('Input Sheet'!C487="","",CONCATENATE("Sample ", 'Input Sheet'!B487, "m: ", N485, H485, "% ", "Siltstone, ", P485, 'Input Sheet'!C487, "% ", J485, " Sandstone "))</f>
        <v/>
      </c>
      <c r="C485" s="28" t="str">
        <f>IF('Input Sheet'!C487="","",CONCATENATE("Sample ", 'Input Sheet'!B487, "m: ", M485,, K485, J485, " FLUOR in SST. ", "TG ", 'Input Sheet'!I487, "U"))</f>
        <v/>
      </c>
      <c r="G485" s="31" t="str">
        <f>IF('Input Sheet'!C487="","",100-'Input Sheet'!C487)</f>
        <v/>
      </c>
      <c r="H4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5" s="31" t="str">
        <f t="shared" si="7"/>
        <v/>
      </c>
      <c r="J4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5" s="31" t="str">
        <f>IF('Input Sheet'!F486=0, "NO",CONCATENATE('Input Sheet'!F486, IF('Input Sheet'!F486&gt;0,"% ","")))</f>
        <v>NO</v>
      </c>
      <c r="L4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5" s="31" t="str">
        <f>CONCATENATE(L485, IF('Input Sheet'!J487="",""," siderite in "))</f>
        <v/>
      </c>
      <c r="N4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5" s="31" t="str">
        <f>CONCATENATE(N485, IF('Input Sheet'!K487="",""," siderite in "))</f>
        <v/>
      </c>
    </row>
    <row r="486" spans="1:15" x14ac:dyDescent="0.35">
      <c r="A486" s="42" t="str">
        <f>IF('Input Sheet'!C488="","",CONCATENATE("Sample ", 'Input Sheet'!B488, "m: ", M486, G486, "% ", "Siltstone, ", O486, 'Input Sheet'!C488, "% ", I486, " Sandstone, ", K486, J486, " FLUOR in SST. ", "TG ", 'Input Sheet'!I488, "U"))</f>
        <v/>
      </c>
      <c r="B486" s="28" t="str">
        <f>IF('Input Sheet'!C488="","",CONCATENATE("Sample ", 'Input Sheet'!B488, "m: ", N486, H486, "% ", "Siltstone, ", P486, 'Input Sheet'!C488, "% ", J486, " Sandstone "))</f>
        <v/>
      </c>
      <c r="C486" s="28" t="str">
        <f>IF('Input Sheet'!C488="","",CONCATENATE("Sample ", 'Input Sheet'!B488, "m: ", M486,, K486, J486, " FLUOR in SST. ", "TG ", 'Input Sheet'!I488, "U"))</f>
        <v/>
      </c>
      <c r="G486" s="31" t="str">
        <f>IF('Input Sheet'!C488="","",100-'Input Sheet'!C488)</f>
        <v/>
      </c>
      <c r="H4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6" s="31" t="str">
        <f t="shared" si="7"/>
        <v/>
      </c>
      <c r="J4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6" s="31" t="str">
        <f>IF('Input Sheet'!F487=0, "NO",CONCATENATE('Input Sheet'!F487, IF('Input Sheet'!F487&gt;0,"% ","")))</f>
        <v>NO</v>
      </c>
      <c r="L4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6" s="31" t="str">
        <f>CONCATENATE(L486, IF('Input Sheet'!J488="",""," siderite in "))</f>
        <v/>
      </c>
      <c r="N4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6" s="31" t="str">
        <f>CONCATENATE(N486, IF('Input Sheet'!K488="",""," siderite in "))</f>
        <v/>
      </c>
    </row>
    <row r="487" spans="1:15" x14ac:dyDescent="0.35">
      <c r="A487" s="42" t="str">
        <f>IF('Input Sheet'!C489="","",CONCATENATE("Sample ", 'Input Sheet'!B489, "m: ", M487, G487, "% ", "Siltstone, ", O487, 'Input Sheet'!C489, "% ", I487, " Sandstone, ", K487, J487, " FLUOR in SST. ", "TG ", 'Input Sheet'!I489, "U"))</f>
        <v/>
      </c>
      <c r="B487" s="28" t="str">
        <f>IF('Input Sheet'!C489="","",CONCATENATE("Sample ", 'Input Sheet'!B489, "m: ", N487, H487, "% ", "Siltstone, ", P487, 'Input Sheet'!C489, "% ", J487, " Sandstone "))</f>
        <v/>
      </c>
      <c r="C487" s="28" t="str">
        <f>IF('Input Sheet'!C489="","",CONCATENATE("Sample ", 'Input Sheet'!B489, "m: ", M487,, K487, J487, " FLUOR in SST. ", "TG ", 'Input Sheet'!I489, "U"))</f>
        <v/>
      </c>
      <c r="G487" s="31" t="str">
        <f>IF('Input Sheet'!C489="","",100-'Input Sheet'!C489)</f>
        <v/>
      </c>
      <c r="H4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7" s="31" t="str">
        <f t="shared" si="7"/>
        <v/>
      </c>
      <c r="J4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7" s="31" t="str">
        <f>IF('Input Sheet'!F488=0, "NO",CONCATENATE('Input Sheet'!F488, IF('Input Sheet'!F488&gt;0,"% ","")))</f>
        <v>NO</v>
      </c>
      <c r="L4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7" s="31" t="str">
        <f>CONCATENATE(L487, IF('Input Sheet'!J489="",""," siderite in "))</f>
        <v/>
      </c>
      <c r="N4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7" s="31" t="str">
        <f>CONCATENATE(N487, IF('Input Sheet'!K489="",""," siderite in "))</f>
        <v/>
      </c>
    </row>
    <row r="488" spans="1:15" x14ac:dyDescent="0.35">
      <c r="A488" s="42" t="str">
        <f>IF('Input Sheet'!C490="","",CONCATENATE("Sample ", 'Input Sheet'!B490, "m: ", M488, G488, "% ", "Siltstone, ", O488, 'Input Sheet'!C490, "% ", I488, " Sandstone, ", K488, J488, " FLUOR in SST. ", "TG ", 'Input Sheet'!I490, "U"))</f>
        <v/>
      </c>
      <c r="B488" s="28" t="str">
        <f>IF('Input Sheet'!C490="","",CONCATENATE("Sample ", 'Input Sheet'!B490, "m: ", N488, H488, "% ", "Siltstone, ", P488, 'Input Sheet'!C490, "% ", J488, " Sandstone "))</f>
        <v/>
      </c>
      <c r="C488" s="28" t="str">
        <f>IF('Input Sheet'!C490="","",CONCATENATE("Sample ", 'Input Sheet'!B490, "m: ", M488,, K488, J488, " FLUOR in SST. ", "TG ", 'Input Sheet'!I490, "U"))</f>
        <v/>
      </c>
      <c r="G488" s="31" t="str">
        <f>IF('Input Sheet'!C490="","",100-'Input Sheet'!C490)</f>
        <v/>
      </c>
      <c r="H4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8" s="31" t="str">
        <f t="shared" si="7"/>
        <v/>
      </c>
      <c r="J4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8" s="31" t="str">
        <f>IF('Input Sheet'!F489=0, "NO",CONCATENATE('Input Sheet'!F489, IF('Input Sheet'!F489&gt;0,"% ","")))</f>
        <v>NO</v>
      </c>
      <c r="L4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8" s="31" t="str">
        <f>CONCATENATE(L488, IF('Input Sheet'!J490="",""," siderite in "))</f>
        <v/>
      </c>
      <c r="N4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8" s="31" t="str">
        <f>CONCATENATE(N488, IF('Input Sheet'!K490="",""," siderite in "))</f>
        <v/>
      </c>
    </row>
    <row r="489" spans="1:15" x14ac:dyDescent="0.35">
      <c r="A489" s="42" t="str">
        <f>IF('Input Sheet'!C491="","",CONCATENATE("Sample ", 'Input Sheet'!B491, "m: ", M489, G489, "% ", "Siltstone, ", O489, 'Input Sheet'!C491, "% ", I489, " Sandstone, ", K489, J489, " FLUOR in SST. ", "TG ", 'Input Sheet'!I491, "U"))</f>
        <v/>
      </c>
      <c r="B489" s="28" t="str">
        <f>IF('Input Sheet'!C491="","",CONCATENATE("Sample ", 'Input Sheet'!B491, "m: ", N489, H489, "% ", "Siltstone, ", P489, 'Input Sheet'!C491, "% ", J489, " Sandstone "))</f>
        <v/>
      </c>
      <c r="C489" s="28" t="str">
        <f>IF('Input Sheet'!C491="","",CONCATENATE("Sample ", 'Input Sheet'!B491, "m: ", M489,, K489, J489, " FLUOR in SST. ", "TG ", 'Input Sheet'!I491, "U"))</f>
        <v/>
      </c>
      <c r="G489" s="31" t="str">
        <f>IF('Input Sheet'!C491="","",100-'Input Sheet'!C491)</f>
        <v/>
      </c>
      <c r="H4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9" s="31" t="str">
        <f t="shared" si="7"/>
        <v/>
      </c>
      <c r="J4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9" s="31" t="str">
        <f>IF('Input Sheet'!F490=0, "NO",CONCATENATE('Input Sheet'!F490, IF('Input Sheet'!F490&gt;0,"% ","")))</f>
        <v>NO</v>
      </c>
      <c r="L4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9" s="31" t="str">
        <f>CONCATENATE(L489, IF('Input Sheet'!J491="",""," siderite in "))</f>
        <v/>
      </c>
      <c r="N4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9" s="31" t="str">
        <f>CONCATENATE(N489, IF('Input Sheet'!K491="",""," siderite in "))</f>
        <v/>
      </c>
    </row>
    <row r="490" spans="1:15" x14ac:dyDescent="0.35">
      <c r="A490" s="42" t="str">
        <f>IF('Input Sheet'!C492="","",CONCATENATE("Sample ", 'Input Sheet'!B492, "m: ", M490, G490, "% ", "Siltstone, ", O490, 'Input Sheet'!C492, "% ", I490, " Sandstone, ", K490, J490, " FLUOR in SST. ", "TG ", 'Input Sheet'!I492, "U"))</f>
        <v/>
      </c>
      <c r="B490" s="28" t="str">
        <f>IF('Input Sheet'!C492="","",CONCATENATE("Sample ", 'Input Sheet'!B492, "m: ", N490, H490, "% ", "Siltstone, ", P490, 'Input Sheet'!C492, "% ", J490, " Sandstone "))</f>
        <v/>
      </c>
      <c r="C490" s="28" t="str">
        <f>IF('Input Sheet'!C492="","",CONCATENATE("Sample ", 'Input Sheet'!B492, "m: ", M490,, K490, J490, " FLUOR in SST. ", "TG ", 'Input Sheet'!I492, "U"))</f>
        <v/>
      </c>
      <c r="G490" s="31" t="str">
        <f>IF('Input Sheet'!C492="","",100-'Input Sheet'!C492)</f>
        <v/>
      </c>
      <c r="H4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0" s="31" t="str">
        <f t="shared" si="7"/>
        <v/>
      </c>
      <c r="J4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0" s="31" t="str">
        <f>IF('Input Sheet'!F491=0, "NO",CONCATENATE('Input Sheet'!F491, IF('Input Sheet'!F491&gt;0,"% ","")))</f>
        <v>NO</v>
      </c>
      <c r="L4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0" s="31" t="str">
        <f>CONCATENATE(L490, IF('Input Sheet'!J492="",""," siderite in "))</f>
        <v/>
      </c>
      <c r="N4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0" s="31" t="str">
        <f>CONCATENATE(N490, IF('Input Sheet'!K492="",""," siderite in "))</f>
        <v/>
      </c>
    </row>
    <row r="491" spans="1:15" x14ac:dyDescent="0.35">
      <c r="A491" s="42" t="str">
        <f>IF('Input Sheet'!C493="","",CONCATENATE("Sample ", 'Input Sheet'!B493, "m: ", M491, G491, "% ", "Siltstone, ", O491, 'Input Sheet'!C493, "% ", I491, " Sandstone, ", K491, J491, " FLUOR in SST. ", "TG ", 'Input Sheet'!I493, "U"))</f>
        <v/>
      </c>
      <c r="B491" s="28" t="str">
        <f>IF('Input Sheet'!C493="","",CONCATENATE("Sample ", 'Input Sheet'!B493, "m: ", N491, H491, "% ", "Siltstone, ", P491, 'Input Sheet'!C493, "% ", J491, " Sandstone "))</f>
        <v/>
      </c>
      <c r="C491" s="28" t="str">
        <f>IF('Input Sheet'!C493="","",CONCATENATE("Sample ", 'Input Sheet'!B493, "m: ", M491,, K491, J491, " FLUOR in SST. ", "TG ", 'Input Sheet'!I493, "U"))</f>
        <v/>
      </c>
      <c r="G491" s="31" t="str">
        <f>IF('Input Sheet'!C493="","",100-'Input Sheet'!C493)</f>
        <v/>
      </c>
      <c r="H4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1" s="31" t="str">
        <f t="shared" si="7"/>
        <v/>
      </c>
      <c r="J4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1" s="31" t="str">
        <f>IF('Input Sheet'!F492=0, "NO",CONCATENATE('Input Sheet'!F492, IF('Input Sheet'!F492&gt;0,"% ","")))</f>
        <v>NO</v>
      </c>
      <c r="L4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1" s="31" t="str">
        <f>CONCATENATE(L491, IF('Input Sheet'!J493="",""," siderite in "))</f>
        <v/>
      </c>
      <c r="N4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1" s="31" t="str">
        <f>CONCATENATE(N491, IF('Input Sheet'!K493="",""," siderite in "))</f>
        <v/>
      </c>
    </row>
    <row r="492" spans="1:15" x14ac:dyDescent="0.35">
      <c r="A492" s="42" t="str">
        <f>IF('Input Sheet'!C494="","",CONCATENATE("Sample ", 'Input Sheet'!B494, "m: ", M492, G492, "% ", "Siltstone, ", O492, 'Input Sheet'!C494, "% ", I492, " Sandstone, ", K492, J492, " FLUOR in SST. ", "TG ", 'Input Sheet'!I494, "U"))</f>
        <v/>
      </c>
      <c r="B492" s="28" t="str">
        <f>IF('Input Sheet'!C494="","",CONCATENATE("Sample ", 'Input Sheet'!B494, "m: ", N492, H492, "% ", "Siltstone, ", P492, 'Input Sheet'!C494, "% ", J492, " Sandstone "))</f>
        <v/>
      </c>
      <c r="C492" s="28" t="str">
        <f>IF('Input Sheet'!C494="","",CONCATENATE("Sample ", 'Input Sheet'!B494, "m: ", M492,, K492, J492, " FLUOR in SST. ", "TG ", 'Input Sheet'!I494, "U"))</f>
        <v/>
      </c>
      <c r="G492" s="31" t="str">
        <f>IF('Input Sheet'!C494="","",100-'Input Sheet'!C494)</f>
        <v/>
      </c>
      <c r="H4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2" s="31" t="str">
        <f t="shared" si="7"/>
        <v/>
      </c>
      <c r="J4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2" s="31" t="str">
        <f>IF('Input Sheet'!F493=0, "NO",CONCATENATE('Input Sheet'!F493, IF('Input Sheet'!F493&gt;0,"% ","")))</f>
        <v>NO</v>
      </c>
      <c r="L4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2" s="31" t="str">
        <f>CONCATENATE(L492, IF('Input Sheet'!J494="",""," siderite in "))</f>
        <v/>
      </c>
      <c r="N4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2" s="31" t="str">
        <f>CONCATENATE(N492, IF('Input Sheet'!K494="",""," siderite in "))</f>
        <v/>
      </c>
    </row>
    <row r="493" spans="1:15" x14ac:dyDescent="0.35">
      <c r="A493" s="42" t="str">
        <f>IF('Input Sheet'!C495="","",CONCATENATE("Sample ", 'Input Sheet'!B495, "m: ", M493, G493, "% ", "Siltstone, ", O493, 'Input Sheet'!C495, "% ", I493, " Sandstone, ", K493, J493, " FLUOR in SST. ", "TG ", 'Input Sheet'!I495, "U"))</f>
        <v/>
      </c>
      <c r="B493" s="28" t="str">
        <f>IF('Input Sheet'!C495="","",CONCATENATE("Sample ", 'Input Sheet'!B495, "m: ", N493, H493, "% ", "Siltstone, ", P493, 'Input Sheet'!C495, "% ", J493, " Sandstone "))</f>
        <v/>
      </c>
      <c r="C493" s="28" t="str">
        <f>IF('Input Sheet'!C495="","",CONCATENATE("Sample ", 'Input Sheet'!B495, "m: ", M493,, K493, J493, " FLUOR in SST. ", "TG ", 'Input Sheet'!I495, "U"))</f>
        <v/>
      </c>
      <c r="G493" s="31" t="str">
        <f>IF('Input Sheet'!C495="","",100-'Input Sheet'!C495)</f>
        <v/>
      </c>
      <c r="H4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3" s="31" t="str">
        <f t="shared" si="7"/>
        <v/>
      </c>
      <c r="J4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3" s="31" t="str">
        <f>IF('Input Sheet'!F494=0, "NO",CONCATENATE('Input Sheet'!F494, IF('Input Sheet'!F494&gt;0,"% ","")))</f>
        <v>NO</v>
      </c>
      <c r="L4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3" s="31" t="str">
        <f>CONCATENATE(L493, IF('Input Sheet'!J495="",""," siderite in "))</f>
        <v/>
      </c>
      <c r="N4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3" s="31" t="str">
        <f>CONCATENATE(N493, IF('Input Sheet'!K495="",""," siderite in "))</f>
        <v/>
      </c>
    </row>
    <row r="494" spans="1:15" x14ac:dyDescent="0.35">
      <c r="A494" s="42" t="str">
        <f>IF('Input Sheet'!C496="","",CONCATENATE("Sample ", 'Input Sheet'!B496, "m: ", M494, G494, "% ", "Siltstone, ", O494, 'Input Sheet'!C496, "% ", I494, " Sandstone, ", K494, J494, " FLUOR in SST. ", "TG ", 'Input Sheet'!I496, "U"))</f>
        <v/>
      </c>
      <c r="B494" s="28" t="str">
        <f>IF('Input Sheet'!C496="","",CONCATENATE("Sample ", 'Input Sheet'!B496, "m: ", N494, H494, "% ", "Siltstone, ", P494, 'Input Sheet'!C496, "% ", J494, " Sandstone "))</f>
        <v/>
      </c>
      <c r="C494" s="28" t="str">
        <f>IF('Input Sheet'!C496="","",CONCATENATE("Sample ", 'Input Sheet'!B496, "m: ", M494,, K494, J494, " FLUOR in SST. ", "TG ", 'Input Sheet'!I496, "U"))</f>
        <v/>
      </c>
      <c r="G494" s="31" t="str">
        <f>IF('Input Sheet'!C496="","",100-'Input Sheet'!C496)</f>
        <v/>
      </c>
      <c r="H4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4" s="31" t="str">
        <f t="shared" si="7"/>
        <v/>
      </c>
      <c r="J4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4" s="31" t="str">
        <f>IF('Input Sheet'!F495=0, "NO",CONCATENATE('Input Sheet'!F495, IF('Input Sheet'!F495&gt;0,"% ","")))</f>
        <v>NO</v>
      </c>
      <c r="L4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4" s="31" t="str">
        <f>CONCATENATE(L494, IF('Input Sheet'!J496="",""," siderite in "))</f>
        <v/>
      </c>
      <c r="N4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4" s="31" t="str">
        <f>CONCATENATE(N494, IF('Input Sheet'!K496="",""," siderite in "))</f>
        <v/>
      </c>
    </row>
    <row r="495" spans="1:15" x14ac:dyDescent="0.35">
      <c r="A495" s="42" t="str">
        <f>IF('Input Sheet'!C497="","",CONCATENATE("Sample ", 'Input Sheet'!B497, "m: ", M495, G495, "% ", "Siltstone, ", O495, 'Input Sheet'!C497, "% ", I495, " Sandstone, ", K495, J495, " FLUOR in SST. ", "TG ", 'Input Sheet'!I497, "U"))</f>
        <v/>
      </c>
      <c r="B495" s="28" t="str">
        <f>IF('Input Sheet'!C497="","",CONCATENATE("Sample ", 'Input Sheet'!B497, "m: ", N495, H495, "% ", "Siltstone, ", P495, 'Input Sheet'!C497, "% ", J495, " Sandstone "))</f>
        <v/>
      </c>
      <c r="C495" s="28" t="str">
        <f>IF('Input Sheet'!C497="","",CONCATENATE("Sample ", 'Input Sheet'!B497, "m: ", M495,, K495, J495, " FLUOR in SST. ", "TG ", 'Input Sheet'!I497, "U"))</f>
        <v/>
      </c>
      <c r="G495" s="31" t="str">
        <f>IF('Input Sheet'!C497="","",100-'Input Sheet'!C497)</f>
        <v/>
      </c>
      <c r="H4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5" s="31" t="str">
        <f t="shared" si="7"/>
        <v/>
      </c>
      <c r="J4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5" s="31" t="str">
        <f>IF('Input Sheet'!F496=0, "NO",CONCATENATE('Input Sheet'!F496, IF('Input Sheet'!F496&gt;0,"% ","")))</f>
        <v>NO</v>
      </c>
      <c r="L4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5" s="31" t="str">
        <f>CONCATENATE(L495, IF('Input Sheet'!J497="",""," siderite in "))</f>
        <v/>
      </c>
      <c r="N4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5" s="31" t="str">
        <f>CONCATENATE(N495, IF('Input Sheet'!K497="",""," siderite in "))</f>
        <v/>
      </c>
    </row>
    <row r="496" spans="1:15" x14ac:dyDescent="0.35">
      <c r="A496" s="42" t="str">
        <f>IF('Input Sheet'!C498="","",CONCATENATE("Sample ", 'Input Sheet'!B498, "m: ", M496, G496, "% ", "Siltstone, ", O496, 'Input Sheet'!C498, "% ", I496, " Sandstone, ", K496, J496, " FLUOR in SST. ", "TG ", 'Input Sheet'!I498, "U"))</f>
        <v/>
      </c>
      <c r="B496" s="28" t="str">
        <f>IF('Input Sheet'!C498="","",CONCATENATE("Sample ", 'Input Sheet'!B498, "m: ", N496, H496, "% ", "Siltstone, ", P496, 'Input Sheet'!C498, "% ", J496, " Sandstone "))</f>
        <v/>
      </c>
      <c r="C496" s="28" t="str">
        <f>IF('Input Sheet'!C498="","",CONCATENATE("Sample ", 'Input Sheet'!B498, "m: ", M496,, K496, J496, " FLUOR in SST. ", "TG ", 'Input Sheet'!I498, "U"))</f>
        <v/>
      </c>
      <c r="G496" s="31" t="str">
        <f>IF('Input Sheet'!C498="","",100-'Input Sheet'!C498)</f>
        <v/>
      </c>
      <c r="H4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6" s="31" t="str">
        <f t="shared" si="7"/>
        <v/>
      </c>
      <c r="J4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6" s="31" t="str">
        <f>IF('Input Sheet'!F497=0, "NO",CONCATENATE('Input Sheet'!F497, IF('Input Sheet'!F497&gt;0,"% ","")))</f>
        <v>NO</v>
      </c>
      <c r="L4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6" s="31" t="str">
        <f>CONCATENATE(L496, IF('Input Sheet'!J498="",""," siderite in "))</f>
        <v/>
      </c>
      <c r="N4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6" s="31" t="str">
        <f>CONCATENATE(N496, IF('Input Sheet'!K498="",""," siderite in "))</f>
        <v/>
      </c>
    </row>
    <row r="497" spans="1:15" x14ac:dyDescent="0.35">
      <c r="A497" s="42" t="str">
        <f>IF('Input Sheet'!C499="","",CONCATENATE("Sample ", 'Input Sheet'!B499, "m: ", M497, G497, "% ", "Siltstone, ", O497, 'Input Sheet'!C499, "% ", I497, " Sandstone, ", K497, J497, " FLUOR in SST. ", "TG ", 'Input Sheet'!I499, "U"))</f>
        <v/>
      </c>
      <c r="B497" s="28" t="str">
        <f>IF('Input Sheet'!C499="","",CONCATENATE("Sample ", 'Input Sheet'!B499, "m: ", N497, H497, "% ", "Siltstone, ", P497, 'Input Sheet'!C499, "% ", J497, " Sandstone "))</f>
        <v/>
      </c>
      <c r="C497" s="28" t="str">
        <f>IF('Input Sheet'!C499="","",CONCATENATE("Sample ", 'Input Sheet'!B499, "m: ", M497,, K497, J497, " FLUOR in SST. ", "TG ", 'Input Sheet'!I499, "U"))</f>
        <v/>
      </c>
      <c r="G497" s="31" t="str">
        <f>IF('Input Sheet'!C499="","",100-'Input Sheet'!C499)</f>
        <v/>
      </c>
      <c r="H4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7" s="31" t="str">
        <f t="shared" si="7"/>
        <v/>
      </c>
      <c r="J4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7" s="31" t="str">
        <f>IF('Input Sheet'!F498=0, "NO",CONCATENATE('Input Sheet'!F498, IF('Input Sheet'!F498&gt;0,"% ","")))</f>
        <v>NO</v>
      </c>
      <c r="L4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7" s="31" t="str">
        <f>CONCATENATE(L497, IF('Input Sheet'!J499="",""," siderite in "))</f>
        <v/>
      </c>
      <c r="N4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7" s="31" t="str">
        <f>CONCATENATE(N497, IF('Input Sheet'!K499="",""," siderite in "))</f>
        <v/>
      </c>
    </row>
    <row r="498" spans="1:15" x14ac:dyDescent="0.35">
      <c r="A498" s="42" t="str">
        <f>IF('Input Sheet'!C500="","",CONCATENATE("Sample ", 'Input Sheet'!B500, "m: ", M498, G498, "% ", "Siltstone, ", O498, 'Input Sheet'!C500, "% ", I498, " Sandstone, ", K498, J498, " FLUOR in SST. ", "TG ", 'Input Sheet'!I500, "U"))</f>
        <v/>
      </c>
      <c r="B498" s="28" t="str">
        <f>IF('Input Sheet'!C500="","",CONCATENATE("Sample ", 'Input Sheet'!B500, "m: ", N498, H498, "% ", "Siltstone, ", P498, 'Input Sheet'!C500, "% ", J498, " Sandstone "))</f>
        <v/>
      </c>
      <c r="C498" s="28" t="str">
        <f>IF('Input Sheet'!C500="","",CONCATENATE("Sample ", 'Input Sheet'!B500, "m: ", M498,, K498, J498, " FLUOR in SST. ", "TG ", 'Input Sheet'!I500, "U"))</f>
        <v/>
      </c>
      <c r="G498" s="31" t="str">
        <f>IF('Input Sheet'!C500="","",100-'Input Sheet'!C500)</f>
        <v/>
      </c>
      <c r="H4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8" s="31" t="str">
        <f t="shared" si="7"/>
        <v/>
      </c>
      <c r="J4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8" s="31" t="str">
        <f>IF('Input Sheet'!F499=0, "NO",CONCATENATE('Input Sheet'!F499, IF('Input Sheet'!F499&gt;0,"% ","")))</f>
        <v>NO</v>
      </c>
      <c r="L4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8" s="31" t="str">
        <f>CONCATENATE(L498, IF('Input Sheet'!J500="",""," siderite in "))</f>
        <v/>
      </c>
      <c r="N4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8" s="31" t="str">
        <f>CONCATENATE(N498, IF('Input Sheet'!K500="",""," siderite in "))</f>
        <v/>
      </c>
    </row>
    <row r="499" spans="1:15" x14ac:dyDescent="0.35">
      <c r="A499" s="42" t="str">
        <f>IF('Input Sheet'!C501="","",CONCATENATE("Sample ", 'Input Sheet'!B501, "m: ", M499, G499, "% ", "Siltstone, ", O499, 'Input Sheet'!C501, "% ", I499, " Sandstone, ", K499, J499, " FLUOR in SST. ", "TG ", 'Input Sheet'!I501, "U"))</f>
        <v/>
      </c>
      <c r="B499" s="28" t="str">
        <f>IF('Input Sheet'!C501="","",CONCATENATE("Sample ", 'Input Sheet'!B501, "m: ", N499, H499, "% ", "Siltstone, ", P499, 'Input Sheet'!C501, "% ", J499, " Sandstone "))</f>
        <v/>
      </c>
      <c r="C499" s="28" t="str">
        <f>IF('Input Sheet'!C501="","",CONCATENATE("Sample ", 'Input Sheet'!B501, "m: ", M499,, K499, J499, " FLUOR in SST. ", "TG ", 'Input Sheet'!I501, "U"))</f>
        <v/>
      </c>
      <c r="G499" s="31" t="str">
        <f>IF('Input Sheet'!C501="","",100-'Input Sheet'!C501)</f>
        <v/>
      </c>
      <c r="H4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9" s="31" t="str">
        <f t="shared" si="7"/>
        <v/>
      </c>
      <c r="J4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9" s="31" t="str">
        <f>IF('Input Sheet'!F500=0, "NO",CONCATENATE('Input Sheet'!F500, IF('Input Sheet'!F500&gt;0,"% ","")))</f>
        <v>NO</v>
      </c>
      <c r="L4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9" s="31" t="str">
        <f>CONCATENATE(L499, IF('Input Sheet'!J501="",""," siderite in "))</f>
        <v/>
      </c>
      <c r="N4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9" s="31" t="str">
        <f>CONCATENATE(N499, IF('Input Sheet'!K501="",""," siderite in "))</f>
        <v/>
      </c>
    </row>
    <row r="500" spans="1:15" x14ac:dyDescent="0.35">
      <c r="A500" s="42" t="str">
        <f>IF('Input Sheet'!C502="","",CONCATENATE("Sample ", 'Input Sheet'!B502, "m: ", M500, G500, "% ", "Siltstone, ", O500, 'Input Sheet'!C502, "% ", I500, " Sandstone, ", K500, J500, " FLUOR in SST. ", "TG ", 'Input Sheet'!I502, "U"))</f>
        <v/>
      </c>
      <c r="B500" s="28" t="str">
        <f>IF('Input Sheet'!C502="","",CONCATENATE("Sample ", 'Input Sheet'!B502, "m: ", N500, H500, "% ", "Siltstone, ", P500, 'Input Sheet'!C502, "% ", J500, " Sandstone "))</f>
        <v/>
      </c>
      <c r="C500" s="28" t="str">
        <f>IF('Input Sheet'!C502="","",CONCATENATE("Sample ", 'Input Sheet'!B502, "m: ", M500,, K500, J500, " FLUOR in SST. ", "TG ", 'Input Sheet'!I502, "U"))</f>
        <v/>
      </c>
      <c r="G500" s="31" t="str">
        <f>IF('Input Sheet'!C502="","",100-'Input Sheet'!C502)</f>
        <v/>
      </c>
      <c r="H5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0" s="31" t="str">
        <f t="shared" si="7"/>
        <v/>
      </c>
      <c r="J5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0" s="31" t="str">
        <f>IF('Input Sheet'!F501=0, "NO",CONCATENATE('Input Sheet'!F501, IF('Input Sheet'!F501&gt;0,"% ","")))</f>
        <v>NO</v>
      </c>
      <c r="L5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0" s="31" t="str">
        <f>CONCATENATE(L500, IF('Input Sheet'!J502="",""," siderite in "))</f>
        <v/>
      </c>
      <c r="N5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0" s="31" t="str">
        <f>CONCATENATE(N500, IF('Input Sheet'!K502="",""," siderite in "))</f>
        <v/>
      </c>
    </row>
    <row r="501" spans="1:15" x14ac:dyDescent="0.35">
      <c r="A501" s="42" t="str">
        <f>IF('Input Sheet'!C503="","",CONCATENATE("Sample ", 'Input Sheet'!B503, "m: ", M501, G501, "% ", "Siltstone, ", O501, 'Input Sheet'!C503, "% ", I501, " Sandstone, ", K501, J501, " FLUOR in SST. ", "TG ", 'Input Sheet'!I503, "U"))</f>
        <v/>
      </c>
      <c r="B501" s="28" t="str">
        <f>IF('Input Sheet'!C503="","",CONCATENATE("Sample ", 'Input Sheet'!B503, "m: ", N501, H501, "% ", "Siltstone, ", P501, 'Input Sheet'!C503, "% ", J501, " Sandstone "))</f>
        <v/>
      </c>
      <c r="C501" s="28" t="str">
        <f>IF('Input Sheet'!C503="","",CONCATENATE("Sample ", 'Input Sheet'!B503, "m: ", M501,, K501, J501, " FLUOR in SST. ", "TG ", 'Input Sheet'!I503, "U"))</f>
        <v/>
      </c>
      <c r="G501" s="31" t="str">
        <f>IF('Input Sheet'!C503="","",100-'Input Sheet'!C503)</f>
        <v/>
      </c>
      <c r="H5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1" s="31" t="str">
        <f t="shared" si="7"/>
        <v/>
      </c>
      <c r="J5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1" s="31" t="str">
        <f>IF('Input Sheet'!F502=0, "NO",CONCATENATE('Input Sheet'!F502, IF('Input Sheet'!F502&gt;0,"% ","")))</f>
        <v>NO</v>
      </c>
      <c r="L5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1" s="31" t="str">
        <f>CONCATENATE(L501, IF('Input Sheet'!J503="",""," siderite in "))</f>
        <v/>
      </c>
      <c r="N5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1" s="31" t="str">
        <f>CONCATENATE(N501, IF('Input Sheet'!K503="",""," siderite in "))</f>
        <v/>
      </c>
    </row>
    <row r="502" spans="1:15" x14ac:dyDescent="0.35">
      <c r="A502" s="42" t="str">
        <f>IF('Input Sheet'!C504="","",CONCATENATE("Sample ", 'Input Sheet'!B504, "m: ", M502, G502, "% ", "Siltstone, ", O502, 'Input Sheet'!C504, "% ", I502, " Sandstone, ", K502, J502, " FLUOR in SST. ", "TG ", 'Input Sheet'!I504, "U"))</f>
        <v/>
      </c>
      <c r="B502" s="28" t="str">
        <f>IF('Input Sheet'!C504="","",CONCATENATE("Sample ", 'Input Sheet'!B504, "m: ", N502, H502, "% ", "Siltstone, ", P502, 'Input Sheet'!C504, "% ", J502, " Sandstone "))</f>
        <v/>
      </c>
      <c r="C502" s="28" t="str">
        <f>IF('Input Sheet'!C504="","",CONCATENATE("Sample ", 'Input Sheet'!B504, "m: ", M502,, K502, J502, " FLUOR in SST. ", "TG ", 'Input Sheet'!I504, "U"))</f>
        <v/>
      </c>
      <c r="G502" s="31" t="str">
        <f>IF('Input Sheet'!C504="","",100-'Input Sheet'!C504)</f>
        <v/>
      </c>
      <c r="H5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2" s="31" t="str">
        <f t="shared" si="7"/>
        <v/>
      </c>
      <c r="J5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2" s="31" t="str">
        <f>IF('Input Sheet'!F503=0, "NO",CONCATENATE('Input Sheet'!F503, IF('Input Sheet'!F503&gt;0,"% ","")))</f>
        <v>NO</v>
      </c>
      <c r="L5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2" s="31" t="str">
        <f>CONCATENATE(L502, IF('Input Sheet'!J504="",""," siderite in "))</f>
        <v/>
      </c>
      <c r="N5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2" s="31" t="str">
        <f>CONCATENATE(N502, IF('Input Sheet'!K504="",""," siderite in "))</f>
        <v/>
      </c>
    </row>
    <row r="503" spans="1:15" x14ac:dyDescent="0.35">
      <c r="A503" s="42" t="str">
        <f>IF('Input Sheet'!C505="","",CONCATENATE("Sample ", 'Input Sheet'!B505, "m: ", M503, G503, "% ", "Siltstone, ", O503, 'Input Sheet'!C505, "% ", I503, " Sandstone, ", K503, J503, " FLUOR in SST. ", "TG ", 'Input Sheet'!I505, "U"))</f>
        <v/>
      </c>
      <c r="B503" s="28" t="str">
        <f>IF('Input Sheet'!C505="","",CONCATENATE("Sample ", 'Input Sheet'!B505, "m: ", N503, H503, "% ", "Siltstone, ", P503, 'Input Sheet'!C505, "% ", J503, " Sandstone "))</f>
        <v/>
      </c>
      <c r="C503" s="28" t="str">
        <f>IF('Input Sheet'!C505="","",CONCATENATE("Sample ", 'Input Sheet'!B505, "m: ", M503,, K503, J503, " FLUOR in SST. ", "TG ", 'Input Sheet'!I505, "U"))</f>
        <v/>
      </c>
      <c r="G503" s="31" t="str">
        <f>IF('Input Sheet'!C505="","",100-'Input Sheet'!C505)</f>
        <v/>
      </c>
      <c r="H5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3" s="31" t="str">
        <f t="shared" si="7"/>
        <v/>
      </c>
      <c r="J5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3" s="31" t="str">
        <f>IF('Input Sheet'!F504=0, "NO",CONCATENATE('Input Sheet'!F504, IF('Input Sheet'!F504&gt;0,"% ","")))</f>
        <v>NO</v>
      </c>
      <c r="L5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3" s="31" t="str">
        <f>CONCATENATE(L503, IF('Input Sheet'!J505="",""," siderite in "))</f>
        <v/>
      </c>
      <c r="N5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3" s="31" t="str">
        <f>CONCATENATE(N503, IF('Input Sheet'!K505="",""," siderite in "))</f>
        <v/>
      </c>
    </row>
    <row r="504" spans="1:15" x14ac:dyDescent="0.35">
      <c r="A504" s="42" t="str">
        <f>IF('Input Sheet'!C506="","",CONCATENATE("Sample ", 'Input Sheet'!B506, "m: ", M504, G504, "% ", "Siltstone, ", O504, 'Input Sheet'!C506, "% ", I504, " Sandstone, ", K504, J504, " FLUOR in SST. ", "TG ", 'Input Sheet'!I506, "U"))</f>
        <v/>
      </c>
      <c r="B504" s="28" t="str">
        <f>IF('Input Sheet'!C506="","",CONCATENATE("Sample ", 'Input Sheet'!B506, "m: ", N504, H504, "% ", "Siltstone, ", P504, 'Input Sheet'!C506, "% ", J504, " Sandstone "))</f>
        <v/>
      </c>
      <c r="C504" s="28" t="str">
        <f>IF('Input Sheet'!C506="","",CONCATENATE("Sample ", 'Input Sheet'!B506, "m: ", M504,, K504, J504, " FLUOR in SST. ", "TG ", 'Input Sheet'!I506, "U"))</f>
        <v/>
      </c>
      <c r="G504" s="31" t="str">
        <f>IF('Input Sheet'!C506="","",100-'Input Sheet'!C506)</f>
        <v/>
      </c>
      <c r="H5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4" s="31" t="str">
        <f t="shared" si="7"/>
        <v/>
      </c>
      <c r="J5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4" s="31" t="str">
        <f>IF('Input Sheet'!F505=0, "NO",CONCATENATE('Input Sheet'!F505, IF('Input Sheet'!F505&gt;0,"% ","")))</f>
        <v>NO</v>
      </c>
      <c r="L5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4" s="31" t="str">
        <f>CONCATENATE(L504, IF('Input Sheet'!J506="",""," siderite in "))</f>
        <v/>
      </c>
      <c r="N5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4" s="31" t="str">
        <f>CONCATENATE(N504, IF('Input Sheet'!K506="",""," siderite in "))</f>
        <v/>
      </c>
    </row>
    <row r="505" spans="1:15" x14ac:dyDescent="0.35">
      <c r="A505" s="42" t="str">
        <f>IF('Input Sheet'!C507="","",CONCATENATE("Sample ", 'Input Sheet'!B507, "m: ", M505, G505, "% ", "Siltstone, ", O505, 'Input Sheet'!C507, "% ", I505, " Sandstone, ", K505, J505, " FLUOR in SST. ", "TG ", 'Input Sheet'!I507, "U"))</f>
        <v/>
      </c>
      <c r="B505" s="28" t="str">
        <f>IF('Input Sheet'!C507="","",CONCATENATE("Sample ", 'Input Sheet'!B507, "m: ", N505, H505, "% ", "Siltstone, ", P505, 'Input Sheet'!C507, "% ", J505, " Sandstone "))</f>
        <v/>
      </c>
      <c r="C505" s="28" t="str">
        <f>IF('Input Sheet'!C507="","",CONCATENATE("Sample ", 'Input Sheet'!B507, "m: ", M505,, K505, J505, " FLUOR in SST. ", "TG ", 'Input Sheet'!I507, "U"))</f>
        <v/>
      </c>
      <c r="G505" s="31" t="str">
        <f>IF('Input Sheet'!C507="","",100-'Input Sheet'!C507)</f>
        <v/>
      </c>
      <c r="H5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5" s="31" t="str">
        <f t="shared" si="7"/>
        <v/>
      </c>
      <c r="J5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5" s="31" t="str">
        <f>IF('Input Sheet'!F506=0, "NO",CONCATENATE('Input Sheet'!F506, IF('Input Sheet'!F506&gt;0,"% ","")))</f>
        <v>NO</v>
      </c>
      <c r="L5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5" s="31" t="str">
        <f>CONCATENATE(L505, IF('Input Sheet'!J507="",""," siderite in "))</f>
        <v/>
      </c>
      <c r="N5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5" s="31" t="str">
        <f>CONCATENATE(N505, IF('Input Sheet'!K507="",""," siderite in "))</f>
        <v/>
      </c>
    </row>
    <row r="506" spans="1:15" x14ac:dyDescent="0.35">
      <c r="A506" s="42" t="str">
        <f>IF('Input Sheet'!C508="","",CONCATENATE("Sample ", 'Input Sheet'!B508, "m: ", M506, G506, "% ", "Siltstone, ", O506, 'Input Sheet'!C508, "% ", I506, " Sandstone, ", K506, J506, " FLUOR in SST. ", "TG ", 'Input Sheet'!I508, "U"))</f>
        <v/>
      </c>
      <c r="B506" s="28" t="str">
        <f>IF('Input Sheet'!C508="","",CONCATENATE("Sample ", 'Input Sheet'!B508, "m: ", N506, H506, "% ", "Siltstone, ", P506, 'Input Sheet'!C508, "% ", J506, " Sandstone "))</f>
        <v/>
      </c>
      <c r="C506" s="28" t="str">
        <f>IF('Input Sheet'!C508="","",CONCATENATE("Sample ", 'Input Sheet'!B508, "m: ", M506,, K506, J506, " FLUOR in SST. ", "TG ", 'Input Sheet'!I508, "U"))</f>
        <v/>
      </c>
      <c r="G506" s="31" t="str">
        <f>IF('Input Sheet'!C508="","",100-'Input Sheet'!C508)</f>
        <v/>
      </c>
      <c r="H5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6" s="31" t="str">
        <f t="shared" si="7"/>
        <v/>
      </c>
      <c r="J5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6" s="31" t="str">
        <f>IF('Input Sheet'!F507=0, "NO",CONCATENATE('Input Sheet'!F507, IF('Input Sheet'!F507&gt;0,"% ","")))</f>
        <v>NO</v>
      </c>
      <c r="L5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6" s="31" t="str">
        <f>CONCATENATE(L506, IF('Input Sheet'!J508="",""," siderite in "))</f>
        <v/>
      </c>
      <c r="N5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6" s="31" t="str">
        <f>CONCATENATE(N506, IF('Input Sheet'!K508="",""," siderite in "))</f>
        <v/>
      </c>
    </row>
    <row r="507" spans="1:15" x14ac:dyDescent="0.35">
      <c r="A507" s="42" t="str">
        <f>IF('Input Sheet'!C509="","",CONCATENATE("Sample ", 'Input Sheet'!B509, "m: ", M507, G507, "% ", "Siltstone, ", O507, 'Input Sheet'!C509, "% ", I507, " Sandstone, ", K507, J507, " FLUOR in SST. ", "TG ", 'Input Sheet'!I509, "U"))</f>
        <v/>
      </c>
      <c r="B507" s="28" t="str">
        <f>IF('Input Sheet'!C509="","",CONCATENATE("Sample ", 'Input Sheet'!B509, "m: ", N507, H507, "% ", "Siltstone, ", P507, 'Input Sheet'!C509, "% ", J507, " Sandstone "))</f>
        <v/>
      </c>
      <c r="C507" s="28" t="str">
        <f>IF('Input Sheet'!C509="","",CONCATENATE("Sample ", 'Input Sheet'!B509, "m: ", M507,, K507, J507, " FLUOR in SST. ", "TG ", 'Input Sheet'!I509, "U"))</f>
        <v/>
      </c>
      <c r="G507" s="31" t="str">
        <f>IF('Input Sheet'!C509="","",100-'Input Sheet'!C509)</f>
        <v/>
      </c>
      <c r="H5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7" s="31" t="str">
        <f t="shared" si="7"/>
        <v/>
      </c>
      <c r="J5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7" s="31" t="str">
        <f>IF('Input Sheet'!F508=0, "NO",CONCATENATE('Input Sheet'!F508, IF('Input Sheet'!F508&gt;0,"% ","")))</f>
        <v>NO</v>
      </c>
      <c r="L5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7" s="31" t="str">
        <f>CONCATENATE(L507, IF('Input Sheet'!J509="",""," siderite in "))</f>
        <v/>
      </c>
      <c r="N5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7" s="31" t="str">
        <f>CONCATENATE(N507, IF('Input Sheet'!K509="",""," siderite in "))</f>
        <v/>
      </c>
    </row>
    <row r="508" spans="1:15" x14ac:dyDescent="0.35">
      <c r="A508" s="42" t="str">
        <f>IF('Input Sheet'!C510="","",CONCATENATE("Sample ", 'Input Sheet'!B510, "m: ", M508, G508, "% ", "Siltstone, ", O508, 'Input Sheet'!C510, "% ", I508, " Sandstone, ", K508, J508, " FLUOR in SST. ", "TG ", 'Input Sheet'!I510, "U"))</f>
        <v/>
      </c>
      <c r="B508" s="28" t="str">
        <f>IF('Input Sheet'!C510="","",CONCATENATE("Sample ", 'Input Sheet'!B510, "m: ", N508, H508, "% ", "Siltstone, ", P508, 'Input Sheet'!C510, "% ", J508, " Sandstone "))</f>
        <v/>
      </c>
      <c r="C508" s="28" t="str">
        <f>IF('Input Sheet'!C510="","",CONCATENATE("Sample ", 'Input Sheet'!B510, "m: ", M508,, K508, J508, " FLUOR in SST. ", "TG ", 'Input Sheet'!I510, "U"))</f>
        <v/>
      </c>
      <c r="G508" s="31" t="str">
        <f>IF('Input Sheet'!C510="","",100-'Input Sheet'!C510)</f>
        <v/>
      </c>
      <c r="H5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8" s="31" t="str">
        <f t="shared" si="7"/>
        <v/>
      </c>
      <c r="J5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8" s="31" t="str">
        <f>IF('Input Sheet'!F509=0, "NO",CONCATENATE('Input Sheet'!F509, IF('Input Sheet'!F509&gt;0,"% ","")))</f>
        <v>NO</v>
      </c>
      <c r="L5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8" s="31" t="str">
        <f>CONCATENATE(L508, IF('Input Sheet'!J510="",""," siderite in "))</f>
        <v/>
      </c>
      <c r="N5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8" s="31" t="str">
        <f>CONCATENATE(N508, IF('Input Sheet'!K510="",""," siderite in "))</f>
        <v/>
      </c>
    </row>
    <row r="509" spans="1:15" x14ac:dyDescent="0.35">
      <c r="A509" s="42" t="str">
        <f>IF('Input Sheet'!C511="","",CONCATENATE("Sample ", 'Input Sheet'!B511, "m: ", M509, G509, "% ", "Siltstone, ", O509, 'Input Sheet'!C511, "% ", I509, " Sandstone, ", K509, J509, " FLUOR in SST. ", "TG ", 'Input Sheet'!I511, "U"))</f>
        <v/>
      </c>
      <c r="B509" s="28" t="str">
        <f>IF('Input Sheet'!C511="","",CONCATENATE("Sample ", 'Input Sheet'!B511, "m: ", N509, H509, "% ", "Siltstone, ", P509, 'Input Sheet'!C511, "% ", J509, " Sandstone "))</f>
        <v/>
      </c>
      <c r="C509" s="28" t="str">
        <f>IF('Input Sheet'!C511="","",CONCATENATE("Sample ", 'Input Sheet'!B511, "m: ", M509,, K509, J509, " FLUOR in SST. ", "TG ", 'Input Sheet'!I511, "U"))</f>
        <v/>
      </c>
      <c r="G509" s="31" t="str">
        <f>IF('Input Sheet'!C511="","",100-'Input Sheet'!C511)</f>
        <v/>
      </c>
      <c r="H5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9" s="31" t="str">
        <f t="shared" si="7"/>
        <v/>
      </c>
      <c r="J5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9" s="31" t="str">
        <f>IF('Input Sheet'!F510=0, "NO",CONCATENATE('Input Sheet'!F510, IF('Input Sheet'!F510&gt;0,"% ","")))</f>
        <v>NO</v>
      </c>
      <c r="L5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9" s="31" t="str">
        <f>CONCATENATE(L509, IF('Input Sheet'!J511="",""," siderite in "))</f>
        <v/>
      </c>
      <c r="N5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9" s="31" t="str">
        <f>CONCATENATE(N509, IF('Input Sheet'!K511="",""," siderite in "))</f>
        <v/>
      </c>
    </row>
    <row r="510" spans="1:15" x14ac:dyDescent="0.35">
      <c r="A510" s="42" t="str">
        <f>IF('Input Sheet'!C512="","",CONCATENATE("Sample ", 'Input Sheet'!B512, "m: ", M510, G510, "% ", "Siltstone, ", O510, 'Input Sheet'!C512, "% ", I510, " Sandstone, ", K510, J510, " FLUOR in SST. ", "TG ", 'Input Sheet'!I512, "U"))</f>
        <v/>
      </c>
      <c r="B510" s="28" t="str">
        <f>IF('Input Sheet'!C512="","",CONCATENATE("Sample ", 'Input Sheet'!B512, "m: ", N510, H510, "% ", "Siltstone, ", P510, 'Input Sheet'!C512, "% ", J510, " Sandstone "))</f>
        <v/>
      </c>
      <c r="C510" s="28" t="str">
        <f>IF('Input Sheet'!C512="","",CONCATENATE("Sample ", 'Input Sheet'!B512, "m: ", M510,, K510, J510, " FLUOR in SST. ", "TG ", 'Input Sheet'!I512, "U"))</f>
        <v/>
      </c>
      <c r="G510" s="31" t="str">
        <f>IF('Input Sheet'!C512="","",100-'Input Sheet'!C512)</f>
        <v/>
      </c>
      <c r="H5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0" s="31" t="str">
        <f t="shared" si="7"/>
        <v/>
      </c>
      <c r="J5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0" s="31" t="str">
        <f>IF('Input Sheet'!F511=0, "NO",CONCATENATE('Input Sheet'!F511, IF('Input Sheet'!F511&gt;0,"% ","")))</f>
        <v>NO</v>
      </c>
      <c r="L5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0" s="31" t="str">
        <f>CONCATENATE(L510, IF('Input Sheet'!J512="",""," siderite in "))</f>
        <v/>
      </c>
      <c r="N5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0" s="31" t="str">
        <f>CONCATENATE(N510, IF('Input Sheet'!K512="",""," siderite in "))</f>
        <v/>
      </c>
    </row>
    <row r="511" spans="1:15" x14ac:dyDescent="0.35">
      <c r="A511" s="42" t="str">
        <f>IF('Input Sheet'!C513="","",CONCATENATE("Sample ", 'Input Sheet'!B513, "m: ", M511, G511, "% ", "Siltstone, ", O511, 'Input Sheet'!C513, "% ", I511, " Sandstone, ", K511, J511, " FLUOR in SST. ", "TG ", 'Input Sheet'!I513, "U"))</f>
        <v/>
      </c>
      <c r="B511" s="28" t="str">
        <f>IF('Input Sheet'!C513="","",CONCATENATE("Sample ", 'Input Sheet'!B513, "m: ", N511, H511, "% ", "Siltstone, ", P511, 'Input Sheet'!C513, "% ", J511, " Sandstone "))</f>
        <v/>
      </c>
      <c r="C511" s="28" t="str">
        <f>IF('Input Sheet'!C513="","",CONCATENATE("Sample ", 'Input Sheet'!B513, "m: ", M511,, K511, J511, " FLUOR in SST. ", "TG ", 'Input Sheet'!I513, "U"))</f>
        <v/>
      </c>
      <c r="G511" s="31" t="str">
        <f>IF('Input Sheet'!C513="","",100-'Input Sheet'!C513)</f>
        <v/>
      </c>
      <c r="H5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1" s="31" t="str">
        <f t="shared" si="7"/>
        <v/>
      </c>
      <c r="J5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1" s="31" t="str">
        <f>IF('Input Sheet'!F512=0, "NO",CONCATENATE('Input Sheet'!F512, IF('Input Sheet'!F512&gt;0,"% ","")))</f>
        <v>NO</v>
      </c>
      <c r="L5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1" s="31" t="str">
        <f>CONCATENATE(L511, IF('Input Sheet'!J513="",""," siderite in "))</f>
        <v/>
      </c>
      <c r="N5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1" s="31" t="str">
        <f>CONCATENATE(N511, IF('Input Sheet'!K513="",""," siderite in "))</f>
        <v/>
      </c>
    </row>
    <row r="512" spans="1:15" x14ac:dyDescent="0.35">
      <c r="A512" s="42" t="str">
        <f>IF('Input Sheet'!C514="","",CONCATENATE("Sample ", 'Input Sheet'!B514, "m: ", M512, G512, "% ", "Siltstone, ", O512, 'Input Sheet'!C514, "% ", I512, " Sandstone, ", K512, J512, " FLUOR in SST. ", "TG ", 'Input Sheet'!I514, "U"))</f>
        <v/>
      </c>
      <c r="B512" s="28" t="str">
        <f>IF('Input Sheet'!C514="","",CONCATENATE("Sample ", 'Input Sheet'!B514, "m: ", N512, H512, "% ", "Siltstone, ", P512, 'Input Sheet'!C514, "% ", J512, " Sandstone "))</f>
        <v/>
      </c>
      <c r="C512" s="28" t="str">
        <f>IF('Input Sheet'!C514="","",CONCATENATE("Sample ", 'Input Sheet'!B514, "m: ", M512,, K512, J512, " FLUOR in SST. ", "TG ", 'Input Sheet'!I514, "U"))</f>
        <v/>
      </c>
      <c r="G512" s="31" t="str">
        <f>IF('Input Sheet'!C514="","",100-'Input Sheet'!C514)</f>
        <v/>
      </c>
      <c r="H5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2" s="31" t="str">
        <f t="shared" si="7"/>
        <v/>
      </c>
      <c r="J5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2" s="31" t="str">
        <f>IF('Input Sheet'!F513=0, "NO",CONCATENATE('Input Sheet'!F513, IF('Input Sheet'!F513&gt;0,"% ","")))</f>
        <v>NO</v>
      </c>
      <c r="L5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2" s="31" t="str">
        <f>CONCATENATE(L512, IF('Input Sheet'!J514="",""," siderite in "))</f>
        <v/>
      </c>
      <c r="N5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2" s="31" t="str">
        <f>CONCATENATE(N512, IF('Input Sheet'!K514="",""," siderite in "))</f>
        <v/>
      </c>
    </row>
    <row r="513" spans="1:15" x14ac:dyDescent="0.35">
      <c r="A513" s="42" t="str">
        <f>IF('Input Sheet'!C515="","",CONCATENATE("Sample ", 'Input Sheet'!B515, "m: ", M513, G513, "% ", "Siltstone, ", O513, 'Input Sheet'!C515, "% ", I513, " Sandstone, ", K513, J513, " FLUOR in SST. ", "TG ", 'Input Sheet'!I515, "U"))</f>
        <v/>
      </c>
      <c r="B513" s="28" t="str">
        <f>IF('Input Sheet'!C515="","",CONCATENATE("Sample ", 'Input Sheet'!B515, "m: ", N513, H513, "% ", "Siltstone, ", P513, 'Input Sheet'!C515, "% ", J513, " Sandstone "))</f>
        <v/>
      </c>
      <c r="C513" s="28" t="str">
        <f>IF('Input Sheet'!C515="","",CONCATENATE("Sample ", 'Input Sheet'!B515, "m: ", M513,, K513, J513, " FLUOR in SST. ", "TG ", 'Input Sheet'!I515, "U"))</f>
        <v/>
      </c>
      <c r="G513" s="31" t="str">
        <f>IF('Input Sheet'!C515="","",100-'Input Sheet'!C515)</f>
        <v/>
      </c>
      <c r="H5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3" s="31" t="str">
        <f t="shared" si="7"/>
        <v/>
      </c>
      <c r="J5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3" s="31" t="str">
        <f>IF('Input Sheet'!F514=0, "NO",CONCATENATE('Input Sheet'!F514, IF('Input Sheet'!F514&gt;0,"% ","")))</f>
        <v>NO</v>
      </c>
      <c r="L5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3" s="31" t="str">
        <f>CONCATENATE(L513, IF('Input Sheet'!J515="",""," siderite in "))</f>
        <v/>
      </c>
      <c r="N5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3" s="31" t="str">
        <f>CONCATENATE(N513, IF('Input Sheet'!K515="",""," siderite in "))</f>
        <v/>
      </c>
    </row>
    <row r="514" spans="1:15" x14ac:dyDescent="0.35">
      <c r="A514" s="42" t="str">
        <f>IF('Input Sheet'!C516="","",CONCATENATE("Sample ", 'Input Sheet'!B516, "m: ", M514, G514, "% ", "Siltstone, ", O514, 'Input Sheet'!C516, "% ", I514, " Sandstone, ", K514, J514, " FLUOR in SST. ", "TG ", 'Input Sheet'!I516, "U"))</f>
        <v/>
      </c>
      <c r="B514" s="28" t="str">
        <f>IF('Input Sheet'!C516="","",CONCATENATE("Sample ", 'Input Sheet'!B516, "m: ", N514, H514, "% ", "Siltstone, ", P514, 'Input Sheet'!C516, "% ", J514, " Sandstone "))</f>
        <v/>
      </c>
      <c r="C514" s="28" t="str">
        <f>IF('Input Sheet'!C516="","",CONCATENATE("Sample ", 'Input Sheet'!B516, "m: ", M514,, K514, J514, " FLUOR in SST. ", "TG ", 'Input Sheet'!I516, "U"))</f>
        <v/>
      </c>
      <c r="G514" s="31" t="str">
        <f>IF('Input Sheet'!C516="","",100-'Input Sheet'!C516)</f>
        <v/>
      </c>
      <c r="H5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4" s="31" t="str">
        <f t="shared" ref="I514:I577" si="8">SUBSTITUTE(H514, "veryfine", "very fine")</f>
        <v/>
      </c>
      <c r="J5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4" s="31" t="str">
        <f>IF('Input Sheet'!F515=0, "NO",CONCATENATE('Input Sheet'!F515, IF('Input Sheet'!F515&gt;0,"% ","")))</f>
        <v>NO</v>
      </c>
      <c r="L5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4" s="31" t="str">
        <f>CONCATENATE(L514, IF('Input Sheet'!J516="",""," siderite in "))</f>
        <v/>
      </c>
      <c r="N5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4" s="31" t="str">
        <f>CONCATENATE(N514, IF('Input Sheet'!K516="",""," siderite in "))</f>
        <v/>
      </c>
    </row>
    <row r="515" spans="1:15" x14ac:dyDescent="0.35">
      <c r="A515" s="42" t="str">
        <f>IF('Input Sheet'!C517="","",CONCATENATE("Sample ", 'Input Sheet'!B517, "m: ", M515, G515, "% ", "Siltstone, ", O515, 'Input Sheet'!C517, "% ", I515, " Sandstone, ", K515, J515, " FLUOR in SST. ", "TG ", 'Input Sheet'!I517, "U"))</f>
        <v/>
      </c>
      <c r="B515" s="28" t="str">
        <f>IF('Input Sheet'!C517="","",CONCATENATE("Sample ", 'Input Sheet'!B517, "m: ", N515, H515, "% ", "Siltstone, ", P515, 'Input Sheet'!C517, "% ", J515, " Sandstone "))</f>
        <v/>
      </c>
      <c r="C515" s="28" t="str">
        <f>IF('Input Sheet'!C517="","",CONCATENATE("Sample ", 'Input Sheet'!B517, "m: ", M515,, K515, J515, " FLUOR in SST. ", "TG ", 'Input Sheet'!I517, "U"))</f>
        <v/>
      </c>
      <c r="G515" s="31" t="str">
        <f>IF('Input Sheet'!C517="","",100-'Input Sheet'!C517)</f>
        <v/>
      </c>
      <c r="H5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5" s="31" t="str">
        <f t="shared" si="8"/>
        <v/>
      </c>
      <c r="J5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5" s="31" t="str">
        <f>IF('Input Sheet'!F516=0, "NO",CONCATENATE('Input Sheet'!F516, IF('Input Sheet'!F516&gt;0,"% ","")))</f>
        <v>NO</v>
      </c>
      <c r="L5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5" s="31" t="str">
        <f>CONCATENATE(L515, IF('Input Sheet'!J517="",""," siderite in "))</f>
        <v/>
      </c>
      <c r="N5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5" s="31" t="str">
        <f>CONCATENATE(N515, IF('Input Sheet'!K517="",""," siderite in "))</f>
        <v/>
      </c>
    </row>
    <row r="516" spans="1:15" x14ac:dyDescent="0.35">
      <c r="A516" s="42" t="str">
        <f>IF('Input Sheet'!C518="","",CONCATENATE("Sample ", 'Input Sheet'!B518, "m: ", M516, G516, "% ", "Siltstone, ", O516, 'Input Sheet'!C518, "% ", I516, " Sandstone, ", K516, J516, " FLUOR in SST. ", "TG ", 'Input Sheet'!I518, "U"))</f>
        <v/>
      </c>
      <c r="B516" s="28" t="str">
        <f>IF('Input Sheet'!C518="","",CONCATENATE("Sample ", 'Input Sheet'!B518, "m: ", N516, H516, "% ", "Siltstone, ", P516, 'Input Sheet'!C518, "% ", J516, " Sandstone "))</f>
        <v/>
      </c>
      <c r="C516" s="28" t="str">
        <f>IF('Input Sheet'!C518="","",CONCATENATE("Sample ", 'Input Sheet'!B518, "m: ", M516,, K516, J516, " FLUOR in SST. ", "TG ", 'Input Sheet'!I518, "U"))</f>
        <v/>
      </c>
      <c r="G516" s="31" t="str">
        <f>IF('Input Sheet'!C518="","",100-'Input Sheet'!C518)</f>
        <v/>
      </c>
      <c r="H5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6" s="31" t="str">
        <f t="shared" si="8"/>
        <v/>
      </c>
      <c r="J5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6" s="31" t="str">
        <f>IF('Input Sheet'!F517=0, "NO",CONCATENATE('Input Sheet'!F517, IF('Input Sheet'!F517&gt;0,"% ","")))</f>
        <v>NO</v>
      </c>
      <c r="L5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6" s="31" t="str">
        <f>CONCATENATE(L516, IF('Input Sheet'!J518="",""," siderite in "))</f>
        <v/>
      </c>
      <c r="N5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6" s="31" t="str">
        <f>CONCATENATE(N516, IF('Input Sheet'!K518="",""," siderite in "))</f>
        <v/>
      </c>
    </row>
    <row r="517" spans="1:15" x14ac:dyDescent="0.35">
      <c r="A517" s="42" t="str">
        <f>IF('Input Sheet'!C519="","",CONCATENATE("Sample ", 'Input Sheet'!B519, "m: ", M517, G517, "% ", "Siltstone, ", O517, 'Input Sheet'!C519, "% ", I517, " Sandstone, ", K517, J517, " FLUOR in SST. ", "TG ", 'Input Sheet'!I519, "U"))</f>
        <v/>
      </c>
      <c r="B517" s="28" t="str">
        <f>IF('Input Sheet'!C519="","",CONCATENATE("Sample ", 'Input Sheet'!B519, "m: ", N517, H517, "% ", "Siltstone, ", P517, 'Input Sheet'!C519, "% ", J517, " Sandstone "))</f>
        <v/>
      </c>
      <c r="C517" s="28" t="str">
        <f>IF('Input Sheet'!C519="","",CONCATENATE("Sample ", 'Input Sheet'!B519, "m: ", M517,, K517, J517, " FLUOR in SST. ", "TG ", 'Input Sheet'!I519, "U"))</f>
        <v/>
      </c>
      <c r="G517" s="31" t="str">
        <f>IF('Input Sheet'!C519="","",100-'Input Sheet'!C519)</f>
        <v/>
      </c>
      <c r="H5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7" s="31" t="str">
        <f t="shared" si="8"/>
        <v/>
      </c>
      <c r="J5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7" s="31" t="str">
        <f>IF('Input Sheet'!F518=0, "NO",CONCATENATE('Input Sheet'!F518, IF('Input Sheet'!F518&gt;0,"% ","")))</f>
        <v>NO</v>
      </c>
      <c r="L5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7" s="31" t="str">
        <f>CONCATENATE(L517, IF('Input Sheet'!J519="",""," siderite in "))</f>
        <v/>
      </c>
      <c r="N5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7" s="31" t="str">
        <f>CONCATENATE(N517, IF('Input Sheet'!K519="",""," siderite in "))</f>
        <v/>
      </c>
    </row>
    <row r="518" spans="1:15" x14ac:dyDescent="0.35">
      <c r="A518" s="42" t="str">
        <f>IF('Input Sheet'!C520="","",CONCATENATE("Sample ", 'Input Sheet'!B520, "m: ", M518, G518, "% ", "Siltstone, ", O518, 'Input Sheet'!C520, "% ", I518, " Sandstone, ", K518, J518, " FLUOR in SST. ", "TG ", 'Input Sheet'!I520, "U"))</f>
        <v/>
      </c>
      <c r="B518" s="28" t="str">
        <f>IF('Input Sheet'!C520="","",CONCATENATE("Sample ", 'Input Sheet'!B520, "m: ", N518, H518, "% ", "Siltstone, ", P518, 'Input Sheet'!C520, "% ", J518, " Sandstone "))</f>
        <v/>
      </c>
      <c r="C518" s="28" t="str">
        <f>IF('Input Sheet'!C520="","",CONCATENATE("Sample ", 'Input Sheet'!B520, "m: ", M518,, K518, J518, " FLUOR in SST. ", "TG ", 'Input Sheet'!I520, "U"))</f>
        <v/>
      </c>
      <c r="G518" s="31" t="str">
        <f>IF('Input Sheet'!C520="","",100-'Input Sheet'!C520)</f>
        <v/>
      </c>
      <c r="H5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8" s="31" t="str">
        <f t="shared" si="8"/>
        <v/>
      </c>
      <c r="J5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8" s="31" t="str">
        <f>IF('Input Sheet'!F519=0, "NO",CONCATENATE('Input Sheet'!F519, IF('Input Sheet'!F519&gt;0,"% ","")))</f>
        <v>NO</v>
      </c>
      <c r="L5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8" s="31" t="str">
        <f>CONCATENATE(L518, IF('Input Sheet'!J520="",""," siderite in "))</f>
        <v/>
      </c>
      <c r="N5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8" s="31" t="str">
        <f>CONCATENATE(N518, IF('Input Sheet'!K520="",""," siderite in "))</f>
        <v/>
      </c>
    </row>
    <row r="519" spans="1:15" x14ac:dyDescent="0.35">
      <c r="A519" s="42" t="str">
        <f>IF('Input Sheet'!C521="","",CONCATENATE("Sample ", 'Input Sheet'!B521, "m: ", M519, G519, "% ", "Siltstone, ", O519, 'Input Sheet'!C521, "% ", I519, " Sandstone, ", K519, J519, " FLUOR in SST. ", "TG ", 'Input Sheet'!I521, "U"))</f>
        <v/>
      </c>
      <c r="B519" s="28" t="str">
        <f>IF('Input Sheet'!C521="","",CONCATENATE("Sample ", 'Input Sheet'!B521, "m: ", N519, H519, "% ", "Siltstone, ", P519, 'Input Sheet'!C521, "% ", J519, " Sandstone "))</f>
        <v/>
      </c>
      <c r="C519" s="28" t="str">
        <f>IF('Input Sheet'!C521="","",CONCATENATE("Sample ", 'Input Sheet'!B521, "m: ", M519,, K519, J519, " FLUOR in SST. ", "TG ", 'Input Sheet'!I521, "U"))</f>
        <v/>
      </c>
      <c r="G519" s="31" t="str">
        <f>IF('Input Sheet'!C521="","",100-'Input Sheet'!C521)</f>
        <v/>
      </c>
      <c r="H5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9" s="31" t="str">
        <f t="shared" si="8"/>
        <v/>
      </c>
      <c r="J5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9" s="31" t="str">
        <f>IF('Input Sheet'!F520=0, "NO",CONCATENATE('Input Sheet'!F520, IF('Input Sheet'!F520&gt;0,"% ","")))</f>
        <v>NO</v>
      </c>
      <c r="L5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9" s="31" t="str">
        <f>CONCATENATE(L519, IF('Input Sheet'!J521="",""," siderite in "))</f>
        <v/>
      </c>
      <c r="N5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9" s="31" t="str">
        <f>CONCATENATE(N519, IF('Input Sheet'!K521="",""," siderite in "))</f>
        <v/>
      </c>
    </row>
    <row r="520" spans="1:15" x14ac:dyDescent="0.35">
      <c r="A520" s="42" t="str">
        <f>IF('Input Sheet'!C522="","",CONCATENATE("Sample ", 'Input Sheet'!B522, "m: ", M520, G520, "% ", "Siltstone, ", O520, 'Input Sheet'!C522, "% ", I520, " Sandstone, ", K520, J520, " FLUOR in SST. ", "TG ", 'Input Sheet'!I522, "U"))</f>
        <v/>
      </c>
      <c r="B520" s="28" t="str">
        <f>IF('Input Sheet'!C522="","",CONCATENATE("Sample ", 'Input Sheet'!B522, "m: ", N520, H520, "% ", "Siltstone, ", P520, 'Input Sheet'!C522, "% ", J520, " Sandstone "))</f>
        <v/>
      </c>
      <c r="C520" s="28" t="str">
        <f>IF('Input Sheet'!C522="","",CONCATENATE("Sample ", 'Input Sheet'!B522, "m: ", M520,, K520, J520, " FLUOR in SST. ", "TG ", 'Input Sheet'!I522, "U"))</f>
        <v/>
      </c>
      <c r="G520" s="31" t="str">
        <f>IF('Input Sheet'!C522="","",100-'Input Sheet'!C522)</f>
        <v/>
      </c>
      <c r="H5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0" s="31" t="str">
        <f t="shared" si="8"/>
        <v/>
      </c>
      <c r="J5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0" s="31" t="str">
        <f>IF('Input Sheet'!F521=0, "NO",CONCATENATE('Input Sheet'!F521, IF('Input Sheet'!F521&gt;0,"% ","")))</f>
        <v>NO</v>
      </c>
      <c r="L5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0" s="31" t="str">
        <f>CONCATENATE(L520, IF('Input Sheet'!J522="",""," siderite in "))</f>
        <v/>
      </c>
      <c r="N5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0" s="31" t="str">
        <f>CONCATENATE(N520, IF('Input Sheet'!K522="",""," siderite in "))</f>
        <v/>
      </c>
    </row>
    <row r="521" spans="1:15" x14ac:dyDescent="0.35">
      <c r="A521" s="42" t="str">
        <f>IF('Input Sheet'!C523="","",CONCATENATE("Sample ", 'Input Sheet'!B523, "m: ", M521, G521, "% ", "Siltstone, ", O521, 'Input Sheet'!C523, "% ", I521, " Sandstone, ", K521, J521, " FLUOR in SST. ", "TG ", 'Input Sheet'!I523, "U"))</f>
        <v/>
      </c>
      <c r="B521" s="28" t="str">
        <f>IF('Input Sheet'!C523="","",CONCATENATE("Sample ", 'Input Sheet'!B523, "m: ", N521, H521, "% ", "Siltstone, ", P521, 'Input Sheet'!C523, "% ", J521, " Sandstone "))</f>
        <v/>
      </c>
      <c r="C521" s="28" t="str">
        <f>IF('Input Sheet'!C523="","",CONCATENATE("Sample ", 'Input Sheet'!B523, "m: ", M521,, K521, J521, " FLUOR in SST. ", "TG ", 'Input Sheet'!I523, "U"))</f>
        <v/>
      </c>
      <c r="G521" s="31" t="str">
        <f>IF('Input Sheet'!C523="","",100-'Input Sheet'!C523)</f>
        <v/>
      </c>
      <c r="H5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1" s="31" t="str">
        <f t="shared" si="8"/>
        <v/>
      </c>
      <c r="J5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1" s="31" t="str">
        <f>IF('Input Sheet'!F522=0, "NO",CONCATENATE('Input Sheet'!F522, IF('Input Sheet'!F522&gt;0,"% ","")))</f>
        <v>NO</v>
      </c>
      <c r="L5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1" s="31" t="str">
        <f>CONCATENATE(L521, IF('Input Sheet'!J523="",""," siderite in "))</f>
        <v/>
      </c>
      <c r="N5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1" s="31" t="str">
        <f>CONCATENATE(N521, IF('Input Sheet'!K523="",""," siderite in "))</f>
        <v/>
      </c>
    </row>
    <row r="522" spans="1:15" x14ac:dyDescent="0.35">
      <c r="A522" s="42" t="str">
        <f>IF('Input Sheet'!C524="","",CONCATENATE("Sample ", 'Input Sheet'!B524, "m: ", M522, G522, "% ", "Siltstone, ", O522, 'Input Sheet'!C524, "% ", I522, " Sandstone, ", K522, J522, " FLUOR in SST. ", "TG ", 'Input Sheet'!I524, "U"))</f>
        <v/>
      </c>
      <c r="B522" s="28" t="str">
        <f>IF('Input Sheet'!C524="","",CONCATENATE("Sample ", 'Input Sheet'!B524, "m: ", N522, H522, "% ", "Siltstone, ", P522, 'Input Sheet'!C524, "% ", J522, " Sandstone "))</f>
        <v/>
      </c>
      <c r="C522" s="28" t="str">
        <f>IF('Input Sheet'!C524="","",CONCATENATE("Sample ", 'Input Sheet'!B524, "m: ", M522,, K522, J522, " FLUOR in SST. ", "TG ", 'Input Sheet'!I524, "U"))</f>
        <v/>
      </c>
      <c r="G522" s="31" t="str">
        <f>IF('Input Sheet'!C524="","",100-'Input Sheet'!C524)</f>
        <v/>
      </c>
      <c r="H5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2" s="31" t="str">
        <f t="shared" si="8"/>
        <v/>
      </c>
      <c r="J5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2" s="31" t="str">
        <f>IF('Input Sheet'!F523=0, "NO",CONCATENATE('Input Sheet'!F523, IF('Input Sheet'!F523&gt;0,"% ","")))</f>
        <v>NO</v>
      </c>
      <c r="L5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2" s="31" t="str">
        <f>CONCATENATE(L522, IF('Input Sheet'!J524="",""," siderite in "))</f>
        <v/>
      </c>
      <c r="N5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2" s="31" t="str">
        <f>CONCATENATE(N522, IF('Input Sheet'!K524="",""," siderite in "))</f>
        <v/>
      </c>
    </row>
    <row r="523" spans="1:15" x14ac:dyDescent="0.35">
      <c r="A523" s="42" t="str">
        <f>IF('Input Sheet'!C525="","",CONCATENATE("Sample ", 'Input Sheet'!B525, "m: ", M523, G523, "% ", "Siltstone, ", O523, 'Input Sheet'!C525, "% ", I523, " Sandstone, ", K523, J523, " FLUOR in SST. ", "TG ", 'Input Sheet'!I525, "U"))</f>
        <v/>
      </c>
      <c r="B523" s="28" t="str">
        <f>IF('Input Sheet'!C525="","",CONCATENATE("Sample ", 'Input Sheet'!B525, "m: ", N523, H523, "% ", "Siltstone, ", P523, 'Input Sheet'!C525, "% ", J523, " Sandstone "))</f>
        <v/>
      </c>
      <c r="C523" s="28" t="str">
        <f>IF('Input Sheet'!C525="","",CONCATENATE("Sample ", 'Input Sheet'!B525, "m: ", M523,, K523, J523, " FLUOR in SST. ", "TG ", 'Input Sheet'!I525, "U"))</f>
        <v/>
      </c>
      <c r="G523" s="31" t="str">
        <f>IF('Input Sheet'!C525="","",100-'Input Sheet'!C525)</f>
        <v/>
      </c>
      <c r="H5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3" s="31" t="str">
        <f t="shared" si="8"/>
        <v/>
      </c>
      <c r="J5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3" s="31" t="str">
        <f>IF('Input Sheet'!F524=0, "NO",CONCATENATE('Input Sheet'!F524, IF('Input Sheet'!F524&gt;0,"% ","")))</f>
        <v>NO</v>
      </c>
      <c r="L5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3" s="31" t="str">
        <f>CONCATENATE(L523, IF('Input Sheet'!J525="",""," siderite in "))</f>
        <v/>
      </c>
      <c r="N5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3" s="31" t="str">
        <f>CONCATENATE(N523, IF('Input Sheet'!K525="",""," siderite in "))</f>
        <v/>
      </c>
    </row>
    <row r="524" spans="1:15" x14ac:dyDescent="0.35">
      <c r="A524" s="42" t="str">
        <f>IF('Input Sheet'!C526="","",CONCATENATE("Sample ", 'Input Sheet'!B526, "m: ", M524, G524, "% ", "Siltstone, ", O524, 'Input Sheet'!C526, "% ", I524, " Sandstone, ", K524, J524, " FLUOR in SST. ", "TG ", 'Input Sheet'!I526, "U"))</f>
        <v/>
      </c>
      <c r="B524" s="28" t="str">
        <f>IF('Input Sheet'!C526="","",CONCATENATE("Sample ", 'Input Sheet'!B526, "m: ", N524, H524, "% ", "Siltstone, ", P524, 'Input Sheet'!C526, "% ", J524, " Sandstone "))</f>
        <v/>
      </c>
      <c r="C524" s="28" t="str">
        <f>IF('Input Sheet'!C526="","",CONCATENATE("Sample ", 'Input Sheet'!B526, "m: ", M524,, K524, J524, " FLUOR in SST. ", "TG ", 'Input Sheet'!I526, "U"))</f>
        <v/>
      </c>
      <c r="G524" s="31" t="str">
        <f>IF('Input Sheet'!C526="","",100-'Input Sheet'!C526)</f>
        <v/>
      </c>
      <c r="H5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4" s="31" t="str">
        <f t="shared" si="8"/>
        <v/>
      </c>
      <c r="J5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4" s="31" t="str">
        <f>IF('Input Sheet'!F525=0, "NO",CONCATENATE('Input Sheet'!F525, IF('Input Sheet'!F525&gt;0,"% ","")))</f>
        <v>NO</v>
      </c>
      <c r="L5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4" s="31" t="str">
        <f>CONCATENATE(L524, IF('Input Sheet'!J526="",""," siderite in "))</f>
        <v/>
      </c>
      <c r="N5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4" s="31" t="str">
        <f>CONCATENATE(N524, IF('Input Sheet'!K526="",""," siderite in "))</f>
        <v/>
      </c>
    </row>
    <row r="525" spans="1:15" x14ac:dyDescent="0.35">
      <c r="A525" s="42" t="str">
        <f>IF('Input Sheet'!C527="","",CONCATENATE("Sample ", 'Input Sheet'!B527, "m: ", M525, G525, "% ", "Siltstone, ", O525, 'Input Sheet'!C527, "% ", I525, " Sandstone, ", K525, J525, " FLUOR in SST. ", "TG ", 'Input Sheet'!I527, "U"))</f>
        <v/>
      </c>
      <c r="B525" s="28" t="str">
        <f>IF('Input Sheet'!C527="","",CONCATENATE("Sample ", 'Input Sheet'!B527, "m: ", N525, H525, "% ", "Siltstone, ", P525, 'Input Sheet'!C527, "% ", J525, " Sandstone "))</f>
        <v/>
      </c>
      <c r="C525" s="28" t="str">
        <f>IF('Input Sheet'!C527="","",CONCATENATE("Sample ", 'Input Sheet'!B527, "m: ", M525,, K525, J525, " FLUOR in SST. ", "TG ", 'Input Sheet'!I527, "U"))</f>
        <v/>
      </c>
      <c r="G525" s="31" t="str">
        <f>IF('Input Sheet'!C527="","",100-'Input Sheet'!C527)</f>
        <v/>
      </c>
      <c r="H5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5" s="31" t="str">
        <f t="shared" si="8"/>
        <v/>
      </c>
      <c r="J5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5" s="31" t="str">
        <f>IF('Input Sheet'!F526=0, "NO",CONCATENATE('Input Sheet'!F526, IF('Input Sheet'!F526&gt;0,"% ","")))</f>
        <v>NO</v>
      </c>
      <c r="L5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5" s="31" t="str">
        <f>CONCATENATE(L525, IF('Input Sheet'!J527="",""," siderite in "))</f>
        <v/>
      </c>
      <c r="N5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5" s="31" t="str">
        <f>CONCATENATE(N525, IF('Input Sheet'!K527="",""," siderite in "))</f>
        <v/>
      </c>
    </row>
    <row r="526" spans="1:15" x14ac:dyDescent="0.35">
      <c r="A526" s="42" t="str">
        <f>IF('Input Sheet'!C528="","",CONCATENATE("Sample ", 'Input Sheet'!B528, "m: ", M526, G526, "% ", "Siltstone, ", O526, 'Input Sheet'!C528, "% ", I526, " Sandstone, ", K526, J526, " FLUOR in SST. ", "TG ", 'Input Sheet'!I528, "U"))</f>
        <v/>
      </c>
      <c r="B526" s="28" t="str">
        <f>IF('Input Sheet'!C528="","",CONCATENATE("Sample ", 'Input Sheet'!B528, "m: ", N526, H526, "% ", "Siltstone, ", P526, 'Input Sheet'!C528, "% ", J526, " Sandstone "))</f>
        <v/>
      </c>
      <c r="C526" s="28" t="str">
        <f>IF('Input Sheet'!C528="","",CONCATENATE("Sample ", 'Input Sheet'!B528, "m: ", M526,, K526, J526, " FLUOR in SST. ", "TG ", 'Input Sheet'!I528, "U"))</f>
        <v/>
      </c>
      <c r="G526" s="31" t="str">
        <f>IF('Input Sheet'!C528="","",100-'Input Sheet'!C528)</f>
        <v/>
      </c>
      <c r="H5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6" s="31" t="str">
        <f t="shared" si="8"/>
        <v/>
      </c>
      <c r="J5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6" s="31" t="str">
        <f>IF('Input Sheet'!F527=0, "NO",CONCATENATE('Input Sheet'!F527, IF('Input Sheet'!F527&gt;0,"% ","")))</f>
        <v>NO</v>
      </c>
      <c r="L5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6" s="31" t="str">
        <f>CONCATENATE(L526, IF('Input Sheet'!J528="",""," siderite in "))</f>
        <v/>
      </c>
      <c r="N5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6" s="31" t="str">
        <f>CONCATENATE(N526, IF('Input Sheet'!K528="",""," siderite in "))</f>
        <v/>
      </c>
    </row>
    <row r="527" spans="1:15" x14ac:dyDescent="0.35">
      <c r="A527" s="42" t="str">
        <f>IF('Input Sheet'!C529="","",CONCATENATE("Sample ", 'Input Sheet'!B529, "m: ", M527, G527, "% ", "Siltstone, ", O527, 'Input Sheet'!C529, "% ", I527, " Sandstone, ", K527, J527, " FLUOR in SST. ", "TG ", 'Input Sheet'!I529, "U"))</f>
        <v/>
      </c>
      <c r="B527" s="28" t="str">
        <f>IF('Input Sheet'!C529="","",CONCATENATE("Sample ", 'Input Sheet'!B529, "m: ", N527, H527, "% ", "Siltstone, ", P527, 'Input Sheet'!C529, "% ", J527, " Sandstone "))</f>
        <v/>
      </c>
      <c r="C527" s="28" t="str">
        <f>IF('Input Sheet'!C529="","",CONCATENATE("Sample ", 'Input Sheet'!B529, "m: ", M527,, K527, J527, " FLUOR in SST. ", "TG ", 'Input Sheet'!I529, "U"))</f>
        <v/>
      </c>
      <c r="G527" s="31" t="str">
        <f>IF('Input Sheet'!C529="","",100-'Input Sheet'!C529)</f>
        <v/>
      </c>
      <c r="H5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7" s="31" t="str">
        <f t="shared" si="8"/>
        <v/>
      </c>
      <c r="J5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7" s="31" t="str">
        <f>IF('Input Sheet'!F528=0, "NO",CONCATENATE('Input Sheet'!F528, IF('Input Sheet'!F528&gt;0,"% ","")))</f>
        <v>NO</v>
      </c>
      <c r="L5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7" s="31" t="str">
        <f>CONCATENATE(L527, IF('Input Sheet'!J529="",""," siderite in "))</f>
        <v/>
      </c>
      <c r="N5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7" s="31" t="str">
        <f>CONCATENATE(N527, IF('Input Sheet'!K529="",""," siderite in "))</f>
        <v/>
      </c>
    </row>
    <row r="528" spans="1:15" x14ac:dyDescent="0.35">
      <c r="A528" s="42" t="str">
        <f>IF('Input Sheet'!C530="","",CONCATENATE("Sample ", 'Input Sheet'!B530, "m: ", M528, G528, "% ", "Siltstone, ", O528, 'Input Sheet'!C530, "% ", I528, " Sandstone, ", K528, J528, " FLUOR in SST. ", "TG ", 'Input Sheet'!I530, "U"))</f>
        <v/>
      </c>
      <c r="B528" s="28" t="str">
        <f>IF('Input Sheet'!C530="","",CONCATENATE("Sample ", 'Input Sheet'!B530, "m: ", N528, H528, "% ", "Siltstone, ", P528, 'Input Sheet'!C530, "% ", J528, " Sandstone "))</f>
        <v/>
      </c>
      <c r="C528" s="28" t="str">
        <f>IF('Input Sheet'!C530="","",CONCATENATE("Sample ", 'Input Sheet'!B530, "m: ", M528,, K528, J528, " FLUOR in SST. ", "TG ", 'Input Sheet'!I530, "U"))</f>
        <v/>
      </c>
      <c r="G528" s="31" t="str">
        <f>IF('Input Sheet'!C530="","",100-'Input Sheet'!C530)</f>
        <v/>
      </c>
      <c r="H5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8" s="31" t="str">
        <f t="shared" si="8"/>
        <v/>
      </c>
      <c r="J5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8" s="31" t="str">
        <f>IF('Input Sheet'!F529=0, "NO",CONCATENATE('Input Sheet'!F529, IF('Input Sheet'!F529&gt;0,"% ","")))</f>
        <v>NO</v>
      </c>
      <c r="L5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8" s="31" t="str">
        <f>CONCATENATE(L528, IF('Input Sheet'!J530="",""," siderite in "))</f>
        <v/>
      </c>
      <c r="N5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8" s="31" t="str">
        <f>CONCATENATE(N528, IF('Input Sheet'!K530="",""," siderite in "))</f>
        <v/>
      </c>
    </row>
    <row r="529" spans="1:15" x14ac:dyDescent="0.35">
      <c r="A529" s="42" t="str">
        <f>IF('Input Sheet'!C531="","",CONCATENATE("Sample ", 'Input Sheet'!B531, "m: ", M529, G529, "% ", "Siltstone, ", O529, 'Input Sheet'!C531, "% ", I529, " Sandstone, ", K529, J529, " FLUOR in SST. ", "TG ", 'Input Sheet'!I531, "U"))</f>
        <v/>
      </c>
      <c r="B529" s="28" t="str">
        <f>IF('Input Sheet'!C531="","",CONCATENATE("Sample ", 'Input Sheet'!B531, "m: ", N529, H529, "% ", "Siltstone, ", P529, 'Input Sheet'!C531, "% ", J529, " Sandstone "))</f>
        <v/>
      </c>
      <c r="C529" s="28" t="str">
        <f>IF('Input Sheet'!C531="","",CONCATENATE("Sample ", 'Input Sheet'!B531, "m: ", M529,, K529, J529, " FLUOR in SST. ", "TG ", 'Input Sheet'!I531, "U"))</f>
        <v/>
      </c>
      <c r="G529" s="31" t="str">
        <f>IF('Input Sheet'!C531="","",100-'Input Sheet'!C531)</f>
        <v/>
      </c>
      <c r="H5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9" s="31" t="str">
        <f t="shared" si="8"/>
        <v/>
      </c>
      <c r="J5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9" s="31" t="str">
        <f>IF('Input Sheet'!F530=0, "NO",CONCATENATE('Input Sheet'!F530, IF('Input Sheet'!F530&gt;0,"% ","")))</f>
        <v>NO</v>
      </c>
      <c r="L5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9" s="31" t="str">
        <f>CONCATENATE(L529, IF('Input Sheet'!J531="",""," siderite in "))</f>
        <v/>
      </c>
      <c r="N5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9" s="31" t="str">
        <f>CONCATENATE(N529, IF('Input Sheet'!K531="",""," siderite in "))</f>
        <v/>
      </c>
    </row>
    <row r="530" spans="1:15" x14ac:dyDescent="0.35">
      <c r="A530" s="42" t="str">
        <f>IF('Input Sheet'!C532="","",CONCATENATE("Sample ", 'Input Sheet'!B532, "m: ", M530, G530, "% ", "Siltstone, ", O530, 'Input Sheet'!C532, "% ", I530, " Sandstone, ", K530, J530, " FLUOR in SST. ", "TG ", 'Input Sheet'!I532, "U"))</f>
        <v/>
      </c>
      <c r="B530" s="28" t="str">
        <f>IF('Input Sheet'!C532="","",CONCATENATE("Sample ", 'Input Sheet'!B532, "m: ", N530, H530, "% ", "Siltstone, ", P530, 'Input Sheet'!C532, "% ", J530, " Sandstone "))</f>
        <v/>
      </c>
      <c r="C530" s="28" t="str">
        <f>IF('Input Sheet'!C532="","",CONCATENATE("Sample ", 'Input Sheet'!B532, "m: ", M530,, K530, J530, " FLUOR in SST. ", "TG ", 'Input Sheet'!I532, "U"))</f>
        <v/>
      </c>
      <c r="G530" s="31" t="str">
        <f>IF('Input Sheet'!C532="","",100-'Input Sheet'!C532)</f>
        <v/>
      </c>
      <c r="H5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0" s="31" t="str">
        <f t="shared" si="8"/>
        <v/>
      </c>
      <c r="J5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0" s="31" t="str">
        <f>IF('Input Sheet'!F531=0, "NO",CONCATENATE('Input Sheet'!F531, IF('Input Sheet'!F531&gt;0,"% ","")))</f>
        <v>NO</v>
      </c>
      <c r="L5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0" s="31" t="str">
        <f>CONCATENATE(L530, IF('Input Sheet'!J532="",""," siderite in "))</f>
        <v/>
      </c>
      <c r="N5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0" s="31" t="str">
        <f>CONCATENATE(N530, IF('Input Sheet'!K532="",""," siderite in "))</f>
        <v/>
      </c>
    </row>
    <row r="531" spans="1:15" x14ac:dyDescent="0.35">
      <c r="A531" s="42" t="str">
        <f>IF('Input Sheet'!C533="","",CONCATENATE("Sample ", 'Input Sheet'!B533, "m: ", M531, G531, "% ", "Siltstone, ", O531, 'Input Sheet'!C533, "% ", I531, " Sandstone, ", K531, J531, " FLUOR in SST. ", "TG ", 'Input Sheet'!I533, "U"))</f>
        <v/>
      </c>
      <c r="B531" s="28" t="str">
        <f>IF('Input Sheet'!C533="","",CONCATENATE("Sample ", 'Input Sheet'!B533, "m: ", N531, H531, "% ", "Siltstone, ", P531, 'Input Sheet'!C533, "% ", J531, " Sandstone "))</f>
        <v/>
      </c>
      <c r="C531" s="28" t="str">
        <f>IF('Input Sheet'!C533="","",CONCATENATE("Sample ", 'Input Sheet'!B533, "m: ", M531,, K531, J531, " FLUOR in SST. ", "TG ", 'Input Sheet'!I533, "U"))</f>
        <v/>
      </c>
      <c r="G531" s="31" t="str">
        <f>IF('Input Sheet'!C533="","",100-'Input Sheet'!C533)</f>
        <v/>
      </c>
      <c r="H5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1" s="31" t="str">
        <f t="shared" si="8"/>
        <v/>
      </c>
      <c r="J5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1" s="31" t="str">
        <f>IF('Input Sheet'!F532=0, "NO",CONCATENATE('Input Sheet'!F532, IF('Input Sheet'!F532&gt;0,"% ","")))</f>
        <v>NO</v>
      </c>
      <c r="L5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1" s="31" t="str">
        <f>CONCATENATE(L531, IF('Input Sheet'!J533="",""," siderite in "))</f>
        <v/>
      </c>
      <c r="N5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1" s="31" t="str">
        <f>CONCATENATE(N531, IF('Input Sheet'!K533="",""," siderite in "))</f>
        <v/>
      </c>
    </row>
    <row r="532" spans="1:15" x14ac:dyDescent="0.35">
      <c r="A532" s="42" t="str">
        <f>IF('Input Sheet'!C534="","",CONCATENATE("Sample ", 'Input Sheet'!B534, "m: ", M532, G532, "% ", "Siltstone, ", O532, 'Input Sheet'!C534, "% ", I532, " Sandstone, ", K532, J532, " FLUOR in SST. ", "TG ", 'Input Sheet'!I534, "U"))</f>
        <v/>
      </c>
      <c r="B532" s="28" t="str">
        <f>IF('Input Sheet'!C534="","",CONCATENATE("Sample ", 'Input Sheet'!B534, "m: ", N532, H532, "% ", "Siltstone, ", P532, 'Input Sheet'!C534, "% ", J532, " Sandstone "))</f>
        <v/>
      </c>
      <c r="C532" s="28" t="str">
        <f>IF('Input Sheet'!C534="","",CONCATENATE("Sample ", 'Input Sheet'!B534, "m: ", M532,, K532, J532, " FLUOR in SST. ", "TG ", 'Input Sheet'!I534, "U"))</f>
        <v/>
      </c>
      <c r="G532" s="31" t="str">
        <f>IF('Input Sheet'!C534="","",100-'Input Sheet'!C534)</f>
        <v/>
      </c>
      <c r="H5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2" s="31" t="str">
        <f t="shared" si="8"/>
        <v/>
      </c>
      <c r="J5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2" s="31" t="str">
        <f>IF('Input Sheet'!F533=0, "NO",CONCATENATE('Input Sheet'!F533, IF('Input Sheet'!F533&gt;0,"% ","")))</f>
        <v>NO</v>
      </c>
      <c r="L5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2" s="31" t="str">
        <f>CONCATENATE(L532, IF('Input Sheet'!J534="",""," siderite in "))</f>
        <v/>
      </c>
      <c r="N5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2" s="31" t="str">
        <f>CONCATENATE(N532, IF('Input Sheet'!K534="",""," siderite in "))</f>
        <v/>
      </c>
    </row>
    <row r="533" spans="1:15" x14ac:dyDescent="0.35">
      <c r="A533" s="42" t="str">
        <f>IF('Input Sheet'!C535="","",CONCATENATE("Sample ", 'Input Sheet'!B535, "m: ", M533, G533, "% ", "Siltstone, ", O533, 'Input Sheet'!C535, "% ", I533, " Sandstone, ", K533, J533, " FLUOR in SST. ", "TG ", 'Input Sheet'!I535, "U"))</f>
        <v/>
      </c>
      <c r="B533" s="28" t="str">
        <f>IF('Input Sheet'!C535="","",CONCATENATE("Sample ", 'Input Sheet'!B535, "m: ", N533, H533, "% ", "Siltstone, ", P533, 'Input Sheet'!C535, "% ", J533, " Sandstone "))</f>
        <v/>
      </c>
      <c r="C533" s="28" t="str">
        <f>IF('Input Sheet'!C535="","",CONCATENATE("Sample ", 'Input Sheet'!B535, "m: ", M533,, K533, J533, " FLUOR in SST. ", "TG ", 'Input Sheet'!I535, "U"))</f>
        <v/>
      </c>
      <c r="G533" s="31" t="str">
        <f>IF('Input Sheet'!C535="","",100-'Input Sheet'!C535)</f>
        <v/>
      </c>
      <c r="H5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3" s="31" t="str">
        <f t="shared" si="8"/>
        <v/>
      </c>
      <c r="J5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3" s="31" t="str">
        <f>IF('Input Sheet'!F534=0, "NO",CONCATENATE('Input Sheet'!F534, IF('Input Sheet'!F534&gt;0,"% ","")))</f>
        <v>NO</v>
      </c>
      <c r="L5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3" s="31" t="str">
        <f>CONCATENATE(L533, IF('Input Sheet'!J535="",""," siderite in "))</f>
        <v/>
      </c>
      <c r="N5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3" s="31" t="str">
        <f>CONCATENATE(N533, IF('Input Sheet'!K535="",""," siderite in "))</f>
        <v/>
      </c>
    </row>
    <row r="534" spans="1:15" x14ac:dyDescent="0.35">
      <c r="A534" s="42" t="str">
        <f>IF('Input Sheet'!C536="","",CONCATENATE("Sample ", 'Input Sheet'!B536, "m: ", M534, G534, "% ", "Siltstone, ", O534, 'Input Sheet'!C536, "% ", I534, " Sandstone, ", K534, J534, " FLUOR in SST. ", "TG ", 'Input Sheet'!I536, "U"))</f>
        <v/>
      </c>
      <c r="B534" s="28" t="str">
        <f>IF('Input Sheet'!C536="","",CONCATENATE("Sample ", 'Input Sheet'!B536, "m: ", N534, H534, "% ", "Siltstone, ", P534, 'Input Sheet'!C536, "% ", J534, " Sandstone "))</f>
        <v/>
      </c>
      <c r="C534" s="28" t="str">
        <f>IF('Input Sheet'!C536="","",CONCATENATE("Sample ", 'Input Sheet'!B536, "m: ", M534,, K534, J534, " FLUOR in SST. ", "TG ", 'Input Sheet'!I536, "U"))</f>
        <v/>
      </c>
      <c r="G534" s="31" t="str">
        <f>IF('Input Sheet'!C536="","",100-'Input Sheet'!C536)</f>
        <v/>
      </c>
      <c r="H5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4" s="31" t="str">
        <f t="shared" si="8"/>
        <v/>
      </c>
      <c r="J5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4" s="31" t="str">
        <f>IF('Input Sheet'!F535=0, "NO",CONCATENATE('Input Sheet'!F535, IF('Input Sheet'!F535&gt;0,"% ","")))</f>
        <v>NO</v>
      </c>
      <c r="L5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4" s="31" t="str">
        <f>CONCATENATE(L534, IF('Input Sheet'!J536="",""," siderite in "))</f>
        <v/>
      </c>
      <c r="N5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4" s="31" t="str">
        <f>CONCATENATE(N534, IF('Input Sheet'!K536="",""," siderite in "))</f>
        <v/>
      </c>
    </row>
    <row r="535" spans="1:15" x14ac:dyDescent="0.35">
      <c r="A535" s="42" t="str">
        <f>IF('Input Sheet'!C537="","",CONCATENATE("Sample ", 'Input Sheet'!B537, "m: ", M535, G535, "% ", "Siltstone, ", O535, 'Input Sheet'!C537, "% ", I535, " Sandstone, ", K535, J535, " FLUOR in SST. ", "TG ", 'Input Sheet'!I537, "U"))</f>
        <v/>
      </c>
      <c r="B535" s="28" t="str">
        <f>IF('Input Sheet'!C537="","",CONCATENATE("Sample ", 'Input Sheet'!B537, "m: ", N535, H535, "% ", "Siltstone, ", P535, 'Input Sheet'!C537, "% ", J535, " Sandstone "))</f>
        <v/>
      </c>
      <c r="C535" s="28" t="str">
        <f>IF('Input Sheet'!C537="","",CONCATENATE("Sample ", 'Input Sheet'!B537, "m: ", M535,, K535, J535, " FLUOR in SST. ", "TG ", 'Input Sheet'!I537, "U"))</f>
        <v/>
      </c>
      <c r="G535" s="31" t="str">
        <f>IF('Input Sheet'!C537="","",100-'Input Sheet'!C537)</f>
        <v/>
      </c>
      <c r="H5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5" s="31" t="str">
        <f t="shared" si="8"/>
        <v/>
      </c>
      <c r="J5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5" s="31" t="str">
        <f>IF('Input Sheet'!F536=0, "NO",CONCATENATE('Input Sheet'!F536, IF('Input Sheet'!F536&gt;0,"% ","")))</f>
        <v>NO</v>
      </c>
      <c r="L5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5" s="31" t="str">
        <f>CONCATENATE(L535, IF('Input Sheet'!J537="",""," siderite in "))</f>
        <v/>
      </c>
      <c r="N5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5" s="31" t="str">
        <f>CONCATENATE(N535, IF('Input Sheet'!K537="",""," siderite in "))</f>
        <v/>
      </c>
    </row>
    <row r="536" spans="1:15" x14ac:dyDescent="0.35">
      <c r="A536" s="42" t="str">
        <f>IF('Input Sheet'!C538="","",CONCATENATE("Sample ", 'Input Sheet'!B538, "m: ", M536, G536, "% ", "Siltstone, ", O536, 'Input Sheet'!C538, "% ", I536, " Sandstone, ", K536, J536, " FLUOR in SST. ", "TG ", 'Input Sheet'!I538, "U"))</f>
        <v/>
      </c>
      <c r="B536" s="28" t="str">
        <f>IF('Input Sheet'!C538="","",CONCATENATE("Sample ", 'Input Sheet'!B538, "m: ", N536, H536, "% ", "Siltstone, ", P536, 'Input Sheet'!C538, "% ", J536, " Sandstone "))</f>
        <v/>
      </c>
      <c r="C536" s="28" t="str">
        <f>IF('Input Sheet'!C538="","",CONCATENATE("Sample ", 'Input Sheet'!B538, "m: ", M536,, K536, J536, " FLUOR in SST. ", "TG ", 'Input Sheet'!I538, "U"))</f>
        <v/>
      </c>
      <c r="G536" s="31" t="str">
        <f>IF('Input Sheet'!C538="","",100-'Input Sheet'!C538)</f>
        <v/>
      </c>
      <c r="H5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6" s="31" t="str">
        <f t="shared" si="8"/>
        <v/>
      </c>
      <c r="J5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6" s="31" t="str">
        <f>IF('Input Sheet'!F537=0, "NO",CONCATENATE('Input Sheet'!F537, IF('Input Sheet'!F537&gt;0,"% ","")))</f>
        <v>NO</v>
      </c>
      <c r="L5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6" s="31" t="str">
        <f>CONCATENATE(L536, IF('Input Sheet'!J538="",""," siderite in "))</f>
        <v/>
      </c>
      <c r="N5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6" s="31" t="str">
        <f>CONCATENATE(N536, IF('Input Sheet'!K538="",""," siderite in "))</f>
        <v/>
      </c>
    </row>
    <row r="537" spans="1:15" x14ac:dyDescent="0.35">
      <c r="A537" s="42" t="str">
        <f>IF('Input Sheet'!C539="","",CONCATENATE("Sample ", 'Input Sheet'!B539, "m: ", M537, G537, "% ", "Siltstone, ", O537, 'Input Sheet'!C539, "% ", I537, " Sandstone, ", K537, J537, " FLUOR in SST. ", "TG ", 'Input Sheet'!I539, "U"))</f>
        <v/>
      </c>
      <c r="B537" s="28" t="str">
        <f>IF('Input Sheet'!C539="","",CONCATENATE("Sample ", 'Input Sheet'!B539, "m: ", N537, H537, "% ", "Siltstone, ", P537, 'Input Sheet'!C539, "% ", J537, " Sandstone "))</f>
        <v/>
      </c>
      <c r="C537" s="28" t="str">
        <f>IF('Input Sheet'!C539="","",CONCATENATE("Sample ", 'Input Sheet'!B539, "m: ", M537,, K537, J537, " FLUOR in SST. ", "TG ", 'Input Sheet'!I539, "U"))</f>
        <v/>
      </c>
      <c r="G537" s="31" t="str">
        <f>IF('Input Sheet'!C539="","",100-'Input Sheet'!C539)</f>
        <v/>
      </c>
      <c r="H5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7" s="31" t="str">
        <f t="shared" si="8"/>
        <v/>
      </c>
      <c r="J5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7" s="31" t="str">
        <f>IF('Input Sheet'!F538=0, "NO",CONCATENATE('Input Sheet'!F538, IF('Input Sheet'!F538&gt;0,"% ","")))</f>
        <v>NO</v>
      </c>
      <c r="L5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7" s="31" t="str">
        <f>CONCATENATE(L537, IF('Input Sheet'!J539="",""," siderite in "))</f>
        <v/>
      </c>
      <c r="N5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7" s="31" t="str">
        <f>CONCATENATE(N537, IF('Input Sheet'!K539="",""," siderite in "))</f>
        <v/>
      </c>
    </row>
    <row r="538" spans="1:15" x14ac:dyDescent="0.35">
      <c r="A538" s="42" t="str">
        <f>IF('Input Sheet'!C540="","",CONCATENATE("Sample ", 'Input Sheet'!B540, "m: ", M538, G538, "% ", "Siltstone, ", O538, 'Input Sheet'!C540, "% ", I538, " Sandstone, ", K538, J538, " FLUOR in SST. ", "TG ", 'Input Sheet'!I540, "U"))</f>
        <v/>
      </c>
      <c r="B538" s="28" t="str">
        <f>IF('Input Sheet'!C540="","",CONCATENATE("Sample ", 'Input Sheet'!B540, "m: ", N538, H538, "% ", "Siltstone, ", P538, 'Input Sheet'!C540, "% ", J538, " Sandstone "))</f>
        <v/>
      </c>
      <c r="C538" s="28" t="str">
        <f>IF('Input Sheet'!C540="","",CONCATENATE("Sample ", 'Input Sheet'!B540, "m: ", M538,, K538, J538, " FLUOR in SST. ", "TG ", 'Input Sheet'!I540, "U"))</f>
        <v/>
      </c>
      <c r="G538" s="31" t="str">
        <f>IF('Input Sheet'!C540="","",100-'Input Sheet'!C540)</f>
        <v/>
      </c>
      <c r="H5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8" s="31" t="str">
        <f t="shared" si="8"/>
        <v/>
      </c>
      <c r="J5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8" s="31" t="str">
        <f>IF('Input Sheet'!F539=0, "NO",CONCATENATE('Input Sheet'!F539, IF('Input Sheet'!F539&gt;0,"% ","")))</f>
        <v>NO</v>
      </c>
      <c r="L5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8" s="31" t="str">
        <f>CONCATENATE(L538, IF('Input Sheet'!J540="",""," siderite in "))</f>
        <v/>
      </c>
      <c r="N5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8" s="31" t="str">
        <f>CONCATENATE(N538, IF('Input Sheet'!K540="",""," siderite in "))</f>
        <v/>
      </c>
    </row>
    <row r="539" spans="1:15" x14ac:dyDescent="0.35">
      <c r="A539" s="42" t="str">
        <f>IF('Input Sheet'!C541="","",CONCATENATE("Sample ", 'Input Sheet'!B541, "m: ", M539, G539, "% ", "Siltstone, ", O539, 'Input Sheet'!C541, "% ", I539, " Sandstone, ", K539, J539, " FLUOR in SST. ", "TG ", 'Input Sheet'!I541, "U"))</f>
        <v/>
      </c>
      <c r="B539" s="28" t="str">
        <f>IF('Input Sheet'!C541="","",CONCATENATE("Sample ", 'Input Sheet'!B541, "m: ", N539, H539, "% ", "Siltstone, ", P539, 'Input Sheet'!C541, "% ", J539, " Sandstone "))</f>
        <v/>
      </c>
      <c r="C539" s="28" t="str">
        <f>IF('Input Sheet'!C541="","",CONCATENATE("Sample ", 'Input Sheet'!B541, "m: ", M539,, K539, J539, " FLUOR in SST. ", "TG ", 'Input Sheet'!I541, "U"))</f>
        <v/>
      </c>
      <c r="G539" s="31" t="str">
        <f>IF('Input Sheet'!C541="","",100-'Input Sheet'!C541)</f>
        <v/>
      </c>
      <c r="H5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9" s="31" t="str">
        <f t="shared" si="8"/>
        <v/>
      </c>
      <c r="J5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9" s="31" t="str">
        <f>IF('Input Sheet'!F540=0, "NO",CONCATENATE('Input Sheet'!F540, IF('Input Sheet'!F540&gt;0,"% ","")))</f>
        <v>NO</v>
      </c>
      <c r="L5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9" s="31" t="str">
        <f>CONCATENATE(L539, IF('Input Sheet'!J541="",""," siderite in "))</f>
        <v/>
      </c>
      <c r="N5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9" s="31" t="str">
        <f>CONCATENATE(N539, IF('Input Sheet'!K541="",""," siderite in "))</f>
        <v/>
      </c>
    </row>
    <row r="540" spans="1:15" x14ac:dyDescent="0.35">
      <c r="A540" s="42" t="str">
        <f>IF('Input Sheet'!C542="","",CONCATENATE("Sample ", 'Input Sheet'!B542, "m: ", M540, G540, "% ", "Siltstone, ", O540, 'Input Sheet'!C542, "% ", I540, " Sandstone, ", K540, J540, " FLUOR in SST. ", "TG ", 'Input Sheet'!I542, "U"))</f>
        <v/>
      </c>
      <c r="B540" s="28" t="str">
        <f>IF('Input Sheet'!C542="","",CONCATENATE("Sample ", 'Input Sheet'!B542, "m: ", N540, H540, "% ", "Siltstone, ", P540, 'Input Sheet'!C542, "% ", J540, " Sandstone "))</f>
        <v/>
      </c>
      <c r="C540" s="28" t="str">
        <f>IF('Input Sheet'!C542="","",CONCATENATE("Sample ", 'Input Sheet'!B542, "m: ", M540,, K540, J540, " FLUOR in SST. ", "TG ", 'Input Sheet'!I542, "U"))</f>
        <v/>
      </c>
      <c r="G540" s="31" t="str">
        <f>IF('Input Sheet'!C542="","",100-'Input Sheet'!C542)</f>
        <v/>
      </c>
      <c r="H5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0" s="31" t="str">
        <f t="shared" si="8"/>
        <v/>
      </c>
      <c r="J5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0" s="31" t="str">
        <f>IF('Input Sheet'!F541=0, "NO",CONCATENATE('Input Sheet'!F541, IF('Input Sheet'!F541&gt;0,"% ","")))</f>
        <v>NO</v>
      </c>
      <c r="L5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0" s="31" t="str">
        <f>CONCATENATE(L540, IF('Input Sheet'!J542="",""," siderite in "))</f>
        <v/>
      </c>
      <c r="N5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0" s="31" t="str">
        <f>CONCATENATE(N540, IF('Input Sheet'!K542="",""," siderite in "))</f>
        <v/>
      </c>
    </row>
    <row r="541" spans="1:15" x14ac:dyDescent="0.35">
      <c r="A541" s="42" t="str">
        <f>IF('Input Sheet'!C543="","",CONCATENATE("Sample ", 'Input Sheet'!B543, "m: ", M541, G541, "% ", "Siltstone, ", O541, 'Input Sheet'!C543, "% ", I541, " Sandstone, ", K541, J541, " FLUOR in SST. ", "TG ", 'Input Sheet'!I543, "U"))</f>
        <v/>
      </c>
      <c r="B541" s="28" t="str">
        <f>IF('Input Sheet'!C543="","",CONCATENATE("Sample ", 'Input Sheet'!B543, "m: ", N541, H541, "% ", "Siltstone, ", P541, 'Input Sheet'!C543, "% ", J541, " Sandstone "))</f>
        <v/>
      </c>
      <c r="C541" s="28" t="str">
        <f>IF('Input Sheet'!C543="","",CONCATENATE("Sample ", 'Input Sheet'!B543, "m: ", M541,, K541, J541, " FLUOR in SST. ", "TG ", 'Input Sheet'!I543, "U"))</f>
        <v/>
      </c>
      <c r="G541" s="31" t="str">
        <f>IF('Input Sheet'!C543="","",100-'Input Sheet'!C543)</f>
        <v/>
      </c>
      <c r="H5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1" s="31" t="str">
        <f t="shared" si="8"/>
        <v/>
      </c>
      <c r="J5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1" s="31" t="str">
        <f>IF('Input Sheet'!F542=0, "NO",CONCATENATE('Input Sheet'!F542, IF('Input Sheet'!F542&gt;0,"% ","")))</f>
        <v>NO</v>
      </c>
      <c r="L5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1" s="31" t="str">
        <f>CONCATENATE(L541, IF('Input Sheet'!J543="",""," siderite in "))</f>
        <v/>
      </c>
      <c r="N5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1" s="31" t="str">
        <f>CONCATENATE(N541, IF('Input Sheet'!K543="",""," siderite in "))</f>
        <v/>
      </c>
    </row>
    <row r="542" spans="1:15" x14ac:dyDescent="0.35">
      <c r="A542" s="42" t="str">
        <f>IF('Input Sheet'!C544="","",CONCATENATE("Sample ", 'Input Sheet'!B544, "m: ", M542, G542, "% ", "Siltstone, ", O542, 'Input Sheet'!C544, "% ", I542, " Sandstone, ", K542, J542, " FLUOR in SST. ", "TG ", 'Input Sheet'!I544, "U"))</f>
        <v/>
      </c>
      <c r="B542" s="28" t="str">
        <f>IF('Input Sheet'!C544="","",CONCATENATE("Sample ", 'Input Sheet'!B544, "m: ", N542, H542, "% ", "Siltstone, ", P542, 'Input Sheet'!C544, "% ", J542, " Sandstone "))</f>
        <v/>
      </c>
      <c r="C542" s="28" t="str">
        <f>IF('Input Sheet'!C544="","",CONCATENATE("Sample ", 'Input Sheet'!B544, "m: ", M542,, K542, J542, " FLUOR in SST. ", "TG ", 'Input Sheet'!I544, "U"))</f>
        <v/>
      </c>
      <c r="G542" s="31" t="str">
        <f>IF('Input Sheet'!C544="","",100-'Input Sheet'!C544)</f>
        <v/>
      </c>
      <c r="H5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2" s="31" t="str">
        <f t="shared" si="8"/>
        <v/>
      </c>
      <c r="J5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2" s="31" t="str">
        <f>IF('Input Sheet'!F543=0, "NO",CONCATENATE('Input Sheet'!F543, IF('Input Sheet'!F543&gt;0,"% ","")))</f>
        <v>NO</v>
      </c>
      <c r="L5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2" s="31" t="str">
        <f>CONCATENATE(L542, IF('Input Sheet'!J544="",""," siderite in "))</f>
        <v/>
      </c>
      <c r="N5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2" s="31" t="str">
        <f>CONCATENATE(N542, IF('Input Sheet'!K544="",""," siderite in "))</f>
        <v/>
      </c>
    </row>
    <row r="543" spans="1:15" x14ac:dyDescent="0.35">
      <c r="A543" s="42" t="str">
        <f>IF('Input Sheet'!C545="","",CONCATENATE("Sample ", 'Input Sheet'!B545, "m: ", M543, G543, "% ", "Siltstone, ", O543, 'Input Sheet'!C545, "% ", I543, " Sandstone, ", K543, J543, " FLUOR in SST. ", "TG ", 'Input Sheet'!I545, "U"))</f>
        <v/>
      </c>
      <c r="B543" s="28" t="str">
        <f>IF('Input Sheet'!C545="","",CONCATENATE("Sample ", 'Input Sheet'!B545, "m: ", N543, H543, "% ", "Siltstone, ", P543, 'Input Sheet'!C545, "% ", J543, " Sandstone "))</f>
        <v/>
      </c>
      <c r="C543" s="28" t="str">
        <f>IF('Input Sheet'!C545="","",CONCATENATE("Sample ", 'Input Sheet'!B545, "m: ", M543,, K543, J543, " FLUOR in SST. ", "TG ", 'Input Sheet'!I545, "U"))</f>
        <v/>
      </c>
      <c r="G543" s="31" t="str">
        <f>IF('Input Sheet'!C545="","",100-'Input Sheet'!C545)</f>
        <v/>
      </c>
      <c r="H5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3" s="31" t="str">
        <f t="shared" si="8"/>
        <v/>
      </c>
      <c r="J5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3" s="31" t="str">
        <f>IF('Input Sheet'!F544=0, "NO",CONCATENATE('Input Sheet'!F544, IF('Input Sheet'!F544&gt;0,"% ","")))</f>
        <v>NO</v>
      </c>
      <c r="L5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3" s="31" t="str">
        <f>CONCATENATE(L543, IF('Input Sheet'!J545="",""," siderite in "))</f>
        <v/>
      </c>
      <c r="N5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3" s="31" t="str">
        <f>CONCATENATE(N543, IF('Input Sheet'!K545="",""," siderite in "))</f>
        <v/>
      </c>
    </row>
    <row r="544" spans="1:15" x14ac:dyDescent="0.35">
      <c r="A544" s="42" t="str">
        <f>IF('Input Sheet'!C546="","",CONCATENATE("Sample ", 'Input Sheet'!B546, "m: ", M544, G544, "% ", "Siltstone, ", O544, 'Input Sheet'!C546, "% ", I544, " Sandstone, ", K544, J544, " FLUOR in SST. ", "TG ", 'Input Sheet'!I546, "U"))</f>
        <v/>
      </c>
      <c r="B544" s="28" t="str">
        <f>IF('Input Sheet'!C546="","",CONCATENATE("Sample ", 'Input Sheet'!B546, "m: ", N544, H544, "% ", "Siltstone, ", P544, 'Input Sheet'!C546, "% ", J544, " Sandstone "))</f>
        <v/>
      </c>
      <c r="C544" s="28" t="str">
        <f>IF('Input Sheet'!C546="","",CONCATENATE("Sample ", 'Input Sheet'!B546, "m: ", M544,, K544, J544, " FLUOR in SST. ", "TG ", 'Input Sheet'!I546, "U"))</f>
        <v/>
      </c>
      <c r="G544" s="31" t="str">
        <f>IF('Input Sheet'!C546="","",100-'Input Sheet'!C546)</f>
        <v/>
      </c>
      <c r="H5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4" s="31" t="str">
        <f t="shared" si="8"/>
        <v/>
      </c>
      <c r="J5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4" s="31" t="str">
        <f>IF('Input Sheet'!F545=0, "NO",CONCATENATE('Input Sheet'!F545, IF('Input Sheet'!F545&gt;0,"% ","")))</f>
        <v>NO</v>
      </c>
      <c r="L5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4" s="31" t="str">
        <f>CONCATENATE(L544, IF('Input Sheet'!J546="",""," siderite in "))</f>
        <v/>
      </c>
      <c r="N5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4" s="31" t="str">
        <f>CONCATENATE(N544, IF('Input Sheet'!K546="",""," siderite in "))</f>
        <v/>
      </c>
    </row>
    <row r="545" spans="1:15" x14ac:dyDescent="0.35">
      <c r="A545" s="42" t="str">
        <f>IF('Input Sheet'!C547="","",CONCATENATE("Sample ", 'Input Sheet'!B547, "m: ", M545, G545, "% ", "Siltstone, ", O545, 'Input Sheet'!C547, "% ", I545, " Sandstone, ", K545, J545, " FLUOR in SST. ", "TG ", 'Input Sheet'!I547, "U"))</f>
        <v/>
      </c>
      <c r="B545" s="28" t="str">
        <f>IF('Input Sheet'!C547="","",CONCATENATE("Sample ", 'Input Sheet'!B547, "m: ", N545, H545, "% ", "Siltstone, ", P545, 'Input Sheet'!C547, "% ", J545, " Sandstone "))</f>
        <v/>
      </c>
      <c r="C545" s="28" t="str">
        <f>IF('Input Sheet'!C547="","",CONCATENATE("Sample ", 'Input Sheet'!B547, "m: ", M545,, K545, J545, " FLUOR in SST. ", "TG ", 'Input Sheet'!I547, "U"))</f>
        <v/>
      </c>
      <c r="G545" s="31" t="str">
        <f>IF('Input Sheet'!C547="","",100-'Input Sheet'!C547)</f>
        <v/>
      </c>
      <c r="H5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5" s="31" t="str">
        <f t="shared" si="8"/>
        <v/>
      </c>
      <c r="J5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5" s="31" t="str">
        <f>IF('Input Sheet'!F546=0, "NO",CONCATENATE('Input Sheet'!F546, IF('Input Sheet'!F546&gt;0,"% ","")))</f>
        <v>NO</v>
      </c>
      <c r="L5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5" s="31" t="str">
        <f>CONCATENATE(L545, IF('Input Sheet'!J547="",""," siderite in "))</f>
        <v/>
      </c>
      <c r="N5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5" s="31" t="str">
        <f>CONCATENATE(N545, IF('Input Sheet'!K547="",""," siderite in "))</f>
        <v/>
      </c>
    </row>
    <row r="546" spans="1:15" x14ac:dyDescent="0.35">
      <c r="A546" s="42" t="str">
        <f>IF('Input Sheet'!C548="","",CONCATENATE("Sample ", 'Input Sheet'!B548, "m: ", M546, G546, "% ", "Siltstone, ", O546, 'Input Sheet'!C548, "% ", I546, " Sandstone, ", K546, J546, " FLUOR in SST. ", "TG ", 'Input Sheet'!I548, "U"))</f>
        <v/>
      </c>
      <c r="B546" s="28" t="str">
        <f>IF('Input Sheet'!C548="","",CONCATENATE("Sample ", 'Input Sheet'!B548, "m: ", N546, H546, "% ", "Siltstone, ", P546, 'Input Sheet'!C548, "% ", J546, " Sandstone "))</f>
        <v/>
      </c>
      <c r="C546" s="28" t="str">
        <f>IF('Input Sheet'!C548="","",CONCATENATE("Sample ", 'Input Sheet'!B548, "m: ", M546,, K546, J546, " FLUOR in SST. ", "TG ", 'Input Sheet'!I548, "U"))</f>
        <v/>
      </c>
      <c r="G546" s="31" t="str">
        <f>IF('Input Sheet'!C548="","",100-'Input Sheet'!C548)</f>
        <v/>
      </c>
      <c r="H5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6" s="31" t="str">
        <f t="shared" si="8"/>
        <v/>
      </c>
      <c r="J5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6" s="31" t="str">
        <f>IF('Input Sheet'!F547=0, "NO",CONCATENATE('Input Sheet'!F547, IF('Input Sheet'!F547&gt;0,"% ","")))</f>
        <v>NO</v>
      </c>
      <c r="L5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6" s="31" t="str">
        <f>CONCATENATE(L546, IF('Input Sheet'!J548="",""," siderite in "))</f>
        <v/>
      </c>
      <c r="N5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6" s="31" t="str">
        <f>CONCATENATE(N546, IF('Input Sheet'!K548="",""," siderite in "))</f>
        <v/>
      </c>
    </row>
    <row r="547" spans="1:15" x14ac:dyDescent="0.35">
      <c r="A547" s="42" t="str">
        <f>IF('Input Sheet'!C549="","",CONCATENATE("Sample ", 'Input Sheet'!B549, "m: ", M547, G547, "% ", "Siltstone, ", O547, 'Input Sheet'!C549, "% ", I547, " Sandstone, ", K547, J547, " FLUOR in SST. ", "TG ", 'Input Sheet'!I549, "U"))</f>
        <v/>
      </c>
      <c r="B547" s="28" t="str">
        <f>IF('Input Sheet'!C549="","",CONCATENATE("Sample ", 'Input Sheet'!B549, "m: ", N547, H547, "% ", "Siltstone, ", P547, 'Input Sheet'!C549, "% ", J547, " Sandstone "))</f>
        <v/>
      </c>
      <c r="C547" s="28" t="str">
        <f>IF('Input Sheet'!C549="","",CONCATENATE("Sample ", 'Input Sheet'!B549, "m: ", M547,, K547, J547, " FLUOR in SST. ", "TG ", 'Input Sheet'!I549, "U"))</f>
        <v/>
      </c>
      <c r="G547" s="31" t="str">
        <f>IF('Input Sheet'!C549="","",100-'Input Sheet'!C549)</f>
        <v/>
      </c>
      <c r="H5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7" s="31" t="str">
        <f t="shared" si="8"/>
        <v/>
      </c>
      <c r="J5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7" s="31" t="str">
        <f>IF('Input Sheet'!F548=0, "NO",CONCATENATE('Input Sheet'!F548, IF('Input Sheet'!F548&gt;0,"% ","")))</f>
        <v>NO</v>
      </c>
      <c r="L5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7" s="31" t="str">
        <f>CONCATENATE(L547, IF('Input Sheet'!J549="",""," siderite in "))</f>
        <v/>
      </c>
      <c r="N5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7" s="31" t="str">
        <f>CONCATENATE(N547, IF('Input Sheet'!K549="",""," siderite in "))</f>
        <v/>
      </c>
    </row>
    <row r="548" spans="1:15" x14ac:dyDescent="0.35">
      <c r="A548" s="42" t="str">
        <f>IF('Input Sheet'!C550="","",CONCATENATE("Sample ", 'Input Sheet'!B550, "m: ", M548, G548, "% ", "Siltstone, ", O548, 'Input Sheet'!C550, "% ", I548, " Sandstone, ", K548, J548, " FLUOR in SST. ", "TG ", 'Input Sheet'!I550, "U"))</f>
        <v/>
      </c>
      <c r="B548" s="28" t="str">
        <f>IF('Input Sheet'!C550="","",CONCATENATE("Sample ", 'Input Sheet'!B550, "m: ", N548, H548, "% ", "Siltstone, ", P548, 'Input Sheet'!C550, "% ", J548, " Sandstone "))</f>
        <v/>
      </c>
      <c r="C548" s="28" t="str">
        <f>IF('Input Sheet'!C550="","",CONCATENATE("Sample ", 'Input Sheet'!B550, "m: ", M548,, K548, J548, " FLUOR in SST. ", "TG ", 'Input Sheet'!I550, "U"))</f>
        <v/>
      </c>
      <c r="G548" s="31" t="str">
        <f>IF('Input Sheet'!C550="","",100-'Input Sheet'!C550)</f>
        <v/>
      </c>
      <c r="H5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8" s="31" t="str">
        <f t="shared" si="8"/>
        <v/>
      </c>
      <c r="J5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8" s="31" t="str">
        <f>IF('Input Sheet'!F549=0, "NO",CONCATENATE('Input Sheet'!F549, IF('Input Sheet'!F549&gt;0,"% ","")))</f>
        <v>NO</v>
      </c>
      <c r="L5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8" s="31" t="str">
        <f>CONCATENATE(L548, IF('Input Sheet'!J550="",""," siderite in "))</f>
        <v/>
      </c>
      <c r="N5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8" s="31" t="str">
        <f>CONCATENATE(N548, IF('Input Sheet'!K550="",""," siderite in "))</f>
        <v/>
      </c>
    </row>
    <row r="549" spans="1:15" x14ac:dyDescent="0.35">
      <c r="A549" s="42" t="str">
        <f>IF('Input Sheet'!C551="","",CONCATENATE("Sample ", 'Input Sheet'!B551, "m: ", M549, G549, "% ", "Siltstone, ", O549, 'Input Sheet'!C551, "% ", I549, " Sandstone, ", K549, J549, " FLUOR in SST. ", "TG ", 'Input Sheet'!I551, "U"))</f>
        <v/>
      </c>
      <c r="B549" s="28" t="str">
        <f>IF('Input Sheet'!C551="","",CONCATENATE("Sample ", 'Input Sheet'!B551, "m: ", N549, H549, "% ", "Siltstone, ", P549, 'Input Sheet'!C551, "% ", J549, " Sandstone "))</f>
        <v/>
      </c>
      <c r="C549" s="28" t="str">
        <f>IF('Input Sheet'!C551="","",CONCATENATE("Sample ", 'Input Sheet'!B551, "m: ", M549,, K549, J549, " FLUOR in SST. ", "TG ", 'Input Sheet'!I551, "U"))</f>
        <v/>
      </c>
      <c r="G549" s="31" t="str">
        <f>IF('Input Sheet'!C551="","",100-'Input Sheet'!C551)</f>
        <v/>
      </c>
      <c r="H5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9" s="31" t="str">
        <f t="shared" si="8"/>
        <v/>
      </c>
      <c r="J5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9" s="31" t="str">
        <f>IF('Input Sheet'!F550=0, "NO",CONCATENATE('Input Sheet'!F550, IF('Input Sheet'!F550&gt;0,"% ","")))</f>
        <v>NO</v>
      </c>
      <c r="L5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9" s="31" t="str">
        <f>CONCATENATE(L549, IF('Input Sheet'!J551="",""," siderite in "))</f>
        <v/>
      </c>
      <c r="N5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9" s="31" t="str">
        <f>CONCATENATE(N549, IF('Input Sheet'!K551="",""," siderite in "))</f>
        <v/>
      </c>
    </row>
    <row r="550" spans="1:15" x14ac:dyDescent="0.35">
      <c r="A550" s="42" t="str">
        <f>IF('Input Sheet'!C552="","",CONCATENATE("Sample ", 'Input Sheet'!B552, "m: ", M550, G550, "% ", "Siltstone, ", O550, 'Input Sheet'!C552, "% ", I550, " Sandstone, ", K550, J550, " FLUOR in SST. ", "TG ", 'Input Sheet'!I552, "U"))</f>
        <v/>
      </c>
      <c r="B550" s="28" t="str">
        <f>IF('Input Sheet'!C552="","",CONCATENATE("Sample ", 'Input Sheet'!B552, "m: ", N550, H550, "% ", "Siltstone, ", P550, 'Input Sheet'!C552, "% ", J550, " Sandstone "))</f>
        <v/>
      </c>
      <c r="C550" s="28" t="str">
        <f>IF('Input Sheet'!C552="","",CONCATENATE("Sample ", 'Input Sheet'!B552, "m: ", M550,, K550, J550, " FLUOR in SST. ", "TG ", 'Input Sheet'!I552, "U"))</f>
        <v/>
      </c>
      <c r="G550" s="31" t="str">
        <f>IF('Input Sheet'!C552="","",100-'Input Sheet'!C552)</f>
        <v/>
      </c>
      <c r="H5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0" s="31" t="str">
        <f t="shared" si="8"/>
        <v/>
      </c>
      <c r="J5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0" s="31" t="str">
        <f>IF('Input Sheet'!F551=0, "NO",CONCATENATE('Input Sheet'!F551, IF('Input Sheet'!F551&gt;0,"% ","")))</f>
        <v>NO</v>
      </c>
      <c r="L5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0" s="31" t="str">
        <f>CONCATENATE(L550, IF('Input Sheet'!J552="",""," siderite in "))</f>
        <v/>
      </c>
      <c r="N5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0" s="31" t="str">
        <f>CONCATENATE(N550, IF('Input Sheet'!K552="",""," siderite in "))</f>
        <v/>
      </c>
    </row>
    <row r="551" spans="1:15" x14ac:dyDescent="0.35">
      <c r="A551" s="42" t="str">
        <f>IF('Input Sheet'!C553="","",CONCATENATE("Sample ", 'Input Sheet'!B553, "m: ", M551, G551, "% ", "Siltstone, ", O551, 'Input Sheet'!C553, "% ", I551, " Sandstone, ", K551, J551, " FLUOR in SST. ", "TG ", 'Input Sheet'!I553, "U"))</f>
        <v/>
      </c>
      <c r="B551" s="28" t="str">
        <f>IF('Input Sheet'!C553="","",CONCATENATE("Sample ", 'Input Sheet'!B553, "m: ", N551, H551, "% ", "Siltstone, ", P551, 'Input Sheet'!C553, "% ", J551, " Sandstone "))</f>
        <v/>
      </c>
      <c r="C551" s="28" t="str">
        <f>IF('Input Sheet'!C553="","",CONCATENATE("Sample ", 'Input Sheet'!B553, "m: ", M551,, K551, J551, " FLUOR in SST. ", "TG ", 'Input Sheet'!I553, "U"))</f>
        <v/>
      </c>
      <c r="G551" s="31" t="str">
        <f>IF('Input Sheet'!C553="","",100-'Input Sheet'!C553)</f>
        <v/>
      </c>
      <c r="H5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1" s="31" t="str">
        <f t="shared" si="8"/>
        <v/>
      </c>
      <c r="J5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1" s="31" t="str">
        <f>IF('Input Sheet'!F552=0, "NO",CONCATENATE('Input Sheet'!F552, IF('Input Sheet'!F552&gt;0,"% ","")))</f>
        <v>NO</v>
      </c>
      <c r="L5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1" s="31" t="str">
        <f>CONCATENATE(L551, IF('Input Sheet'!J553="",""," siderite in "))</f>
        <v/>
      </c>
      <c r="N5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1" s="31" t="str">
        <f>CONCATENATE(N551, IF('Input Sheet'!K553="",""," siderite in "))</f>
        <v/>
      </c>
    </row>
    <row r="552" spans="1:15" x14ac:dyDescent="0.35">
      <c r="A552" s="42" t="str">
        <f>IF('Input Sheet'!C554="","",CONCATENATE("Sample ", 'Input Sheet'!B554, "m: ", M552, G552, "% ", "Siltstone, ", O552, 'Input Sheet'!C554, "% ", I552, " Sandstone, ", K552, J552, " FLUOR in SST. ", "TG ", 'Input Sheet'!I554, "U"))</f>
        <v/>
      </c>
      <c r="B552" s="28" t="str">
        <f>IF('Input Sheet'!C554="","",CONCATENATE("Sample ", 'Input Sheet'!B554, "m: ", N552, H552, "% ", "Siltstone, ", P552, 'Input Sheet'!C554, "% ", J552, " Sandstone "))</f>
        <v/>
      </c>
      <c r="C552" s="28" t="str">
        <f>IF('Input Sheet'!C554="","",CONCATENATE("Sample ", 'Input Sheet'!B554, "m: ", M552,, K552, J552, " FLUOR in SST. ", "TG ", 'Input Sheet'!I554, "U"))</f>
        <v/>
      </c>
      <c r="G552" s="31" t="str">
        <f>IF('Input Sheet'!C554="","",100-'Input Sheet'!C554)</f>
        <v/>
      </c>
      <c r="H5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2" s="31" t="str">
        <f t="shared" si="8"/>
        <v/>
      </c>
      <c r="J5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2" s="31" t="str">
        <f>IF('Input Sheet'!F553=0, "NO",CONCATENATE('Input Sheet'!F553, IF('Input Sheet'!F553&gt;0,"% ","")))</f>
        <v>NO</v>
      </c>
      <c r="L5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2" s="31" t="str">
        <f>CONCATENATE(L552, IF('Input Sheet'!J554="",""," siderite in "))</f>
        <v/>
      </c>
      <c r="N5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2" s="31" t="str">
        <f>CONCATENATE(N552, IF('Input Sheet'!K554="",""," siderite in "))</f>
        <v/>
      </c>
    </row>
    <row r="553" spans="1:15" x14ac:dyDescent="0.35">
      <c r="A553" s="42" t="str">
        <f>IF('Input Sheet'!C555="","",CONCATENATE("Sample ", 'Input Sheet'!B555, "m: ", M553, G553, "% ", "Siltstone, ", O553, 'Input Sheet'!C555, "% ", I553, " Sandstone, ", K553, J553, " FLUOR in SST. ", "TG ", 'Input Sheet'!I555, "U"))</f>
        <v/>
      </c>
      <c r="B553" s="28" t="str">
        <f>IF('Input Sheet'!C555="","",CONCATENATE("Sample ", 'Input Sheet'!B555, "m: ", N553, H553, "% ", "Siltstone, ", P553, 'Input Sheet'!C555, "% ", J553, " Sandstone "))</f>
        <v/>
      </c>
      <c r="C553" s="28" t="str">
        <f>IF('Input Sheet'!C555="","",CONCATENATE("Sample ", 'Input Sheet'!B555, "m: ", M553,, K553, J553, " FLUOR in SST. ", "TG ", 'Input Sheet'!I555, "U"))</f>
        <v/>
      </c>
      <c r="G553" s="31" t="str">
        <f>IF('Input Sheet'!C555="","",100-'Input Sheet'!C555)</f>
        <v/>
      </c>
      <c r="H5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3" s="31" t="str">
        <f t="shared" si="8"/>
        <v/>
      </c>
      <c r="J5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3" s="31" t="str">
        <f>IF('Input Sheet'!F554=0, "NO",CONCATENATE('Input Sheet'!F554, IF('Input Sheet'!F554&gt;0,"% ","")))</f>
        <v>NO</v>
      </c>
      <c r="L5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3" s="31" t="str">
        <f>CONCATENATE(L553, IF('Input Sheet'!J555="",""," siderite in "))</f>
        <v/>
      </c>
      <c r="N5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3" s="31" t="str">
        <f>CONCATENATE(N553, IF('Input Sheet'!K555="",""," siderite in "))</f>
        <v/>
      </c>
    </row>
    <row r="554" spans="1:15" x14ac:dyDescent="0.35">
      <c r="A554" s="42" t="str">
        <f>IF('Input Sheet'!C556="","",CONCATENATE("Sample ", 'Input Sheet'!B556, "m: ", M554, G554, "% ", "Siltstone, ", O554, 'Input Sheet'!C556, "% ", I554, " Sandstone, ", K554, J554, " FLUOR in SST. ", "TG ", 'Input Sheet'!I556, "U"))</f>
        <v/>
      </c>
      <c r="B554" s="28" t="str">
        <f>IF('Input Sheet'!C556="","",CONCATENATE("Sample ", 'Input Sheet'!B556, "m: ", N554, H554, "% ", "Siltstone, ", P554, 'Input Sheet'!C556, "% ", J554, " Sandstone "))</f>
        <v/>
      </c>
      <c r="C554" s="28" t="str">
        <f>IF('Input Sheet'!C556="","",CONCATENATE("Sample ", 'Input Sheet'!B556, "m: ", M554,, K554, J554, " FLUOR in SST. ", "TG ", 'Input Sheet'!I556, "U"))</f>
        <v/>
      </c>
      <c r="G554" s="31" t="str">
        <f>IF('Input Sheet'!C556="","",100-'Input Sheet'!C556)</f>
        <v/>
      </c>
      <c r="H5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4" s="31" t="str">
        <f t="shared" si="8"/>
        <v/>
      </c>
      <c r="J5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4" s="31" t="str">
        <f>IF('Input Sheet'!F555=0, "NO",CONCATENATE('Input Sheet'!F555, IF('Input Sheet'!F555&gt;0,"% ","")))</f>
        <v>NO</v>
      </c>
      <c r="L5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4" s="31" t="str">
        <f>CONCATENATE(L554, IF('Input Sheet'!J556="",""," siderite in "))</f>
        <v/>
      </c>
      <c r="N5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4" s="31" t="str">
        <f>CONCATENATE(N554, IF('Input Sheet'!K556="",""," siderite in "))</f>
        <v/>
      </c>
    </row>
    <row r="555" spans="1:15" x14ac:dyDescent="0.35">
      <c r="A555" s="42" t="str">
        <f>IF('Input Sheet'!C557="","",CONCATENATE("Sample ", 'Input Sheet'!B557, "m: ", M555, G555, "% ", "Siltstone, ", O555, 'Input Sheet'!C557, "% ", I555, " Sandstone, ", K555, J555, " FLUOR in SST. ", "TG ", 'Input Sheet'!I557, "U"))</f>
        <v/>
      </c>
      <c r="B555" s="28" t="str">
        <f>IF('Input Sheet'!C557="","",CONCATENATE("Sample ", 'Input Sheet'!B557, "m: ", N555, H555, "% ", "Siltstone, ", P555, 'Input Sheet'!C557, "% ", J555, " Sandstone "))</f>
        <v/>
      </c>
      <c r="C555" s="28" t="str">
        <f>IF('Input Sheet'!C557="","",CONCATENATE("Sample ", 'Input Sheet'!B557, "m: ", M555,, K555, J555, " FLUOR in SST. ", "TG ", 'Input Sheet'!I557, "U"))</f>
        <v/>
      </c>
      <c r="G555" s="31" t="str">
        <f>IF('Input Sheet'!C557="","",100-'Input Sheet'!C557)</f>
        <v/>
      </c>
      <c r="H5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5" s="31" t="str">
        <f t="shared" si="8"/>
        <v/>
      </c>
      <c r="J5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5" s="31" t="str">
        <f>IF('Input Sheet'!F556=0, "NO",CONCATENATE('Input Sheet'!F556, IF('Input Sheet'!F556&gt;0,"% ","")))</f>
        <v>NO</v>
      </c>
      <c r="L5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5" s="31" t="str">
        <f>CONCATENATE(L555, IF('Input Sheet'!J557="",""," siderite in "))</f>
        <v/>
      </c>
      <c r="N5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5" s="31" t="str">
        <f>CONCATENATE(N555, IF('Input Sheet'!K557="",""," siderite in "))</f>
        <v/>
      </c>
    </row>
    <row r="556" spans="1:15" x14ac:dyDescent="0.35">
      <c r="A556" s="42" t="str">
        <f>IF('Input Sheet'!C558="","",CONCATENATE("Sample ", 'Input Sheet'!B558, "m: ", M556, G556, "% ", "Siltstone, ", O556, 'Input Sheet'!C558, "% ", I556, " Sandstone, ", K556, J556, " FLUOR in SST. ", "TG ", 'Input Sheet'!I558, "U"))</f>
        <v/>
      </c>
      <c r="B556" s="28" t="str">
        <f>IF('Input Sheet'!C558="","",CONCATENATE("Sample ", 'Input Sheet'!B558, "m: ", N556, H556, "% ", "Siltstone, ", P556, 'Input Sheet'!C558, "% ", J556, " Sandstone "))</f>
        <v/>
      </c>
      <c r="C556" s="28" t="str">
        <f>IF('Input Sheet'!C558="","",CONCATENATE("Sample ", 'Input Sheet'!B558, "m: ", M556,, K556, J556, " FLUOR in SST. ", "TG ", 'Input Sheet'!I558, "U"))</f>
        <v/>
      </c>
      <c r="G556" s="31" t="str">
        <f>IF('Input Sheet'!C558="","",100-'Input Sheet'!C558)</f>
        <v/>
      </c>
      <c r="H5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6" s="31" t="str">
        <f t="shared" si="8"/>
        <v/>
      </c>
      <c r="J5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6" s="31" t="str">
        <f>IF('Input Sheet'!F557=0, "NO",CONCATENATE('Input Sheet'!F557, IF('Input Sheet'!F557&gt;0,"% ","")))</f>
        <v>NO</v>
      </c>
      <c r="L5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6" s="31" t="str">
        <f>CONCATENATE(L556, IF('Input Sheet'!J558="",""," siderite in "))</f>
        <v/>
      </c>
      <c r="N5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6" s="31" t="str">
        <f>CONCATENATE(N556, IF('Input Sheet'!K558="",""," siderite in "))</f>
        <v/>
      </c>
    </row>
    <row r="557" spans="1:15" x14ac:dyDescent="0.35">
      <c r="A557" s="42" t="str">
        <f>IF('Input Sheet'!C559="","",CONCATENATE("Sample ", 'Input Sheet'!B559, "m: ", M557, G557, "% ", "Siltstone, ", O557, 'Input Sheet'!C559, "% ", I557, " Sandstone, ", K557, J557, " FLUOR in SST. ", "TG ", 'Input Sheet'!I559, "U"))</f>
        <v/>
      </c>
      <c r="B557" s="28" t="str">
        <f>IF('Input Sheet'!C559="","",CONCATENATE("Sample ", 'Input Sheet'!B559, "m: ", N557, H557, "% ", "Siltstone, ", P557, 'Input Sheet'!C559, "% ", J557, " Sandstone "))</f>
        <v/>
      </c>
      <c r="C557" s="28" t="str">
        <f>IF('Input Sheet'!C559="","",CONCATENATE("Sample ", 'Input Sheet'!B559, "m: ", M557,, K557, J557, " FLUOR in SST. ", "TG ", 'Input Sheet'!I559, "U"))</f>
        <v/>
      </c>
      <c r="G557" s="31" t="str">
        <f>IF('Input Sheet'!C559="","",100-'Input Sheet'!C559)</f>
        <v/>
      </c>
      <c r="H5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7" s="31" t="str">
        <f t="shared" si="8"/>
        <v/>
      </c>
      <c r="J5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7" s="31" t="str">
        <f>IF('Input Sheet'!F558=0, "NO",CONCATENATE('Input Sheet'!F558, IF('Input Sheet'!F558&gt;0,"% ","")))</f>
        <v>NO</v>
      </c>
      <c r="L5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7" s="31" t="str">
        <f>CONCATENATE(L557, IF('Input Sheet'!J559="",""," siderite in "))</f>
        <v/>
      </c>
      <c r="N5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7" s="31" t="str">
        <f>CONCATENATE(N557, IF('Input Sheet'!K559="",""," siderite in "))</f>
        <v/>
      </c>
    </row>
    <row r="558" spans="1:15" x14ac:dyDescent="0.35">
      <c r="A558" s="42" t="str">
        <f>IF('Input Sheet'!C560="","",CONCATENATE("Sample ", 'Input Sheet'!B560, "m: ", M558, G558, "% ", "Siltstone, ", O558, 'Input Sheet'!C560, "% ", I558, " Sandstone, ", K558, J558, " FLUOR in SST. ", "TG ", 'Input Sheet'!I560, "U"))</f>
        <v/>
      </c>
      <c r="B558" s="28" t="str">
        <f>IF('Input Sheet'!C560="","",CONCATENATE("Sample ", 'Input Sheet'!B560, "m: ", N558, H558, "% ", "Siltstone, ", P558, 'Input Sheet'!C560, "% ", J558, " Sandstone "))</f>
        <v/>
      </c>
      <c r="C558" s="28" t="str">
        <f>IF('Input Sheet'!C560="","",CONCATENATE("Sample ", 'Input Sheet'!B560, "m: ", M558,, K558, J558, " FLUOR in SST. ", "TG ", 'Input Sheet'!I560, "U"))</f>
        <v/>
      </c>
      <c r="G558" s="31" t="str">
        <f>IF('Input Sheet'!C560="","",100-'Input Sheet'!C560)</f>
        <v/>
      </c>
      <c r="H5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8" s="31" t="str">
        <f t="shared" si="8"/>
        <v/>
      </c>
      <c r="J5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8" s="31" t="str">
        <f>IF('Input Sheet'!F559=0, "NO",CONCATENATE('Input Sheet'!F559, IF('Input Sheet'!F559&gt;0,"% ","")))</f>
        <v>NO</v>
      </c>
      <c r="L5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8" s="31" t="str">
        <f>CONCATENATE(L558, IF('Input Sheet'!J560="",""," siderite in "))</f>
        <v/>
      </c>
      <c r="N5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8" s="31" t="str">
        <f>CONCATENATE(N558, IF('Input Sheet'!K560="",""," siderite in "))</f>
        <v/>
      </c>
    </row>
    <row r="559" spans="1:15" x14ac:dyDescent="0.35">
      <c r="A559" s="42" t="str">
        <f>IF('Input Sheet'!C561="","",CONCATENATE("Sample ", 'Input Sheet'!B561, "m: ", M559, G559, "% ", "Siltstone, ", O559, 'Input Sheet'!C561, "% ", I559, " Sandstone, ", K559, J559, " FLUOR in SST. ", "TG ", 'Input Sheet'!I561, "U"))</f>
        <v/>
      </c>
      <c r="B559" s="28" t="str">
        <f>IF('Input Sheet'!C561="","",CONCATENATE("Sample ", 'Input Sheet'!B561, "m: ", N559, H559, "% ", "Siltstone, ", P559, 'Input Sheet'!C561, "% ", J559, " Sandstone "))</f>
        <v/>
      </c>
      <c r="C559" s="28" t="str">
        <f>IF('Input Sheet'!C561="","",CONCATENATE("Sample ", 'Input Sheet'!B561, "m: ", M559,, K559, J559, " FLUOR in SST. ", "TG ", 'Input Sheet'!I561, "U"))</f>
        <v/>
      </c>
      <c r="G559" s="31" t="str">
        <f>IF('Input Sheet'!C561="","",100-'Input Sheet'!C561)</f>
        <v/>
      </c>
      <c r="H5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9" s="31" t="str">
        <f t="shared" si="8"/>
        <v/>
      </c>
      <c r="J5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9" s="31" t="str">
        <f>IF('Input Sheet'!F560=0, "NO",CONCATENATE('Input Sheet'!F560, IF('Input Sheet'!F560&gt;0,"% ","")))</f>
        <v>NO</v>
      </c>
      <c r="L5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9" s="31" t="str">
        <f>CONCATENATE(L559, IF('Input Sheet'!J561="",""," siderite in "))</f>
        <v/>
      </c>
      <c r="N5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9" s="31" t="str">
        <f>CONCATENATE(N559, IF('Input Sheet'!K561="",""," siderite in "))</f>
        <v/>
      </c>
    </row>
    <row r="560" spans="1:15" x14ac:dyDescent="0.35">
      <c r="A560" s="42" t="str">
        <f>IF('Input Sheet'!C562="","",CONCATENATE("Sample ", 'Input Sheet'!B562, "m: ", M560, G560, "% ", "Siltstone, ", O560, 'Input Sheet'!C562, "% ", I560, " Sandstone, ", K560, J560, " FLUOR in SST. ", "TG ", 'Input Sheet'!I562, "U"))</f>
        <v/>
      </c>
      <c r="B560" s="28" t="str">
        <f>IF('Input Sheet'!C562="","",CONCATENATE("Sample ", 'Input Sheet'!B562, "m: ", N560, H560, "% ", "Siltstone, ", P560, 'Input Sheet'!C562, "% ", J560, " Sandstone "))</f>
        <v/>
      </c>
      <c r="C560" s="28" t="str">
        <f>IF('Input Sheet'!C562="","",CONCATENATE("Sample ", 'Input Sheet'!B562, "m: ", M560,, K560, J560, " FLUOR in SST. ", "TG ", 'Input Sheet'!I562, "U"))</f>
        <v/>
      </c>
      <c r="G560" s="31" t="str">
        <f>IF('Input Sheet'!C562="","",100-'Input Sheet'!C562)</f>
        <v/>
      </c>
      <c r="H5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0" s="31" t="str">
        <f t="shared" si="8"/>
        <v/>
      </c>
      <c r="J5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0" s="31" t="str">
        <f>IF('Input Sheet'!F561=0, "NO",CONCATENATE('Input Sheet'!F561, IF('Input Sheet'!F561&gt;0,"% ","")))</f>
        <v>NO</v>
      </c>
      <c r="L5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0" s="31" t="str">
        <f>CONCATENATE(L560, IF('Input Sheet'!J562="",""," siderite in "))</f>
        <v/>
      </c>
      <c r="N5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0" s="31" t="str">
        <f>CONCATENATE(N560, IF('Input Sheet'!K562="",""," siderite in "))</f>
        <v/>
      </c>
    </row>
    <row r="561" spans="1:15" x14ac:dyDescent="0.35">
      <c r="A561" s="42" t="str">
        <f>IF('Input Sheet'!C563="","",CONCATENATE("Sample ", 'Input Sheet'!B563, "m: ", M561, G561, "% ", "Siltstone, ", O561, 'Input Sheet'!C563, "% ", I561, " Sandstone, ", K561, J561, " FLUOR in SST. ", "TG ", 'Input Sheet'!I563, "U"))</f>
        <v/>
      </c>
      <c r="B561" s="28" t="str">
        <f>IF('Input Sheet'!C563="","",CONCATENATE("Sample ", 'Input Sheet'!B563, "m: ", N561, H561, "% ", "Siltstone, ", P561, 'Input Sheet'!C563, "% ", J561, " Sandstone "))</f>
        <v/>
      </c>
      <c r="C561" s="28" t="str">
        <f>IF('Input Sheet'!C563="","",CONCATENATE("Sample ", 'Input Sheet'!B563, "m: ", M561,, K561, J561, " FLUOR in SST. ", "TG ", 'Input Sheet'!I563, "U"))</f>
        <v/>
      </c>
      <c r="G561" s="31" t="str">
        <f>IF('Input Sheet'!C563="","",100-'Input Sheet'!C563)</f>
        <v/>
      </c>
      <c r="H5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1" s="31" t="str">
        <f t="shared" si="8"/>
        <v/>
      </c>
      <c r="J5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1" s="31" t="str">
        <f>IF('Input Sheet'!F562=0, "NO",CONCATENATE('Input Sheet'!F562, IF('Input Sheet'!F562&gt;0,"% ","")))</f>
        <v>NO</v>
      </c>
      <c r="L5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1" s="31" t="str">
        <f>CONCATENATE(L561, IF('Input Sheet'!J563="",""," siderite in "))</f>
        <v/>
      </c>
      <c r="N5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1" s="31" t="str">
        <f>CONCATENATE(N561, IF('Input Sheet'!K563="",""," siderite in "))</f>
        <v/>
      </c>
    </row>
    <row r="562" spans="1:15" x14ac:dyDescent="0.35">
      <c r="A562" s="42" t="str">
        <f>IF('Input Sheet'!C564="","",CONCATENATE("Sample ", 'Input Sheet'!B564, "m: ", M562, G562, "% ", "Siltstone, ", O562, 'Input Sheet'!C564, "% ", I562, " Sandstone, ", K562, J562, " FLUOR in SST. ", "TG ", 'Input Sheet'!I564, "U"))</f>
        <v/>
      </c>
      <c r="B562" s="28" t="str">
        <f>IF('Input Sheet'!C564="","",CONCATENATE("Sample ", 'Input Sheet'!B564, "m: ", N562, H562, "% ", "Siltstone, ", P562, 'Input Sheet'!C564, "% ", J562, " Sandstone "))</f>
        <v/>
      </c>
      <c r="C562" s="28" t="str">
        <f>IF('Input Sheet'!C564="","",CONCATENATE("Sample ", 'Input Sheet'!B564, "m: ", M562,, K562, J562, " FLUOR in SST. ", "TG ", 'Input Sheet'!I564, "U"))</f>
        <v/>
      </c>
      <c r="G562" s="31" t="str">
        <f>IF('Input Sheet'!C564="","",100-'Input Sheet'!C564)</f>
        <v/>
      </c>
      <c r="H5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2" s="31" t="str">
        <f t="shared" si="8"/>
        <v/>
      </c>
      <c r="J5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2" s="31" t="str">
        <f>IF('Input Sheet'!F563=0, "NO",CONCATENATE('Input Sheet'!F563, IF('Input Sheet'!F563&gt;0,"% ","")))</f>
        <v>NO</v>
      </c>
      <c r="L5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2" s="31" t="str">
        <f>CONCATENATE(L562, IF('Input Sheet'!J564="",""," siderite in "))</f>
        <v/>
      </c>
      <c r="N5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2" s="31" t="str">
        <f>CONCATENATE(N562, IF('Input Sheet'!K564="",""," siderite in "))</f>
        <v/>
      </c>
    </row>
    <row r="563" spans="1:15" x14ac:dyDescent="0.35">
      <c r="A563" s="42" t="str">
        <f>IF('Input Sheet'!C565="","",CONCATENATE("Sample ", 'Input Sheet'!B565, "m: ", M563, G563, "% ", "Siltstone, ", O563, 'Input Sheet'!C565, "% ", I563, " Sandstone, ", K563, J563, " FLUOR in SST. ", "TG ", 'Input Sheet'!I565, "U"))</f>
        <v/>
      </c>
      <c r="B563" s="28" t="str">
        <f>IF('Input Sheet'!C565="","",CONCATENATE("Sample ", 'Input Sheet'!B565, "m: ", N563, H563, "% ", "Siltstone, ", P563, 'Input Sheet'!C565, "% ", J563, " Sandstone "))</f>
        <v/>
      </c>
      <c r="C563" s="28" t="str">
        <f>IF('Input Sheet'!C565="","",CONCATENATE("Sample ", 'Input Sheet'!B565, "m: ", M563,, K563, J563, " FLUOR in SST. ", "TG ", 'Input Sheet'!I565, "U"))</f>
        <v/>
      </c>
      <c r="G563" s="31" t="str">
        <f>IF('Input Sheet'!C565="","",100-'Input Sheet'!C565)</f>
        <v/>
      </c>
      <c r="H5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3" s="31" t="str">
        <f t="shared" si="8"/>
        <v/>
      </c>
      <c r="J5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3" s="31" t="str">
        <f>IF('Input Sheet'!F564=0, "NO",CONCATENATE('Input Sheet'!F564, IF('Input Sheet'!F564&gt;0,"% ","")))</f>
        <v>NO</v>
      </c>
      <c r="L5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3" s="31" t="str">
        <f>CONCATENATE(L563, IF('Input Sheet'!J565="",""," siderite in "))</f>
        <v/>
      </c>
      <c r="N5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3" s="31" t="str">
        <f>CONCATENATE(N563, IF('Input Sheet'!K565="",""," siderite in "))</f>
        <v/>
      </c>
    </row>
    <row r="564" spans="1:15" x14ac:dyDescent="0.35">
      <c r="A564" s="42" t="str">
        <f>IF('Input Sheet'!C566="","",CONCATENATE("Sample ", 'Input Sheet'!B566, "m: ", M564, G564, "% ", "Siltstone, ", O564, 'Input Sheet'!C566, "% ", I564, " Sandstone, ", K564, J564, " FLUOR in SST. ", "TG ", 'Input Sheet'!I566, "U"))</f>
        <v/>
      </c>
      <c r="B564" s="28" t="str">
        <f>IF('Input Sheet'!C566="","",CONCATENATE("Sample ", 'Input Sheet'!B566, "m: ", N564, H564, "% ", "Siltstone, ", P564, 'Input Sheet'!C566, "% ", J564, " Sandstone "))</f>
        <v/>
      </c>
      <c r="C564" s="28" t="str">
        <f>IF('Input Sheet'!C566="","",CONCATENATE("Sample ", 'Input Sheet'!B566, "m: ", M564,, K564, J564, " FLUOR in SST. ", "TG ", 'Input Sheet'!I566, "U"))</f>
        <v/>
      </c>
      <c r="G564" s="31" t="str">
        <f>IF('Input Sheet'!C566="","",100-'Input Sheet'!C566)</f>
        <v/>
      </c>
      <c r="H5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4" s="31" t="str">
        <f t="shared" si="8"/>
        <v/>
      </c>
      <c r="J5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4" s="31" t="str">
        <f>IF('Input Sheet'!F565=0, "NO",CONCATENATE('Input Sheet'!F565, IF('Input Sheet'!F565&gt;0,"% ","")))</f>
        <v>NO</v>
      </c>
      <c r="L5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4" s="31" t="str">
        <f>CONCATENATE(L564, IF('Input Sheet'!J566="",""," siderite in "))</f>
        <v/>
      </c>
      <c r="N5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4" s="31" t="str">
        <f>CONCATENATE(N564, IF('Input Sheet'!K566="",""," siderite in "))</f>
        <v/>
      </c>
    </row>
    <row r="565" spans="1:15" x14ac:dyDescent="0.35">
      <c r="A565" s="42" t="str">
        <f>IF('Input Sheet'!C567="","",CONCATENATE("Sample ", 'Input Sheet'!B567, "m: ", M565, G565, "% ", "Siltstone, ", O565, 'Input Sheet'!C567, "% ", I565, " Sandstone, ", K565, J565, " FLUOR in SST. ", "TG ", 'Input Sheet'!I567, "U"))</f>
        <v/>
      </c>
      <c r="B565" s="28" t="str">
        <f>IF('Input Sheet'!C567="","",CONCATENATE("Sample ", 'Input Sheet'!B567, "m: ", N565, H565, "% ", "Siltstone, ", P565, 'Input Sheet'!C567, "% ", J565, " Sandstone "))</f>
        <v/>
      </c>
      <c r="C565" s="28" t="str">
        <f>IF('Input Sheet'!C567="","",CONCATENATE("Sample ", 'Input Sheet'!B567, "m: ", M565,, K565, J565, " FLUOR in SST. ", "TG ", 'Input Sheet'!I567, "U"))</f>
        <v/>
      </c>
      <c r="G565" s="31" t="str">
        <f>IF('Input Sheet'!C567="","",100-'Input Sheet'!C567)</f>
        <v/>
      </c>
      <c r="H5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5" s="31" t="str">
        <f t="shared" si="8"/>
        <v/>
      </c>
      <c r="J5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5" s="31" t="str">
        <f>IF('Input Sheet'!F566=0, "NO",CONCATENATE('Input Sheet'!F566, IF('Input Sheet'!F566&gt;0,"% ","")))</f>
        <v>NO</v>
      </c>
      <c r="L5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5" s="31" t="str">
        <f>CONCATENATE(L565, IF('Input Sheet'!J567="",""," siderite in "))</f>
        <v/>
      </c>
      <c r="N5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5" s="31" t="str">
        <f>CONCATENATE(N565, IF('Input Sheet'!K567="",""," siderite in "))</f>
        <v/>
      </c>
    </row>
    <row r="566" spans="1:15" x14ac:dyDescent="0.35">
      <c r="A566" s="42" t="str">
        <f>IF('Input Sheet'!C568="","",CONCATENATE("Sample ", 'Input Sheet'!B568, "m: ", M566, G566, "% ", "Siltstone, ", O566, 'Input Sheet'!C568, "% ", I566, " Sandstone, ", K566, J566, " FLUOR in SST. ", "TG ", 'Input Sheet'!I568, "U"))</f>
        <v/>
      </c>
      <c r="B566" s="28" t="str">
        <f>IF('Input Sheet'!C568="","",CONCATENATE("Sample ", 'Input Sheet'!B568, "m: ", N566, H566, "% ", "Siltstone, ", P566, 'Input Sheet'!C568, "% ", J566, " Sandstone "))</f>
        <v/>
      </c>
      <c r="C566" s="28" t="str">
        <f>IF('Input Sheet'!C568="","",CONCATENATE("Sample ", 'Input Sheet'!B568, "m: ", M566,, K566, J566, " FLUOR in SST. ", "TG ", 'Input Sheet'!I568, "U"))</f>
        <v/>
      </c>
      <c r="G566" s="31" t="str">
        <f>IF('Input Sheet'!C568="","",100-'Input Sheet'!C568)</f>
        <v/>
      </c>
      <c r="H5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6" s="31" t="str">
        <f t="shared" si="8"/>
        <v/>
      </c>
      <c r="J5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6" s="31" t="str">
        <f>IF('Input Sheet'!F567=0, "NO",CONCATENATE('Input Sheet'!F567, IF('Input Sheet'!F567&gt;0,"% ","")))</f>
        <v>NO</v>
      </c>
      <c r="L5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6" s="31" t="str">
        <f>CONCATENATE(L566, IF('Input Sheet'!J568="",""," siderite in "))</f>
        <v/>
      </c>
      <c r="N5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6" s="31" t="str">
        <f>CONCATENATE(N566, IF('Input Sheet'!K568="",""," siderite in "))</f>
        <v/>
      </c>
    </row>
    <row r="567" spans="1:15" x14ac:dyDescent="0.35">
      <c r="A567" s="42" t="str">
        <f>IF('Input Sheet'!C569="","",CONCATENATE("Sample ", 'Input Sheet'!B569, "m: ", M567, G567, "% ", "Siltstone, ", O567, 'Input Sheet'!C569, "% ", I567, " Sandstone, ", K567, J567, " FLUOR in SST. ", "TG ", 'Input Sheet'!I569, "U"))</f>
        <v/>
      </c>
      <c r="B567" s="28" t="str">
        <f>IF('Input Sheet'!C569="","",CONCATENATE("Sample ", 'Input Sheet'!B569, "m: ", N567, H567, "% ", "Siltstone, ", P567, 'Input Sheet'!C569, "% ", J567, " Sandstone "))</f>
        <v/>
      </c>
      <c r="C567" s="28" t="str">
        <f>IF('Input Sheet'!C569="","",CONCATENATE("Sample ", 'Input Sheet'!B569, "m: ", M567,, K567, J567, " FLUOR in SST. ", "TG ", 'Input Sheet'!I569, "U"))</f>
        <v/>
      </c>
      <c r="G567" s="31" t="str">
        <f>IF('Input Sheet'!C569="","",100-'Input Sheet'!C569)</f>
        <v/>
      </c>
      <c r="H5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7" s="31" t="str">
        <f t="shared" si="8"/>
        <v/>
      </c>
      <c r="J5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7" s="31" t="str">
        <f>IF('Input Sheet'!F568=0, "NO",CONCATENATE('Input Sheet'!F568, IF('Input Sheet'!F568&gt;0,"% ","")))</f>
        <v>NO</v>
      </c>
      <c r="L5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7" s="31" t="str">
        <f>CONCATENATE(L567, IF('Input Sheet'!J569="",""," siderite in "))</f>
        <v/>
      </c>
      <c r="N5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7" s="31" t="str">
        <f>CONCATENATE(N567, IF('Input Sheet'!K569="",""," siderite in "))</f>
        <v/>
      </c>
    </row>
    <row r="568" spans="1:15" x14ac:dyDescent="0.35">
      <c r="A568" s="42" t="str">
        <f>IF('Input Sheet'!C570="","",CONCATENATE("Sample ", 'Input Sheet'!B570, "m: ", M568, G568, "% ", "Siltstone, ", O568, 'Input Sheet'!C570, "% ", I568, " Sandstone, ", K568, J568, " FLUOR in SST. ", "TG ", 'Input Sheet'!I570, "U"))</f>
        <v/>
      </c>
      <c r="B568" s="28" t="str">
        <f>IF('Input Sheet'!C570="","",CONCATENATE("Sample ", 'Input Sheet'!B570, "m: ", N568, H568, "% ", "Siltstone, ", P568, 'Input Sheet'!C570, "% ", J568, " Sandstone "))</f>
        <v/>
      </c>
      <c r="C568" s="28" t="str">
        <f>IF('Input Sheet'!C570="","",CONCATENATE("Sample ", 'Input Sheet'!B570, "m: ", M568,, K568, J568, " FLUOR in SST. ", "TG ", 'Input Sheet'!I570, "U"))</f>
        <v/>
      </c>
      <c r="G568" s="31" t="str">
        <f>IF('Input Sheet'!C570="","",100-'Input Sheet'!C570)</f>
        <v/>
      </c>
      <c r="H5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8" s="31" t="str">
        <f t="shared" si="8"/>
        <v/>
      </c>
      <c r="J5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8" s="31" t="str">
        <f>IF('Input Sheet'!F569=0, "NO",CONCATENATE('Input Sheet'!F569, IF('Input Sheet'!F569&gt;0,"% ","")))</f>
        <v>NO</v>
      </c>
      <c r="L5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8" s="31" t="str">
        <f>CONCATENATE(L568, IF('Input Sheet'!J570="",""," siderite in "))</f>
        <v/>
      </c>
      <c r="N5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8" s="31" t="str">
        <f>CONCATENATE(N568, IF('Input Sheet'!K570="",""," siderite in "))</f>
        <v/>
      </c>
    </row>
    <row r="569" spans="1:15" x14ac:dyDescent="0.35">
      <c r="A569" s="42" t="str">
        <f>IF('Input Sheet'!C571="","",CONCATENATE("Sample ", 'Input Sheet'!B571, "m: ", M569, G569, "% ", "Siltstone, ", O569, 'Input Sheet'!C571, "% ", I569, " Sandstone, ", K569, J569, " FLUOR in SST. ", "TG ", 'Input Sheet'!I571, "U"))</f>
        <v/>
      </c>
      <c r="B569" s="28" t="str">
        <f>IF('Input Sheet'!C571="","",CONCATENATE("Sample ", 'Input Sheet'!B571, "m: ", N569, H569, "% ", "Siltstone, ", P569, 'Input Sheet'!C571, "% ", J569, " Sandstone "))</f>
        <v/>
      </c>
      <c r="C569" s="28" t="str">
        <f>IF('Input Sheet'!C571="","",CONCATENATE("Sample ", 'Input Sheet'!B571, "m: ", M569,, K569, J569, " FLUOR in SST. ", "TG ", 'Input Sheet'!I571, "U"))</f>
        <v/>
      </c>
      <c r="G569" s="31" t="str">
        <f>IF('Input Sheet'!C571="","",100-'Input Sheet'!C571)</f>
        <v/>
      </c>
      <c r="H5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9" s="31" t="str">
        <f t="shared" si="8"/>
        <v/>
      </c>
      <c r="J5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9" s="31" t="str">
        <f>IF('Input Sheet'!F570=0, "NO",CONCATENATE('Input Sheet'!F570, IF('Input Sheet'!F570&gt;0,"% ","")))</f>
        <v>NO</v>
      </c>
      <c r="L5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9" s="31" t="str">
        <f>CONCATENATE(L569, IF('Input Sheet'!J571="",""," siderite in "))</f>
        <v/>
      </c>
      <c r="N5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9" s="31" t="str">
        <f>CONCATENATE(N569, IF('Input Sheet'!K571="",""," siderite in "))</f>
        <v/>
      </c>
    </row>
    <row r="570" spans="1:15" x14ac:dyDescent="0.35">
      <c r="A570" s="42" t="str">
        <f>IF('Input Sheet'!C572="","",CONCATENATE("Sample ", 'Input Sheet'!B572, "m: ", M570, G570, "% ", "Siltstone, ", O570, 'Input Sheet'!C572, "% ", I570, " Sandstone, ", K570, J570, " FLUOR in SST. ", "TG ", 'Input Sheet'!I572, "U"))</f>
        <v/>
      </c>
      <c r="B570" s="28" t="str">
        <f>IF('Input Sheet'!C572="","",CONCATENATE("Sample ", 'Input Sheet'!B572, "m: ", N570, H570, "% ", "Siltstone, ", P570, 'Input Sheet'!C572, "% ", J570, " Sandstone "))</f>
        <v/>
      </c>
      <c r="C570" s="28" t="str">
        <f>IF('Input Sheet'!C572="","",CONCATENATE("Sample ", 'Input Sheet'!B572, "m: ", M570,, K570, J570, " FLUOR in SST. ", "TG ", 'Input Sheet'!I572, "U"))</f>
        <v/>
      </c>
      <c r="G570" s="31" t="str">
        <f>IF('Input Sheet'!C572="","",100-'Input Sheet'!C572)</f>
        <v/>
      </c>
      <c r="H5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0" s="31" t="str">
        <f t="shared" si="8"/>
        <v/>
      </c>
      <c r="J5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0" s="31" t="str">
        <f>IF('Input Sheet'!F571=0, "NO",CONCATENATE('Input Sheet'!F571, IF('Input Sheet'!F571&gt;0,"% ","")))</f>
        <v>NO</v>
      </c>
      <c r="L5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0" s="31" t="str">
        <f>CONCATENATE(L570, IF('Input Sheet'!J572="",""," siderite in "))</f>
        <v/>
      </c>
      <c r="N5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0" s="31" t="str">
        <f>CONCATENATE(N570, IF('Input Sheet'!K572="",""," siderite in "))</f>
        <v/>
      </c>
    </row>
    <row r="571" spans="1:15" x14ac:dyDescent="0.35">
      <c r="A571" s="42" t="str">
        <f>IF('Input Sheet'!C573="","",CONCATENATE("Sample ", 'Input Sheet'!B573, "m: ", M571, G571, "% ", "Siltstone, ", O571, 'Input Sheet'!C573, "% ", I571, " Sandstone, ", K571, J571, " FLUOR in SST. ", "TG ", 'Input Sheet'!I573, "U"))</f>
        <v/>
      </c>
      <c r="B571" s="28" t="str">
        <f>IF('Input Sheet'!C573="","",CONCATENATE("Sample ", 'Input Sheet'!B573, "m: ", N571, H571, "% ", "Siltstone, ", P571, 'Input Sheet'!C573, "% ", J571, " Sandstone "))</f>
        <v/>
      </c>
      <c r="C571" s="28" t="str">
        <f>IF('Input Sheet'!C573="","",CONCATENATE("Sample ", 'Input Sheet'!B573, "m: ", M571,, K571, J571, " FLUOR in SST. ", "TG ", 'Input Sheet'!I573, "U"))</f>
        <v/>
      </c>
      <c r="G571" s="31" t="str">
        <f>IF('Input Sheet'!C573="","",100-'Input Sheet'!C573)</f>
        <v/>
      </c>
      <c r="H5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1" s="31" t="str">
        <f t="shared" si="8"/>
        <v/>
      </c>
      <c r="J5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1" s="31" t="str">
        <f>IF('Input Sheet'!F572=0, "NO",CONCATENATE('Input Sheet'!F572, IF('Input Sheet'!F572&gt;0,"% ","")))</f>
        <v>NO</v>
      </c>
      <c r="L5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1" s="31" t="str">
        <f>CONCATENATE(L571, IF('Input Sheet'!J573="",""," siderite in "))</f>
        <v/>
      </c>
      <c r="N5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1" s="31" t="str">
        <f>CONCATENATE(N571, IF('Input Sheet'!K573="",""," siderite in "))</f>
        <v/>
      </c>
    </row>
    <row r="572" spans="1:15" x14ac:dyDescent="0.35">
      <c r="A572" s="42" t="str">
        <f>IF('Input Sheet'!C574="","",CONCATENATE("Sample ", 'Input Sheet'!B574, "m: ", M572, G572, "% ", "Siltstone, ", O572, 'Input Sheet'!C574, "% ", I572, " Sandstone, ", K572, J572, " FLUOR in SST. ", "TG ", 'Input Sheet'!I574, "U"))</f>
        <v/>
      </c>
      <c r="B572" s="28" t="str">
        <f>IF('Input Sheet'!C574="","",CONCATENATE("Sample ", 'Input Sheet'!B574, "m: ", N572, H572, "% ", "Siltstone, ", P572, 'Input Sheet'!C574, "% ", J572, " Sandstone "))</f>
        <v/>
      </c>
      <c r="C572" s="28" t="str">
        <f>IF('Input Sheet'!C574="","",CONCATENATE("Sample ", 'Input Sheet'!B574, "m: ", M572,, K572, J572, " FLUOR in SST. ", "TG ", 'Input Sheet'!I574, "U"))</f>
        <v/>
      </c>
      <c r="G572" s="31" t="str">
        <f>IF('Input Sheet'!C574="","",100-'Input Sheet'!C574)</f>
        <v/>
      </c>
      <c r="H5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2" s="31" t="str">
        <f t="shared" si="8"/>
        <v/>
      </c>
      <c r="J5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2" s="31" t="str">
        <f>IF('Input Sheet'!F573=0, "NO",CONCATENATE('Input Sheet'!F573, IF('Input Sheet'!F573&gt;0,"% ","")))</f>
        <v>NO</v>
      </c>
      <c r="L5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2" s="31" t="str">
        <f>CONCATENATE(L572, IF('Input Sheet'!J574="",""," siderite in "))</f>
        <v/>
      </c>
      <c r="N5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2" s="31" t="str">
        <f>CONCATENATE(N572, IF('Input Sheet'!K574="",""," siderite in "))</f>
        <v/>
      </c>
    </row>
    <row r="573" spans="1:15" x14ac:dyDescent="0.35">
      <c r="A573" s="42" t="str">
        <f>IF('Input Sheet'!C575="","",CONCATENATE("Sample ", 'Input Sheet'!B575, "m: ", M573, G573, "% ", "Siltstone, ", O573, 'Input Sheet'!C575, "% ", I573, " Sandstone, ", K573, J573, " FLUOR in SST. ", "TG ", 'Input Sheet'!I575, "U"))</f>
        <v/>
      </c>
      <c r="B573" s="28" t="str">
        <f>IF('Input Sheet'!C575="","",CONCATENATE("Sample ", 'Input Sheet'!B575, "m: ", N573, H573, "% ", "Siltstone, ", P573, 'Input Sheet'!C575, "% ", J573, " Sandstone "))</f>
        <v/>
      </c>
      <c r="C573" s="28" t="str">
        <f>IF('Input Sheet'!C575="","",CONCATENATE("Sample ", 'Input Sheet'!B575, "m: ", M573,, K573, J573, " FLUOR in SST. ", "TG ", 'Input Sheet'!I575, "U"))</f>
        <v/>
      </c>
      <c r="G573" s="31" t="str">
        <f>IF('Input Sheet'!C575="","",100-'Input Sheet'!C575)</f>
        <v/>
      </c>
      <c r="H5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3" s="31" t="str">
        <f t="shared" si="8"/>
        <v/>
      </c>
      <c r="J5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3" s="31" t="str">
        <f>IF('Input Sheet'!F574=0, "NO",CONCATENATE('Input Sheet'!F574, IF('Input Sheet'!F574&gt;0,"% ","")))</f>
        <v>NO</v>
      </c>
      <c r="L5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3" s="31" t="str">
        <f>CONCATENATE(L573, IF('Input Sheet'!J575="",""," siderite in "))</f>
        <v/>
      </c>
      <c r="N5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3" s="31" t="str">
        <f>CONCATENATE(N573, IF('Input Sheet'!K575="",""," siderite in "))</f>
        <v/>
      </c>
    </row>
    <row r="574" spans="1:15" x14ac:dyDescent="0.35">
      <c r="A574" s="42" t="str">
        <f>IF('Input Sheet'!C576="","",CONCATENATE("Sample ", 'Input Sheet'!B576, "m: ", M574, G574, "% ", "Siltstone, ", O574, 'Input Sheet'!C576, "% ", I574, " Sandstone, ", K574, J574, " FLUOR in SST. ", "TG ", 'Input Sheet'!I576, "U"))</f>
        <v/>
      </c>
      <c r="B574" s="28" t="str">
        <f>IF('Input Sheet'!C576="","",CONCATENATE("Sample ", 'Input Sheet'!B576, "m: ", N574, H574, "% ", "Siltstone, ", P574, 'Input Sheet'!C576, "% ", J574, " Sandstone "))</f>
        <v/>
      </c>
      <c r="C574" s="28" t="str">
        <f>IF('Input Sheet'!C576="","",CONCATENATE("Sample ", 'Input Sheet'!B576, "m: ", M574,, K574, J574, " FLUOR in SST. ", "TG ", 'Input Sheet'!I576, "U"))</f>
        <v/>
      </c>
      <c r="G574" s="31" t="str">
        <f>IF('Input Sheet'!C576="","",100-'Input Sheet'!C576)</f>
        <v/>
      </c>
      <c r="H5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4" s="31" t="str">
        <f t="shared" si="8"/>
        <v/>
      </c>
      <c r="J5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4" s="31" t="str">
        <f>IF('Input Sheet'!F575=0, "NO",CONCATENATE('Input Sheet'!F575, IF('Input Sheet'!F575&gt;0,"% ","")))</f>
        <v>NO</v>
      </c>
      <c r="L5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4" s="31" t="str">
        <f>CONCATENATE(L574, IF('Input Sheet'!J576="",""," siderite in "))</f>
        <v/>
      </c>
      <c r="N5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4" s="31" t="str">
        <f>CONCATENATE(N574, IF('Input Sheet'!K576="",""," siderite in "))</f>
        <v/>
      </c>
    </row>
    <row r="575" spans="1:15" x14ac:dyDescent="0.35">
      <c r="A575" s="42" t="str">
        <f>IF('Input Sheet'!C577="","",CONCATENATE("Sample ", 'Input Sheet'!B577, "m: ", M575, G575, "% ", "Siltstone, ", O575, 'Input Sheet'!C577, "% ", I575, " Sandstone, ", K575, J575, " FLUOR in SST. ", "TG ", 'Input Sheet'!I577, "U"))</f>
        <v/>
      </c>
      <c r="B575" s="28" t="str">
        <f>IF('Input Sheet'!C577="","",CONCATENATE("Sample ", 'Input Sheet'!B577, "m: ", N575, H575, "% ", "Siltstone, ", P575, 'Input Sheet'!C577, "% ", J575, " Sandstone "))</f>
        <v/>
      </c>
      <c r="C575" s="28" t="str">
        <f>IF('Input Sheet'!C577="","",CONCATENATE("Sample ", 'Input Sheet'!B577, "m: ", M575,, K575, J575, " FLUOR in SST. ", "TG ", 'Input Sheet'!I577, "U"))</f>
        <v/>
      </c>
      <c r="G575" s="31" t="str">
        <f>IF('Input Sheet'!C577="","",100-'Input Sheet'!C577)</f>
        <v/>
      </c>
      <c r="H5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5" s="31" t="str">
        <f t="shared" si="8"/>
        <v/>
      </c>
      <c r="J5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5" s="31" t="str">
        <f>IF('Input Sheet'!F576=0, "NO",CONCATENATE('Input Sheet'!F576, IF('Input Sheet'!F576&gt;0,"% ","")))</f>
        <v>NO</v>
      </c>
      <c r="L5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5" s="31" t="str">
        <f>CONCATENATE(L575, IF('Input Sheet'!J577="",""," siderite in "))</f>
        <v/>
      </c>
      <c r="N5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5" s="31" t="str">
        <f>CONCATENATE(N575, IF('Input Sheet'!K577="",""," siderite in "))</f>
        <v/>
      </c>
    </row>
    <row r="576" spans="1:15" x14ac:dyDescent="0.35">
      <c r="A576" s="42" t="str">
        <f>IF('Input Sheet'!C578="","",CONCATENATE("Sample ", 'Input Sheet'!B578, "m: ", M576, G576, "% ", "Siltstone, ", O576, 'Input Sheet'!C578, "% ", I576, " Sandstone, ", K576, J576, " FLUOR in SST. ", "TG ", 'Input Sheet'!I578, "U"))</f>
        <v/>
      </c>
      <c r="B576" s="28" t="str">
        <f>IF('Input Sheet'!C578="","",CONCATENATE("Sample ", 'Input Sheet'!B578, "m: ", N576, H576, "% ", "Siltstone, ", P576, 'Input Sheet'!C578, "% ", J576, " Sandstone "))</f>
        <v/>
      </c>
      <c r="C576" s="28" t="str">
        <f>IF('Input Sheet'!C578="","",CONCATENATE("Sample ", 'Input Sheet'!B578, "m: ", M576,, K576, J576, " FLUOR in SST. ", "TG ", 'Input Sheet'!I578, "U"))</f>
        <v/>
      </c>
      <c r="G576" s="31" t="str">
        <f>IF('Input Sheet'!C578="","",100-'Input Sheet'!C578)</f>
        <v/>
      </c>
      <c r="H5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6" s="31" t="str">
        <f t="shared" si="8"/>
        <v/>
      </c>
      <c r="J5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6" s="31" t="str">
        <f>IF('Input Sheet'!F577=0, "NO",CONCATENATE('Input Sheet'!F577, IF('Input Sheet'!F577&gt;0,"% ","")))</f>
        <v>NO</v>
      </c>
      <c r="L5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6" s="31" t="str">
        <f>CONCATENATE(L576, IF('Input Sheet'!J578="",""," siderite in "))</f>
        <v/>
      </c>
      <c r="N5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6" s="31" t="str">
        <f>CONCATENATE(N576, IF('Input Sheet'!K578="",""," siderite in "))</f>
        <v/>
      </c>
    </row>
    <row r="577" spans="1:15" x14ac:dyDescent="0.35">
      <c r="A577" s="42" t="str">
        <f>IF('Input Sheet'!C579="","",CONCATENATE("Sample ", 'Input Sheet'!B579, "m: ", M577, G577, "% ", "Siltstone, ", O577, 'Input Sheet'!C579, "% ", I577, " Sandstone, ", K577, J577, " FLUOR in SST. ", "TG ", 'Input Sheet'!I579, "U"))</f>
        <v/>
      </c>
      <c r="B577" s="28" t="str">
        <f>IF('Input Sheet'!C579="","",CONCATENATE("Sample ", 'Input Sheet'!B579, "m: ", N577, H577, "% ", "Siltstone, ", P577, 'Input Sheet'!C579, "% ", J577, " Sandstone "))</f>
        <v/>
      </c>
      <c r="C577" s="28" t="str">
        <f>IF('Input Sheet'!C579="","",CONCATENATE("Sample ", 'Input Sheet'!B579, "m: ", M577,, K577, J577, " FLUOR in SST. ", "TG ", 'Input Sheet'!I579, "U"))</f>
        <v/>
      </c>
      <c r="G577" s="31" t="str">
        <f>IF('Input Sheet'!C579="","",100-'Input Sheet'!C579)</f>
        <v/>
      </c>
      <c r="H5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7" s="31" t="str">
        <f t="shared" si="8"/>
        <v/>
      </c>
      <c r="J5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7" s="31" t="str">
        <f>IF('Input Sheet'!F578=0, "NO",CONCATENATE('Input Sheet'!F578, IF('Input Sheet'!F578&gt;0,"% ","")))</f>
        <v>NO</v>
      </c>
      <c r="L5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7" s="31" t="str">
        <f>CONCATENATE(L577, IF('Input Sheet'!J579="",""," siderite in "))</f>
        <v/>
      </c>
      <c r="N5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7" s="31" t="str">
        <f>CONCATENATE(N577, IF('Input Sheet'!K579="",""," siderite in "))</f>
        <v/>
      </c>
    </row>
    <row r="578" spans="1:15" x14ac:dyDescent="0.35">
      <c r="A578" s="42" t="str">
        <f>IF('Input Sheet'!C580="","",CONCATENATE("Sample ", 'Input Sheet'!B580, "m: ", M578, G578, "% ", "Siltstone, ", O578, 'Input Sheet'!C580, "% ", I578, " Sandstone, ", K578, J578, " FLUOR in SST. ", "TG ", 'Input Sheet'!I580, "U"))</f>
        <v/>
      </c>
      <c r="B578" s="28" t="str">
        <f>IF('Input Sheet'!C580="","",CONCATENATE("Sample ", 'Input Sheet'!B580, "m: ", N578, H578, "% ", "Siltstone, ", P578, 'Input Sheet'!C580, "% ", J578, " Sandstone "))</f>
        <v/>
      </c>
      <c r="C578" s="28" t="str">
        <f>IF('Input Sheet'!C580="","",CONCATENATE("Sample ", 'Input Sheet'!B580, "m: ", M578,, K578, J578, " FLUOR in SST. ", "TG ", 'Input Sheet'!I580, "U"))</f>
        <v/>
      </c>
      <c r="G578" s="31" t="str">
        <f>IF('Input Sheet'!C580="","",100-'Input Sheet'!C580)</f>
        <v/>
      </c>
      <c r="H5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8" s="31" t="str">
        <f t="shared" ref="I578:I641" si="9">SUBSTITUTE(H578, "veryfine", "very fine")</f>
        <v/>
      </c>
      <c r="J5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8" s="31" t="str">
        <f>IF('Input Sheet'!F579=0, "NO",CONCATENATE('Input Sheet'!F579, IF('Input Sheet'!F579&gt;0,"% ","")))</f>
        <v>NO</v>
      </c>
      <c r="L5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8" s="31" t="str">
        <f>CONCATENATE(L578, IF('Input Sheet'!J580="",""," siderite in "))</f>
        <v/>
      </c>
      <c r="N5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8" s="31" t="str">
        <f>CONCATENATE(N578, IF('Input Sheet'!K580="",""," siderite in "))</f>
        <v/>
      </c>
    </row>
    <row r="579" spans="1:15" x14ac:dyDescent="0.35">
      <c r="A579" s="42" t="str">
        <f>IF('Input Sheet'!C581="","",CONCATENATE("Sample ", 'Input Sheet'!B581, "m: ", M579, G579, "% ", "Siltstone, ", O579, 'Input Sheet'!C581, "% ", I579, " Sandstone, ", K579, J579, " FLUOR in SST. ", "TG ", 'Input Sheet'!I581, "U"))</f>
        <v/>
      </c>
      <c r="B579" s="28" t="str">
        <f>IF('Input Sheet'!C581="","",CONCATENATE("Sample ", 'Input Sheet'!B581, "m: ", N579, H579, "% ", "Siltstone, ", P579, 'Input Sheet'!C581, "% ", J579, " Sandstone "))</f>
        <v/>
      </c>
      <c r="C579" s="28" t="str">
        <f>IF('Input Sheet'!C581="","",CONCATENATE("Sample ", 'Input Sheet'!B581, "m: ", M579,, K579, J579, " FLUOR in SST. ", "TG ", 'Input Sheet'!I581, "U"))</f>
        <v/>
      </c>
      <c r="G579" s="31" t="str">
        <f>IF('Input Sheet'!C581="","",100-'Input Sheet'!C581)</f>
        <v/>
      </c>
      <c r="H5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9" s="31" t="str">
        <f t="shared" si="9"/>
        <v/>
      </c>
      <c r="J5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9" s="31" t="str">
        <f>IF('Input Sheet'!F580=0, "NO",CONCATENATE('Input Sheet'!F580, IF('Input Sheet'!F580&gt;0,"% ","")))</f>
        <v>NO</v>
      </c>
      <c r="L5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9" s="31" t="str">
        <f>CONCATENATE(L579, IF('Input Sheet'!J581="",""," siderite in "))</f>
        <v/>
      </c>
      <c r="N5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9" s="31" t="str">
        <f>CONCATENATE(N579, IF('Input Sheet'!K581="",""," siderite in "))</f>
        <v/>
      </c>
    </row>
    <row r="580" spans="1:15" x14ac:dyDescent="0.35">
      <c r="A580" s="42" t="str">
        <f>IF('Input Sheet'!C582="","",CONCATENATE("Sample ", 'Input Sheet'!B582, "m: ", M580, G580, "% ", "Siltstone, ", O580, 'Input Sheet'!C582, "% ", I580, " Sandstone, ", K580, J580, " FLUOR in SST. ", "TG ", 'Input Sheet'!I582, "U"))</f>
        <v/>
      </c>
      <c r="B580" s="28" t="str">
        <f>IF('Input Sheet'!C582="","",CONCATENATE("Sample ", 'Input Sheet'!B582, "m: ", N580, H580, "% ", "Siltstone, ", P580, 'Input Sheet'!C582, "% ", J580, " Sandstone "))</f>
        <v/>
      </c>
      <c r="C580" s="28" t="str">
        <f>IF('Input Sheet'!C582="","",CONCATENATE("Sample ", 'Input Sheet'!B582, "m: ", M580,, K580, J580, " FLUOR in SST. ", "TG ", 'Input Sheet'!I582, "U"))</f>
        <v/>
      </c>
      <c r="G580" s="31" t="str">
        <f>IF('Input Sheet'!C582="","",100-'Input Sheet'!C582)</f>
        <v/>
      </c>
      <c r="H5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0" s="31" t="str">
        <f t="shared" si="9"/>
        <v/>
      </c>
      <c r="J5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0" s="31" t="str">
        <f>IF('Input Sheet'!F581=0, "NO",CONCATENATE('Input Sheet'!F581, IF('Input Sheet'!F581&gt;0,"% ","")))</f>
        <v>NO</v>
      </c>
      <c r="L5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0" s="31" t="str">
        <f>CONCATENATE(L580, IF('Input Sheet'!J582="",""," siderite in "))</f>
        <v/>
      </c>
      <c r="N5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0" s="31" t="str">
        <f>CONCATENATE(N580, IF('Input Sheet'!K582="",""," siderite in "))</f>
        <v/>
      </c>
    </row>
    <row r="581" spans="1:15" x14ac:dyDescent="0.35">
      <c r="A581" s="42" t="str">
        <f>IF('Input Sheet'!C583="","",CONCATENATE("Sample ", 'Input Sheet'!B583, "m: ", M581, G581, "% ", "Siltstone, ", O581, 'Input Sheet'!C583, "% ", I581, " Sandstone, ", K581, J581, " FLUOR in SST. ", "TG ", 'Input Sheet'!I583, "U"))</f>
        <v/>
      </c>
      <c r="B581" s="28" t="str">
        <f>IF('Input Sheet'!C583="","",CONCATENATE("Sample ", 'Input Sheet'!B583, "m: ", N581, H581, "% ", "Siltstone, ", P581, 'Input Sheet'!C583, "% ", J581, " Sandstone "))</f>
        <v/>
      </c>
      <c r="C581" s="28" t="str">
        <f>IF('Input Sheet'!C583="","",CONCATENATE("Sample ", 'Input Sheet'!B583, "m: ", M581,, K581, J581, " FLUOR in SST. ", "TG ", 'Input Sheet'!I583, "U"))</f>
        <v/>
      </c>
      <c r="G581" s="31" t="str">
        <f>IF('Input Sheet'!C583="","",100-'Input Sheet'!C583)</f>
        <v/>
      </c>
      <c r="H5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1" s="31" t="str">
        <f t="shared" si="9"/>
        <v/>
      </c>
      <c r="J5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1" s="31" t="str">
        <f>IF('Input Sheet'!F582=0, "NO",CONCATENATE('Input Sheet'!F582, IF('Input Sheet'!F582&gt;0,"% ","")))</f>
        <v>NO</v>
      </c>
      <c r="L5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1" s="31" t="str">
        <f>CONCATENATE(L581, IF('Input Sheet'!J583="",""," siderite in "))</f>
        <v/>
      </c>
      <c r="N5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1" s="31" t="str">
        <f>CONCATENATE(N581, IF('Input Sheet'!K583="",""," siderite in "))</f>
        <v/>
      </c>
    </row>
    <row r="582" spans="1:15" x14ac:dyDescent="0.35">
      <c r="A582" s="42" t="str">
        <f>IF('Input Sheet'!C584="","",CONCATENATE("Sample ", 'Input Sheet'!B584, "m: ", M582, G582, "% ", "Siltstone, ", O582, 'Input Sheet'!C584, "% ", I582, " Sandstone, ", K582, J582, " FLUOR in SST. ", "TG ", 'Input Sheet'!I584, "U"))</f>
        <v/>
      </c>
      <c r="B582" s="28" t="str">
        <f>IF('Input Sheet'!C584="","",CONCATENATE("Sample ", 'Input Sheet'!B584, "m: ", N582, H582, "% ", "Siltstone, ", P582, 'Input Sheet'!C584, "% ", J582, " Sandstone "))</f>
        <v/>
      </c>
      <c r="C582" s="28" t="str">
        <f>IF('Input Sheet'!C584="","",CONCATENATE("Sample ", 'Input Sheet'!B584, "m: ", M582,, K582, J582, " FLUOR in SST. ", "TG ", 'Input Sheet'!I584, "U"))</f>
        <v/>
      </c>
      <c r="G582" s="31" t="str">
        <f>IF('Input Sheet'!C584="","",100-'Input Sheet'!C584)</f>
        <v/>
      </c>
      <c r="H5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2" s="31" t="str">
        <f t="shared" si="9"/>
        <v/>
      </c>
      <c r="J5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2" s="31" t="str">
        <f>IF('Input Sheet'!F583=0, "NO",CONCATENATE('Input Sheet'!F583, IF('Input Sheet'!F583&gt;0,"% ","")))</f>
        <v>NO</v>
      </c>
      <c r="L5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2" s="31" t="str">
        <f>CONCATENATE(L582, IF('Input Sheet'!J584="",""," siderite in "))</f>
        <v/>
      </c>
      <c r="N5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2" s="31" t="str">
        <f>CONCATENATE(N582, IF('Input Sheet'!K584="",""," siderite in "))</f>
        <v/>
      </c>
    </row>
    <row r="583" spans="1:15" x14ac:dyDescent="0.35">
      <c r="A583" s="42" t="str">
        <f>IF('Input Sheet'!C585="","",CONCATENATE("Sample ", 'Input Sheet'!B585, "m: ", M583, G583, "% ", "Siltstone, ", O583, 'Input Sheet'!C585, "% ", I583, " Sandstone, ", K583, J583, " FLUOR in SST. ", "TG ", 'Input Sheet'!I585, "U"))</f>
        <v/>
      </c>
      <c r="B583" s="28" t="str">
        <f>IF('Input Sheet'!C585="","",CONCATENATE("Sample ", 'Input Sheet'!B585, "m: ", N583, H583, "% ", "Siltstone, ", P583, 'Input Sheet'!C585, "% ", J583, " Sandstone "))</f>
        <v/>
      </c>
      <c r="C583" s="28" t="str">
        <f>IF('Input Sheet'!C585="","",CONCATENATE("Sample ", 'Input Sheet'!B585, "m: ", M583,, K583, J583, " FLUOR in SST. ", "TG ", 'Input Sheet'!I585, "U"))</f>
        <v/>
      </c>
      <c r="G583" s="31" t="str">
        <f>IF('Input Sheet'!C585="","",100-'Input Sheet'!C585)</f>
        <v/>
      </c>
      <c r="H5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3" s="31" t="str">
        <f t="shared" si="9"/>
        <v/>
      </c>
      <c r="J5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3" s="31" t="str">
        <f>IF('Input Sheet'!F584=0, "NO",CONCATENATE('Input Sheet'!F584, IF('Input Sheet'!F584&gt;0,"% ","")))</f>
        <v>NO</v>
      </c>
      <c r="L5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3" s="31" t="str">
        <f>CONCATENATE(L583, IF('Input Sheet'!J585="",""," siderite in "))</f>
        <v/>
      </c>
      <c r="N5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3" s="31" t="str">
        <f>CONCATENATE(N583, IF('Input Sheet'!K585="",""," siderite in "))</f>
        <v/>
      </c>
    </row>
    <row r="584" spans="1:15" x14ac:dyDescent="0.35">
      <c r="A584" s="42" t="str">
        <f>IF('Input Sheet'!C586="","",CONCATENATE("Sample ", 'Input Sheet'!B586, "m: ", M584, G584, "% ", "Siltstone, ", O584, 'Input Sheet'!C586, "% ", I584, " Sandstone, ", K584, J584, " FLUOR in SST. ", "TG ", 'Input Sheet'!I586, "U"))</f>
        <v/>
      </c>
      <c r="B584" s="28" t="str">
        <f>IF('Input Sheet'!C586="","",CONCATENATE("Sample ", 'Input Sheet'!B586, "m: ", N584, H584, "% ", "Siltstone, ", P584, 'Input Sheet'!C586, "% ", J584, " Sandstone "))</f>
        <v/>
      </c>
      <c r="C584" s="28" t="str">
        <f>IF('Input Sheet'!C586="","",CONCATENATE("Sample ", 'Input Sheet'!B586, "m: ", M584,, K584, J584, " FLUOR in SST. ", "TG ", 'Input Sheet'!I586, "U"))</f>
        <v/>
      </c>
      <c r="G584" s="31" t="str">
        <f>IF('Input Sheet'!C586="","",100-'Input Sheet'!C586)</f>
        <v/>
      </c>
      <c r="H5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4" s="31" t="str">
        <f t="shared" si="9"/>
        <v/>
      </c>
      <c r="J5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4" s="31" t="str">
        <f>IF('Input Sheet'!F585=0, "NO",CONCATENATE('Input Sheet'!F585, IF('Input Sheet'!F585&gt;0,"% ","")))</f>
        <v>NO</v>
      </c>
      <c r="L5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4" s="31" t="str">
        <f>CONCATENATE(L584, IF('Input Sheet'!J586="",""," siderite in "))</f>
        <v/>
      </c>
      <c r="N5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4" s="31" t="str">
        <f>CONCATENATE(N584, IF('Input Sheet'!K586="",""," siderite in "))</f>
        <v/>
      </c>
    </row>
    <row r="585" spans="1:15" x14ac:dyDescent="0.35">
      <c r="A585" s="42" t="str">
        <f>IF('Input Sheet'!C587="","",CONCATENATE("Sample ", 'Input Sheet'!B587, "m: ", M585, G585, "% ", "Siltstone, ", O585, 'Input Sheet'!C587, "% ", I585, " Sandstone, ", K585, J585, " FLUOR in SST. ", "TG ", 'Input Sheet'!I587, "U"))</f>
        <v/>
      </c>
      <c r="B585" s="28" t="str">
        <f>IF('Input Sheet'!C587="","",CONCATENATE("Sample ", 'Input Sheet'!B587, "m: ", N585, H585, "% ", "Siltstone, ", P585, 'Input Sheet'!C587, "% ", J585, " Sandstone "))</f>
        <v/>
      </c>
      <c r="C585" s="28" t="str">
        <f>IF('Input Sheet'!C587="","",CONCATENATE("Sample ", 'Input Sheet'!B587, "m: ", M585,, K585, J585, " FLUOR in SST. ", "TG ", 'Input Sheet'!I587, "U"))</f>
        <v/>
      </c>
      <c r="G585" s="31" t="str">
        <f>IF('Input Sheet'!C587="","",100-'Input Sheet'!C587)</f>
        <v/>
      </c>
      <c r="H5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5" s="31" t="str">
        <f t="shared" si="9"/>
        <v/>
      </c>
      <c r="J5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5" s="31" t="str">
        <f>IF('Input Sheet'!F586=0, "NO",CONCATENATE('Input Sheet'!F586, IF('Input Sheet'!F586&gt;0,"% ","")))</f>
        <v>NO</v>
      </c>
      <c r="L5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5" s="31" t="str">
        <f>CONCATENATE(L585, IF('Input Sheet'!J587="",""," siderite in "))</f>
        <v/>
      </c>
      <c r="N5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5" s="31" t="str">
        <f>CONCATENATE(N585, IF('Input Sheet'!K587="",""," siderite in "))</f>
        <v/>
      </c>
    </row>
    <row r="586" spans="1:15" x14ac:dyDescent="0.35">
      <c r="A586" s="42" t="str">
        <f>IF('Input Sheet'!C588="","",CONCATENATE("Sample ", 'Input Sheet'!B588, "m: ", M586, G586, "% ", "Siltstone, ", O586, 'Input Sheet'!C588, "% ", I586, " Sandstone, ", K586, J586, " FLUOR in SST. ", "TG ", 'Input Sheet'!I588, "U"))</f>
        <v/>
      </c>
      <c r="B586" s="28" t="str">
        <f>IF('Input Sheet'!C588="","",CONCATENATE("Sample ", 'Input Sheet'!B588, "m: ", N586, H586, "% ", "Siltstone, ", P586, 'Input Sheet'!C588, "% ", J586, " Sandstone "))</f>
        <v/>
      </c>
      <c r="C586" s="28" t="str">
        <f>IF('Input Sheet'!C588="","",CONCATENATE("Sample ", 'Input Sheet'!B588, "m: ", M586,, K586, J586, " FLUOR in SST. ", "TG ", 'Input Sheet'!I588, "U"))</f>
        <v/>
      </c>
      <c r="G586" s="31" t="str">
        <f>IF('Input Sheet'!C588="","",100-'Input Sheet'!C588)</f>
        <v/>
      </c>
      <c r="H5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6" s="31" t="str">
        <f t="shared" si="9"/>
        <v/>
      </c>
      <c r="J5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6" s="31" t="str">
        <f>IF('Input Sheet'!F587=0, "NO",CONCATENATE('Input Sheet'!F587, IF('Input Sheet'!F587&gt;0,"% ","")))</f>
        <v>NO</v>
      </c>
      <c r="L5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6" s="31" t="str">
        <f>CONCATENATE(L586, IF('Input Sheet'!J588="",""," siderite in "))</f>
        <v/>
      </c>
      <c r="N5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6" s="31" t="str">
        <f>CONCATENATE(N586, IF('Input Sheet'!K588="",""," siderite in "))</f>
        <v/>
      </c>
    </row>
    <row r="587" spans="1:15" x14ac:dyDescent="0.35">
      <c r="A587" s="42" t="str">
        <f>IF('Input Sheet'!C589="","",CONCATENATE("Sample ", 'Input Sheet'!B589, "m: ", M587, G587, "% ", "Siltstone, ", O587, 'Input Sheet'!C589, "% ", I587, " Sandstone, ", K587, J587, " FLUOR in SST. ", "TG ", 'Input Sheet'!I589, "U"))</f>
        <v/>
      </c>
      <c r="B587" s="28" t="str">
        <f>IF('Input Sheet'!C589="","",CONCATENATE("Sample ", 'Input Sheet'!B589, "m: ", N587, H587, "% ", "Siltstone, ", P587, 'Input Sheet'!C589, "% ", J587, " Sandstone "))</f>
        <v/>
      </c>
      <c r="C587" s="28" t="str">
        <f>IF('Input Sheet'!C589="","",CONCATENATE("Sample ", 'Input Sheet'!B589, "m: ", M587,, K587, J587, " FLUOR in SST. ", "TG ", 'Input Sheet'!I589, "U"))</f>
        <v/>
      </c>
      <c r="G587" s="31" t="str">
        <f>IF('Input Sheet'!C589="","",100-'Input Sheet'!C589)</f>
        <v/>
      </c>
      <c r="H5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7" s="31" t="str">
        <f t="shared" si="9"/>
        <v/>
      </c>
      <c r="J5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7" s="31" t="str">
        <f>IF('Input Sheet'!F588=0, "NO",CONCATENATE('Input Sheet'!F588, IF('Input Sheet'!F588&gt;0,"% ","")))</f>
        <v>NO</v>
      </c>
      <c r="L5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7" s="31" t="str">
        <f>CONCATENATE(L587, IF('Input Sheet'!J589="",""," siderite in "))</f>
        <v/>
      </c>
      <c r="N5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7" s="31" t="str">
        <f>CONCATENATE(N587, IF('Input Sheet'!K589="",""," siderite in "))</f>
        <v/>
      </c>
    </row>
    <row r="588" spans="1:15" x14ac:dyDescent="0.35">
      <c r="A588" s="42" t="str">
        <f>IF('Input Sheet'!C590="","",CONCATENATE("Sample ", 'Input Sheet'!B590, "m: ", M588, G588, "% ", "Siltstone, ", O588, 'Input Sheet'!C590, "% ", I588, " Sandstone, ", K588, J588, " FLUOR in SST. ", "TG ", 'Input Sheet'!I590, "U"))</f>
        <v/>
      </c>
      <c r="B588" s="28" t="str">
        <f>IF('Input Sheet'!C590="","",CONCATENATE("Sample ", 'Input Sheet'!B590, "m: ", N588, H588, "% ", "Siltstone, ", P588, 'Input Sheet'!C590, "% ", J588, " Sandstone "))</f>
        <v/>
      </c>
      <c r="C588" s="28" t="str">
        <f>IF('Input Sheet'!C590="","",CONCATENATE("Sample ", 'Input Sheet'!B590, "m: ", M588,, K588, J588, " FLUOR in SST. ", "TG ", 'Input Sheet'!I590, "U"))</f>
        <v/>
      </c>
      <c r="G588" s="31" t="str">
        <f>IF('Input Sheet'!C590="","",100-'Input Sheet'!C590)</f>
        <v/>
      </c>
      <c r="H5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8" s="31" t="str">
        <f t="shared" si="9"/>
        <v/>
      </c>
      <c r="J5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8" s="31" t="str">
        <f>IF('Input Sheet'!F589=0, "NO",CONCATENATE('Input Sheet'!F589, IF('Input Sheet'!F589&gt;0,"% ","")))</f>
        <v>NO</v>
      </c>
      <c r="L5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8" s="31" t="str">
        <f>CONCATENATE(L588, IF('Input Sheet'!J590="",""," siderite in "))</f>
        <v/>
      </c>
      <c r="N5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8" s="31" t="str">
        <f>CONCATENATE(N588, IF('Input Sheet'!K590="",""," siderite in "))</f>
        <v/>
      </c>
    </row>
    <row r="589" spans="1:15" x14ac:dyDescent="0.35">
      <c r="A589" s="42" t="str">
        <f>IF('Input Sheet'!C591="","",CONCATENATE("Sample ", 'Input Sheet'!B591, "m: ", M589, G589, "% ", "Siltstone, ", O589, 'Input Sheet'!C591, "% ", I589, " Sandstone, ", K589, J589, " FLUOR in SST. ", "TG ", 'Input Sheet'!I591, "U"))</f>
        <v/>
      </c>
      <c r="B589" s="28" t="str">
        <f>IF('Input Sheet'!C591="","",CONCATENATE("Sample ", 'Input Sheet'!B591, "m: ", N589, H589, "% ", "Siltstone, ", P589, 'Input Sheet'!C591, "% ", J589, " Sandstone "))</f>
        <v/>
      </c>
      <c r="C589" s="28" t="str">
        <f>IF('Input Sheet'!C591="","",CONCATENATE("Sample ", 'Input Sheet'!B591, "m: ", M589,, K589, J589, " FLUOR in SST. ", "TG ", 'Input Sheet'!I591, "U"))</f>
        <v/>
      </c>
      <c r="G589" s="31" t="str">
        <f>IF('Input Sheet'!C591="","",100-'Input Sheet'!C591)</f>
        <v/>
      </c>
      <c r="H5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9" s="31" t="str">
        <f t="shared" si="9"/>
        <v/>
      </c>
      <c r="J5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9" s="31" t="str">
        <f>IF('Input Sheet'!F590=0, "NO",CONCATENATE('Input Sheet'!F590, IF('Input Sheet'!F590&gt;0,"% ","")))</f>
        <v>NO</v>
      </c>
      <c r="L5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9" s="31" t="str">
        <f>CONCATENATE(L589, IF('Input Sheet'!J591="",""," siderite in "))</f>
        <v/>
      </c>
      <c r="N5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9" s="31" t="str">
        <f>CONCATENATE(N589, IF('Input Sheet'!K591="",""," siderite in "))</f>
        <v/>
      </c>
    </row>
    <row r="590" spans="1:15" x14ac:dyDescent="0.35">
      <c r="A590" s="42" t="str">
        <f>IF('Input Sheet'!C592="","",CONCATENATE("Sample ", 'Input Sheet'!B592, "m: ", M590, G590, "% ", "Siltstone, ", O590, 'Input Sheet'!C592, "% ", I590, " Sandstone, ", K590, J590, " FLUOR in SST. ", "TG ", 'Input Sheet'!I592, "U"))</f>
        <v/>
      </c>
      <c r="B590" s="28" t="str">
        <f>IF('Input Sheet'!C592="","",CONCATENATE("Sample ", 'Input Sheet'!B592, "m: ", N590, H590, "% ", "Siltstone, ", P590, 'Input Sheet'!C592, "% ", J590, " Sandstone "))</f>
        <v/>
      </c>
      <c r="C590" s="28" t="str">
        <f>IF('Input Sheet'!C592="","",CONCATENATE("Sample ", 'Input Sheet'!B592, "m: ", M590,, K590, J590, " FLUOR in SST. ", "TG ", 'Input Sheet'!I592, "U"))</f>
        <v/>
      </c>
      <c r="G590" s="31" t="str">
        <f>IF('Input Sheet'!C592="","",100-'Input Sheet'!C592)</f>
        <v/>
      </c>
      <c r="H5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0" s="31" t="str">
        <f t="shared" si="9"/>
        <v/>
      </c>
      <c r="J5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0" s="31" t="str">
        <f>IF('Input Sheet'!F591=0, "NO",CONCATENATE('Input Sheet'!F591, IF('Input Sheet'!F591&gt;0,"% ","")))</f>
        <v>NO</v>
      </c>
      <c r="L5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0" s="31" t="str">
        <f>CONCATENATE(L590, IF('Input Sheet'!J592="",""," siderite in "))</f>
        <v/>
      </c>
      <c r="N5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0" s="31" t="str">
        <f>CONCATENATE(N590, IF('Input Sheet'!K592="",""," siderite in "))</f>
        <v/>
      </c>
    </row>
    <row r="591" spans="1:15" x14ac:dyDescent="0.35">
      <c r="A591" s="42" t="str">
        <f>IF('Input Sheet'!C593="","",CONCATENATE("Sample ", 'Input Sheet'!B593, "m: ", M591, G591, "% ", "Siltstone, ", O591, 'Input Sheet'!C593, "% ", I591, " Sandstone, ", K591, J591, " FLUOR in SST. ", "TG ", 'Input Sheet'!I593, "U"))</f>
        <v/>
      </c>
      <c r="B591" s="28" t="str">
        <f>IF('Input Sheet'!C593="","",CONCATENATE("Sample ", 'Input Sheet'!B593, "m: ", N591, H591, "% ", "Siltstone, ", P591, 'Input Sheet'!C593, "% ", J591, " Sandstone "))</f>
        <v/>
      </c>
      <c r="C591" s="28" t="str">
        <f>IF('Input Sheet'!C593="","",CONCATENATE("Sample ", 'Input Sheet'!B593, "m: ", M591,, K591, J591, " FLUOR in SST. ", "TG ", 'Input Sheet'!I593, "U"))</f>
        <v/>
      </c>
      <c r="G591" s="31" t="str">
        <f>IF('Input Sheet'!C593="","",100-'Input Sheet'!C593)</f>
        <v/>
      </c>
      <c r="H5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1" s="31" t="str">
        <f t="shared" si="9"/>
        <v/>
      </c>
      <c r="J5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1" s="31" t="str">
        <f>IF('Input Sheet'!F592=0, "NO",CONCATENATE('Input Sheet'!F592, IF('Input Sheet'!F592&gt;0,"% ","")))</f>
        <v>NO</v>
      </c>
      <c r="L5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1" s="31" t="str">
        <f>CONCATENATE(L591, IF('Input Sheet'!J593="",""," siderite in "))</f>
        <v/>
      </c>
      <c r="N5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1" s="31" t="str">
        <f>CONCATENATE(N591, IF('Input Sheet'!K593="",""," siderite in "))</f>
        <v/>
      </c>
    </row>
    <row r="592" spans="1:15" x14ac:dyDescent="0.35">
      <c r="A592" s="42" t="str">
        <f>IF('Input Sheet'!C594="","",CONCATENATE("Sample ", 'Input Sheet'!B594, "m: ", M592, G592, "% ", "Siltstone, ", O592, 'Input Sheet'!C594, "% ", I592, " Sandstone, ", K592, J592, " FLUOR in SST. ", "TG ", 'Input Sheet'!I594, "U"))</f>
        <v/>
      </c>
      <c r="B592" s="28" t="str">
        <f>IF('Input Sheet'!C594="","",CONCATENATE("Sample ", 'Input Sheet'!B594, "m: ", N592, H592, "% ", "Siltstone, ", P592, 'Input Sheet'!C594, "% ", J592, " Sandstone "))</f>
        <v/>
      </c>
      <c r="C592" s="28" t="str">
        <f>IF('Input Sheet'!C594="","",CONCATENATE("Sample ", 'Input Sheet'!B594, "m: ", M592,, K592, J592, " FLUOR in SST. ", "TG ", 'Input Sheet'!I594, "U"))</f>
        <v/>
      </c>
      <c r="G592" s="31" t="str">
        <f>IF('Input Sheet'!C594="","",100-'Input Sheet'!C594)</f>
        <v/>
      </c>
      <c r="H5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2" s="31" t="str">
        <f t="shared" si="9"/>
        <v/>
      </c>
      <c r="J5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2" s="31" t="str">
        <f>IF('Input Sheet'!F593=0, "NO",CONCATENATE('Input Sheet'!F593, IF('Input Sheet'!F593&gt;0,"% ","")))</f>
        <v>NO</v>
      </c>
      <c r="L5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2" s="31" t="str">
        <f>CONCATENATE(L592, IF('Input Sheet'!J594="",""," siderite in "))</f>
        <v/>
      </c>
      <c r="N5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2" s="31" t="str">
        <f>CONCATENATE(N592, IF('Input Sheet'!K594="",""," siderite in "))</f>
        <v/>
      </c>
    </row>
    <row r="593" spans="1:15" x14ac:dyDescent="0.35">
      <c r="A593" s="42" t="str">
        <f>IF('Input Sheet'!C595="","",CONCATENATE("Sample ", 'Input Sheet'!B595, "m: ", M593, G593, "% ", "Siltstone, ", O593, 'Input Sheet'!C595, "% ", I593, " Sandstone, ", K593, J593, " FLUOR in SST. ", "TG ", 'Input Sheet'!I595, "U"))</f>
        <v/>
      </c>
      <c r="B593" s="28" t="str">
        <f>IF('Input Sheet'!C595="","",CONCATENATE("Sample ", 'Input Sheet'!B595, "m: ", N593, H593, "% ", "Siltstone, ", P593, 'Input Sheet'!C595, "% ", J593, " Sandstone "))</f>
        <v/>
      </c>
      <c r="C593" s="28" t="str">
        <f>IF('Input Sheet'!C595="","",CONCATENATE("Sample ", 'Input Sheet'!B595, "m: ", M593,, K593, J593, " FLUOR in SST. ", "TG ", 'Input Sheet'!I595, "U"))</f>
        <v/>
      </c>
      <c r="G593" s="31" t="str">
        <f>IF('Input Sheet'!C595="","",100-'Input Sheet'!C595)</f>
        <v/>
      </c>
      <c r="H5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3" s="31" t="str">
        <f t="shared" si="9"/>
        <v/>
      </c>
      <c r="J5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3" s="31" t="str">
        <f>IF('Input Sheet'!F594=0, "NO",CONCATENATE('Input Sheet'!F594, IF('Input Sheet'!F594&gt;0,"% ","")))</f>
        <v>NO</v>
      </c>
      <c r="L5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3" s="31" t="str">
        <f>CONCATENATE(L593, IF('Input Sheet'!J595="",""," siderite in "))</f>
        <v/>
      </c>
      <c r="N5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3" s="31" t="str">
        <f>CONCATENATE(N593, IF('Input Sheet'!K595="",""," siderite in "))</f>
        <v/>
      </c>
    </row>
    <row r="594" spans="1:15" x14ac:dyDescent="0.35">
      <c r="A594" s="42" t="str">
        <f>IF('Input Sheet'!C596="","",CONCATENATE("Sample ", 'Input Sheet'!B596, "m: ", M594, G594, "% ", "Siltstone, ", O594, 'Input Sheet'!C596, "% ", I594, " Sandstone, ", K594, J594, " FLUOR in SST. ", "TG ", 'Input Sheet'!I596, "U"))</f>
        <v/>
      </c>
      <c r="B594" s="28" t="str">
        <f>IF('Input Sheet'!C596="","",CONCATENATE("Sample ", 'Input Sheet'!B596, "m: ", N594, H594, "% ", "Siltstone, ", P594, 'Input Sheet'!C596, "% ", J594, " Sandstone "))</f>
        <v/>
      </c>
      <c r="C594" s="28" t="str">
        <f>IF('Input Sheet'!C596="","",CONCATENATE("Sample ", 'Input Sheet'!B596, "m: ", M594,, K594, J594, " FLUOR in SST. ", "TG ", 'Input Sheet'!I596, "U"))</f>
        <v/>
      </c>
      <c r="G594" s="31" t="str">
        <f>IF('Input Sheet'!C596="","",100-'Input Sheet'!C596)</f>
        <v/>
      </c>
      <c r="H5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4" s="31" t="str">
        <f t="shared" si="9"/>
        <v/>
      </c>
      <c r="J5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4" s="31" t="str">
        <f>IF('Input Sheet'!F595=0, "NO",CONCATENATE('Input Sheet'!F595, IF('Input Sheet'!F595&gt;0,"% ","")))</f>
        <v>NO</v>
      </c>
      <c r="L5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4" s="31" t="str">
        <f>CONCATENATE(L594, IF('Input Sheet'!J596="",""," siderite in "))</f>
        <v/>
      </c>
      <c r="N5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4" s="31" t="str">
        <f>CONCATENATE(N594, IF('Input Sheet'!K596="",""," siderite in "))</f>
        <v/>
      </c>
    </row>
    <row r="595" spans="1:15" x14ac:dyDescent="0.35">
      <c r="A595" s="42" t="str">
        <f>IF('Input Sheet'!C597="","",CONCATENATE("Sample ", 'Input Sheet'!B597, "m: ", M595, G595, "% ", "Siltstone, ", O595, 'Input Sheet'!C597, "% ", I595, " Sandstone, ", K595, J595, " FLUOR in SST. ", "TG ", 'Input Sheet'!I597, "U"))</f>
        <v/>
      </c>
      <c r="B595" s="28" t="str">
        <f>IF('Input Sheet'!C597="","",CONCATENATE("Sample ", 'Input Sheet'!B597, "m: ", N595, H595, "% ", "Siltstone, ", P595, 'Input Sheet'!C597, "% ", J595, " Sandstone "))</f>
        <v/>
      </c>
      <c r="C595" s="28" t="str">
        <f>IF('Input Sheet'!C597="","",CONCATENATE("Sample ", 'Input Sheet'!B597, "m: ", M595,, K595, J595, " FLUOR in SST. ", "TG ", 'Input Sheet'!I597, "U"))</f>
        <v/>
      </c>
      <c r="G595" s="31" t="str">
        <f>IF('Input Sheet'!C597="","",100-'Input Sheet'!C597)</f>
        <v/>
      </c>
      <c r="H5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5" s="31" t="str">
        <f t="shared" si="9"/>
        <v/>
      </c>
      <c r="J5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5" s="31" t="str">
        <f>IF('Input Sheet'!F596=0, "NO",CONCATENATE('Input Sheet'!F596, IF('Input Sheet'!F596&gt;0,"% ","")))</f>
        <v>NO</v>
      </c>
      <c r="L5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5" s="31" t="str">
        <f>CONCATENATE(L595, IF('Input Sheet'!J597="",""," siderite in "))</f>
        <v/>
      </c>
      <c r="N5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5" s="31" t="str">
        <f>CONCATENATE(N595, IF('Input Sheet'!K597="",""," siderite in "))</f>
        <v/>
      </c>
    </row>
    <row r="596" spans="1:15" x14ac:dyDescent="0.35">
      <c r="A596" s="42" t="str">
        <f>IF('Input Sheet'!C598="","",CONCATENATE("Sample ", 'Input Sheet'!B598, "m: ", M596, G596, "% ", "Siltstone, ", O596, 'Input Sheet'!C598, "% ", I596, " Sandstone, ", K596, J596, " FLUOR in SST. ", "TG ", 'Input Sheet'!I598, "U"))</f>
        <v/>
      </c>
      <c r="B596" s="28" t="str">
        <f>IF('Input Sheet'!C598="","",CONCATENATE("Sample ", 'Input Sheet'!B598, "m: ", N596, H596, "% ", "Siltstone, ", P596, 'Input Sheet'!C598, "% ", J596, " Sandstone "))</f>
        <v/>
      </c>
      <c r="C596" s="28" t="str">
        <f>IF('Input Sheet'!C598="","",CONCATENATE("Sample ", 'Input Sheet'!B598, "m: ", M596,, K596, J596, " FLUOR in SST. ", "TG ", 'Input Sheet'!I598, "U"))</f>
        <v/>
      </c>
      <c r="G596" s="31" t="str">
        <f>IF('Input Sheet'!C598="","",100-'Input Sheet'!C598)</f>
        <v/>
      </c>
      <c r="H5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6" s="31" t="str">
        <f t="shared" si="9"/>
        <v/>
      </c>
      <c r="J5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6" s="31" t="str">
        <f>IF('Input Sheet'!F597=0, "NO",CONCATENATE('Input Sheet'!F597, IF('Input Sheet'!F597&gt;0,"% ","")))</f>
        <v>NO</v>
      </c>
      <c r="L5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6" s="31" t="str">
        <f>CONCATENATE(L596, IF('Input Sheet'!J598="",""," siderite in "))</f>
        <v/>
      </c>
      <c r="N5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6" s="31" t="str">
        <f>CONCATENATE(N596, IF('Input Sheet'!K598="",""," siderite in "))</f>
        <v/>
      </c>
    </row>
    <row r="597" spans="1:15" x14ac:dyDescent="0.35">
      <c r="A597" s="42" t="str">
        <f>IF('Input Sheet'!C599="","",CONCATENATE("Sample ", 'Input Sheet'!B599, "m: ", M597, G597, "% ", "Siltstone, ", O597, 'Input Sheet'!C599, "% ", I597, " Sandstone, ", K597, J597, " FLUOR in SST. ", "TG ", 'Input Sheet'!I599, "U"))</f>
        <v/>
      </c>
      <c r="B597" s="28" t="str">
        <f>IF('Input Sheet'!C599="","",CONCATENATE("Sample ", 'Input Sheet'!B599, "m: ", N597, H597, "% ", "Siltstone, ", P597, 'Input Sheet'!C599, "% ", J597, " Sandstone "))</f>
        <v/>
      </c>
      <c r="C597" s="28" t="str">
        <f>IF('Input Sheet'!C599="","",CONCATENATE("Sample ", 'Input Sheet'!B599, "m: ", M597,, K597, J597, " FLUOR in SST. ", "TG ", 'Input Sheet'!I599, "U"))</f>
        <v/>
      </c>
      <c r="G597" s="31" t="str">
        <f>IF('Input Sheet'!C599="","",100-'Input Sheet'!C599)</f>
        <v/>
      </c>
      <c r="H5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7" s="31" t="str">
        <f t="shared" si="9"/>
        <v/>
      </c>
      <c r="J5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7" s="31" t="str">
        <f>IF('Input Sheet'!F598=0, "NO",CONCATENATE('Input Sheet'!F598, IF('Input Sheet'!F598&gt;0,"% ","")))</f>
        <v>NO</v>
      </c>
      <c r="L5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7" s="31" t="str">
        <f>CONCATENATE(L597, IF('Input Sheet'!J599="",""," siderite in "))</f>
        <v/>
      </c>
      <c r="N5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7" s="31" t="str">
        <f>CONCATENATE(N597, IF('Input Sheet'!K599="",""," siderite in "))</f>
        <v/>
      </c>
    </row>
    <row r="598" spans="1:15" x14ac:dyDescent="0.35">
      <c r="A598" s="42" t="str">
        <f>IF('Input Sheet'!C600="","",CONCATENATE("Sample ", 'Input Sheet'!B600, "m: ", M598, G598, "% ", "Siltstone, ", O598, 'Input Sheet'!C600, "% ", I598, " Sandstone, ", K598, J598, " FLUOR in SST. ", "TG ", 'Input Sheet'!I600, "U"))</f>
        <v/>
      </c>
      <c r="B598" s="28" t="str">
        <f>IF('Input Sheet'!C600="","",CONCATENATE("Sample ", 'Input Sheet'!B600, "m: ", N598, H598, "% ", "Siltstone, ", P598, 'Input Sheet'!C600, "% ", J598, " Sandstone "))</f>
        <v/>
      </c>
      <c r="C598" s="28" t="str">
        <f>IF('Input Sheet'!C600="","",CONCATENATE("Sample ", 'Input Sheet'!B600, "m: ", M598,, K598, J598, " FLUOR in SST. ", "TG ", 'Input Sheet'!I600, "U"))</f>
        <v/>
      </c>
      <c r="G598" s="31" t="str">
        <f>IF('Input Sheet'!C600="","",100-'Input Sheet'!C600)</f>
        <v/>
      </c>
      <c r="H5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8" s="31" t="str">
        <f t="shared" si="9"/>
        <v/>
      </c>
      <c r="J5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8" s="31" t="str">
        <f>IF('Input Sheet'!F599=0, "NO",CONCATENATE('Input Sheet'!F599, IF('Input Sheet'!F599&gt;0,"% ","")))</f>
        <v>NO</v>
      </c>
      <c r="L5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8" s="31" t="str">
        <f>CONCATENATE(L598, IF('Input Sheet'!J600="",""," siderite in "))</f>
        <v/>
      </c>
      <c r="N5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8" s="31" t="str">
        <f>CONCATENATE(N598, IF('Input Sheet'!K600="",""," siderite in "))</f>
        <v/>
      </c>
    </row>
    <row r="599" spans="1:15" x14ac:dyDescent="0.35">
      <c r="A599" s="42" t="str">
        <f>IF('Input Sheet'!C601="","",CONCATENATE("Sample ", 'Input Sheet'!B601, "m: ", M599, G599, "% ", "Siltstone, ", O599, 'Input Sheet'!C601, "% ", I599, " Sandstone, ", K599, J599, " FLUOR in SST. ", "TG ", 'Input Sheet'!I601, "U"))</f>
        <v/>
      </c>
      <c r="B599" s="28" t="str">
        <f>IF('Input Sheet'!C601="","",CONCATENATE("Sample ", 'Input Sheet'!B601, "m: ", N599, H599, "% ", "Siltstone, ", P599, 'Input Sheet'!C601, "% ", J599, " Sandstone "))</f>
        <v/>
      </c>
      <c r="C599" s="28" t="str">
        <f>IF('Input Sheet'!C601="","",CONCATENATE("Sample ", 'Input Sheet'!B601, "m: ", M599,, K599, J599, " FLUOR in SST. ", "TG ", 'Input Sheet'!I601, "U"))</f>
        <v/>
      </c>
      <c r="G599" s="31" t="str">
        <f>IF('Input Sheet'!C601="","",100-'Input Sheet'!C601)</f>
        <v/>
      </c>
      <c r="H5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9" s="31" t="str">
        <f t="shared" si="9"/>
        <v/>
      </c>
      <c r="J5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9" s="31" t="str">
        <f>IF('Input Sheet'!F600=0, "NO",CONCATENATE('Input Sheet'!F600, IF('Input Sheet'!F600&gt;0,"% ","")))</f>
        <v>NO</v>
      </c>
      <c r="L5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9" s="31" t="str">
        <f>CONCATENATE(L599, IF('Input Sheet'!J601="",""," siderite in "))</f>
        <v/>
      </c>
      <c r="N5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9" s="31" t="str">
        <f>CONCATENATE(N599, IF('Input Sheet'!K601="",""," siderite in "))</f>
        <v/>
      </c>
    </row>
    <row r="600" spans="1:15" x14ac:dyDescent="0.35">
      <c r="A600" s="42" t="str">
        <f>IF('Input Sheet'!C602="","",CONCATENATE("Sample ", 'Input Sheet'!B602, "m: ", M600, G600, "% ", "Siltstone, ", O600, 'Input Sheet'!C602, "% ", I600, " Sandstone, ", K600, J600, " FLUOR in SST. ", "TG ", 'Input Sheet'!I602, "U"))</f>
        <v/>
      </c>
      <c r="B600" s="28" t="str">
        <f>IF('Input Sheet'!C602="","",CONCATENATE("Sample ", 'Input Sheet'!B602, "m: ", N600, H600, "% ", "Siltstone, ", P600, 'Input Sheet'!C602, "% ", J600, " Sandstone "))</f>
        <v/>
      </c>
      <c r="C600" s="28" t="str">
        <f>IF('Input Sheet'!C602="","",CONCATENATE("Sample ", 'Input Sheet'!B602, "m: ", M600,, K600, J600, " FLUOR in SST. ", "TG ", 'Input Sheet'!I602, "U"))</f>
        <v/>
      </c>
      <c r="G600" s="31" t="str">
        <f>IF('Input Sheet'!C602="","",100-'Input Sheet'!C602)</f>
        <v/>
      </c>
      <c r="H6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0" s="31" t="str">
        <f t="shared" si="9"/>
        <v/>
      </c>
      <c r="J6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0" s="31" t="str">
        <f>IF('Input Sheet'!F601=0, "NO",CONCATENATE('Input Sheet'!F601, IF('Input Sheet'!F601&gt;0,"% ","")))</f>
        <v>NO</v>
      </c>
      <c r="L6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0" s="31" t="str">
        <f>CONCATENATE(L600, IF('Input Sheet'!J602="",""," siderite in "))</f>
        <v/>
      </c>
      <c r="N6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0" s="31" t="str">
        <f>CONCATENATE(N600, IF('Input Sheet'!K602="",""," siderite in "))</f>
        <v/>
      </c>
    </row>
    <row r="601" spans="1:15" x14ac:dyDescent="0.35">
      <c r="A601" s="42" t="str">
        <f>IF('Input Sheet'!C603="","",CONCATENATE("Sample ", 'Input Sheet'!B603, "m: ", M601, G601, "% ", "Siltstone, ", O601, 'Input Sheet'!C603, "% ", I601, " Sandstone, ", K601, J601, " FLUOR in SST. ", "TG ", 'Input Sheet'!I603, "U"))</f>
        <v/>
      </c>
      <c r="B601" s="28" t="str">
        <f>IF('Input Sheet'!C603="","",CONCATENATE("Sample ", 'Input Sheet'!B603, "m: ", N601, H601, "% ", "Siltstone, ", P601, 'Input Sheet'!C603, "% ", J601, " Sandstone "))</f>
        <v/>
      </c>
      <c r="C601" s="28" t="str">
        <f>IF('Input Sheet'!C603="","",CONCATENATE("Sample ", 'Input Sheet'!B603, "m: ", M601,, K601, J601, " FLUOR in SST. ", "TG ", 'Input Sheet'!I603, "U"))</f>
        <v/>
      </c>
      <c r="G601" s="31" t="str">
        <f>IF('Input Sheet'!C603="","",100-'Input Sheet'!C603)</f>
        <v/>
      </c>
      <c r="H6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1" s="31" t="str">
        <f t="shared" si="9"/>
        <v/>
      </c>
      <c r="J6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1" s="31" t="str">
        <f>IF('Input Sheet'!F602=0, "NO",CONCATENATE('Input Sheet'!F602, IF('Input Sheet'!F602&gt;0,"% ","")))</f>
        <v>NO</v>
      </c>
      <c r="L6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1" s="31" t="str">
        <f>CONCATENATE(L601, IF('Input Sheet'!J603="",""," siderite in "))</f>
        <v/>
      </c>
      <c r="N6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1" s="31" t="str">
        <f>CONCATENATE(N601, IF('Input Sheet'!K603="",""," siderite in "))</f>
        <v/>
      </c>
    </row>
    <row r="602" spans="1:15" x14ac:dyDescent="0.35">
      <c r="A602" s="42" t="str">
        <f>IF('Input Sheet'!C604="","",CONCATENATE("Sample ", 'Input Sheet'!B604, "m: ", M602, G602, "% ", "Siltstone, ", O602, 'Input Sheet'!C604, "% ", I602, " Sandstone, ", K602, J602, " FLUOR in SST. ", "TG ", 'Input Sheet'!I604, "U"))</f>
        <v/>
      </c>
      <c r="B602" s="28" t="str">
        <f>IF('Input Sheet'!C604="","",CONCATENATE("Sample ", 'Input Sheet'!B604, "m: ", N602, H602, "% ", "Siltstone, ", P602, 'Input Sheet'!C604, "% ", J602, " Sandstone "))</f>
        <v/>
      </c>
      <c r="C602" s="28" t="str">
        <f>IF('Input Sheet'!C604="","",CONCATENATE("Sample ", 'Input Sheet'!B604, "m: ", M602,, K602, J602, " FLUOR in SST. ", "TG ", 'Input Sheet'!I604, "U"))</f>
        <v/>
      </c>
      <c r="G602" s="31" t="str">
        <f>IF('Input Sheet'!C604="","",100-'Input Sheet'!C604)</f>
        <v/>
      </c>
      <c r="H6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2" s="31" t="str">
        <f t="shared" si="9"/>
        <v/>
      </c>
      <c r="J6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2" s="31" t="str">
        <f>IF('Input Sheet'!F603=0, "NO",CONCATENATE('Input Sheet'!F603, IF('Input Sheet'!F603&gt;0,"% ","")))</f>
        <v>NO</v>
      </c>
      <c r="L6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2" s="31" t="str">
        <f>CONCATENATE(L602, IF('Input Sheet'!J604="",""," siderite in "))</f>
        <v/>
      </c>
      <c r="N6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2" s="31" t="str">
        <f>CONCATENATE(N602, IF('Input Sheet'!K604="",""," siderite in "))</f>
        <v/>
      </c>
    </row>
    <row r="603" spans="1:15" x14ac:dyDescent="0.35">
      <c r="A603" s="42" t="str">
        <f>IF('Input Sheet'!C605="","",CONCATENATE("Sample ", 'Input Sheet'!B605, "m: ", M603, G603, "% ", "Siltstone, ", O603, 'Input Sheet'!C605, "% ", I603, " Sandstone, ", K603, J603, " FLUOR in SST. ", "TG ", 'Input Sheet'!I605, "U"))</f>
        <v/>
      </c>
      <c r="B603" s="28" t="str">
        <f>IF('Input Sheet'!C605="","",CONCATENATE("Sample ", 'Input Sheet'!B605, "m: ", N603, H603, "% ", "Siltstone, ", P603, 'Input Sheet'!C605, "% ", J603, " Sandstone "))</f>
        <v/>
      </c>
      <c r="C603" s="28" t="str">
        <f>IF('Input Sheet'!C605="","",CONCATENATE("Sample ", 'Input Sheet'!B605, "m: ", M603,, K603, J603, " FLUOR in SST. ", "TG ", 'Input Sheet'!I605, "U"))</f>
        <v/>
      </c>
      <c r="G603" s="31" t="str">
        <f>IF('Input Sheet'!C605="","",100-'Input Sheet'!C605)</f>
        <v/>
      </c>
      <c r="H6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3" s="31" t="str">
        <f t="shared" si="9"/>
        <v/>
      </c>
      <c r="J6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3" s="31" t="str">
        <f>IF('Input Sheet'!F604=0, "NO",CONCATENATE('Input Sheet'!F604, IF('Input Sheet'!F604&gt;0,"% ","")))</f>
        <v>NO</v>
      </c>
      <c r="L6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3" s="31" t="str">
        <f>CONCATENATE(L603, IF('Input Sheet'!J605="",""," siderite in "))</f>
        <v/>
      </c>
      <c r="N6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3" s="31" t="str">
        <f>CONCATENATE(N603, IF('Input Sheet'!K605="",""," siderite in "))</f>
        <v/>
      </c>
    </row>
    <row r="604" spans="1:15" x14ac:dyDescent="0.35">
      <c r="A604" s="42" t="str">
        <f>IF('Input Sheet'!C606="","",CONCATENATE("Sample ", 'Input Sheet'!B606, "m: ", M604, G604, "% ", "Siltstone, ", O604, 'Input Sheet'!C606, "% ", I604, " Sandstone, ", K604, J604, " FLUOR in SST. ", "TG ", 'Input Sheet'!I606, "U"))</f>
        <v/>
      </c>
      <c r="B604" s="28" t="str">
        <f>IF('Input Sheet'!C606="","",CONCATENATE("Sample ", 'Input Sheet'!B606, "m: ", N604, H604, "% ", "Siltstone, ", P604, 'Input Sheet'!C606, "% ", J604, " Sandstone "))</f>
        <v/>
      </c>
      <c r="C604" s="28" t="str">
        <f>IF('Input Sheet'!C606="","",CONCATENATE("Sample ", 'Input Sheet'!B606, "m: ", M604,, K604, J604, " FLUOR in SST. ", "TG ", 'Input Sheet'!I606, "U"))</f>
        <v/>
      </c>
      <c r="G604" s="31" t="str">
        <f>IF('Input Sheet'!C606="","",100-'Input Sheet'!C606)</f>
        <v/>
      </c>
      <c r="H6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4" s="31" t="str">
        <f t="shared" si="9"/>
        <v/>
      </c>
      <c r="J6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4" s="31" t="str">
        <f>IF('Input Sheet'!F605=0, "NO",CONCATENATE('Input Sheet'!F605, IF('Input Sheet'!F605&gt;0,"% ","")))</f>
        <v>NO</v>
      </c>
      <c r="L6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4" s="31" t="str">
        <f>CONCATENATE(L604, IF('Input Sheet'!J606="",""," siderite in "))</f>
        <v/>
      </c>
      <c r="N6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4" s="31" t="str">
        <f>CONCATENATE(N604, IF('Input Sheet'!K606="",""," siderite in "))</f>
        <v/>
      </c>
    </row>
    <row r="605" spans="1:15" x14ac:dyDescent="0.35">
      <c r="A605" s="42" t="str">
        <f>IF('Input Sheet'!C607="","",CONCATENATE("Sample ", 'Input Sheet'!B607, "m: ", M605, G605, "% ", "Siltstone, ", O605, 'Input Sheet'!C607, "% ", I605, " Sandstone, ", K605, J605, " FLUOR in SST. ", "TG ", 'Input Sheet'!I607, "U"))</f>
        <v/>
      </c>
      <c r="B605" s="28" t="str">
        <f>IF('Input Sheet'!C607="","",CONCATENATE("Sample ", 'Input Sheet'!B607, "m: ", N605, H605, "% ", "Siltstone, ", P605, 'Input Sheet'!C607, "% ", J605, " Sandstone "))</f>
        <v/>
      </c>
      <c r="C605" s="28" t="str">
        <f>IF('Input Sheet'!C607="","",CONCATENATE("Sample ", 'Input Sheet'!B607, "m: ", M605,, K605, J605, " FLUOR in SST. ", "TG ", 'Input Sheet'!I607, "U"))</f>
        <v/>
      </c>
      <c r="G605" s="31" t="str">
        <f>IF('Input Sheet'!C607="","",100-'Input Sheet'!C607)</f>
        <v/>
      </c>
      <c r="H6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5" s="31" t="str">
        <f t="shared" si="9"/>
        <v/>
      </c>
      <c r="J6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5" s="31" t="str">
        <f>IF('Input Sheet'!F606=0, "NO",CONCATENATE('Input Sheet'!F606, IF('Input Sheet'!F606&gt;0,"% ","")))</f>
        <v>NO</v>
      </c>
      <c r="L6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5" s="31" t="str">
        <f>CONCATENATE(L605, IF('Input Sheet'!J607="",""," siderite in "))</f>
        <v/>
      </c>
      <c r="N6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5" s="31" t="str">
        <f>CONCATENATE(N605, IF('Input Sheet'!K607="",""," siderite in "))</f>
        <v/>
      </c>
    </row>
    <row r="606" spans="1:15" x14ac:dyDescent="0.35">
      <c r="A606" s="42" t="str">
        <f>IF('Input Sheet'!C608="","",CONCATENATE("Sample ", 'Input Sheet'!B608, "m: ", M606, G606, "% ", "Siltstone, ", O606, 'Input Sheet'!C608, "% ", I606, " Sandstone, ", K606, J606, " FLUOR in SST. ", "TG ", 'Input Sheet'!I608, "U"))</f>
        <v/>
      </c>
      <c r="B606" s="28" t="str">
        <f>IF('Input Sheet'!C608="","",CONCATENATE("Sample ", 'Input Sheet'!B608, "m: ", N606, H606, "% ", "Siltstone, ", P606, 'Input Sheet'!C608, "% ", J606, " Sandstone "))</f>
        <v/>
      </c>
      <c r="C606" s="28" t="str">
        <f>IF('Input Sheet'!C608="","",CONCATENATE("Sample ", 'Input Sheet'!B608, "m: ", M606,, K606, J606, " FLUOR in SST. ", "TG ", 'Input Sheet'!I608, "U"))</f>
        <v/>
      </c>
      <c r="G606" s="31" t="str">
        <f>IF('Input Sheet'!C608="","",100-'Input Sheet'!C608)</f>
        <v/>
      </c>
      <c r="H6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6" s="31" t="str">
        <f t="shared" si="9"/>
        <v/>
      </c>
      <c r="J6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6" s="31" t="str">
        <f>IF('Input Sheet'!F607=0, "NO",CONCATENATE('Input Sheet'!F607, IF('Input Sheet'!F607&gt;0,"% ","")))</f>
        <v>NO</v>
      </c>
      <c r="L6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6" s="31" t="str">
        <f>CONCATENATE(L606, IF('Input Sheet'!J608="",""," siderite in "))</f>
        <v/>
      </c>
      <c r="N6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6" s="31" t="str">
        <f>CONCATENATE(N606, IF('Input Sheet'!K608="",""," siderite in "))</f>
        <v/>
      </c>
    </row>
    <row r="607" spans="1:15" x14ac:dyDescent="0.35">
      <c r="A607" s="42" t="str">
        <f>IF('Input Sheet'!C609="","",CONCATENATE("Sample ", 'Input Sheet'!B609, "m: ", M607, G607, "% ", "Siltstone, ", O607, 'Input Sheet'!C609, "% ", I607, " Sandstone, ", K607, J607, " FLUOR in SST. ", "TG ", 'Input Sheet'!I609, "U"))</f>
        <v/>
      </c>
      <c r="B607" s="28" t="str">
        <f>IF('Input Sheet'!C609="","",CONCATENATE("Sample ", 'Input Sheet'!B609, "m: ", N607, H607, "% ", "Siltstone, ", P607, 'Input Sheet'!C609, "% ", J607, " Sandstone "))</f>
        <v/>
      </c>
      <c r="C607" s="28" t="str">
        <f>IF('Input Sheet'!C609="","",CONCATENATE("Sample ", 'Input Sheet'!B609, "m: ", M607,, K607, J607, " FLUOR in SST. ", "TG ", 'Input Sheet'!I609, "U"))</f>
        <v/>
      </c>
      <c r="G607" s="31" t="str">
        <f>IF('Input Sheet'!C609="","",100-'Input Sheet'!C609)</f>
        <v/>
      </c>
      <c r="H6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7" s="31" t="str">
        <f t="shared" si="9"/>
        <v/>
      </c>
      <c r="J6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7" s="31" t="str">
        <f>IF('Input Sheet'!F608=0, "NO",CONCATENATE('Input Sheet'!F608, IF('Input Sheet'!F608&gt;0,"% ","")))</f>
        <v>NO</v>
      </c>
      <c r="L6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7" s="31" t="str">
        <f>CONCATENATE(L607, IF('Input Sheet'!J609="",""," siderite in "))</f>
        <v/>
      </c>
      <c r="N6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7" s="31" t="str">
        <f>CONCATENATE(N607, IF('Input Sheet'!K609="",""," siderite in "))</f>
        <v/>
      </c>
    </row>
    <row r="608" spans="1:15" x14ac:dyDescent="0.35">
      <c r="A608" s="42" t="str">
        <f>IF('Input Sheet'!C610="","",CONCATENATE("Sample ", 'Input Sheet'!B610, "m: ", M608, G608, "% ", "Siltstone, ", O608, 'Input Sheet'!C610, "% ", I608, " Sandstone, ", K608, J608, " FLUOR in SST. ", "TG ", 'Input Sheet'!I610, "U"))</f>
        <v/>
      </c>
      <c r="B608" s="28" t="str">
        <f>IF('Input Sheet'!C610="","",CONCATENATE("Sample ", 'Input Sheet'!B610, "m: ", N608, H608, "% ", "Siltstone, ", P608, 'Input Sheet'!C610, "% ", J608, " Sandstone "))</f>
        <v/>
      </c>
      <c r="C608" s="28" t="str">
        <f>IF('Input Sheet'!C610="","",CONCATENATE("Sample ", 'Input Sheet'!B610, "m: ", M608,, K608, J608, " FLUOR in SST. ", "TG ", 'Input Sheet'!I610, "U"))</f>
        <v/>
      </c>
      <c r="G608" s="31" t="str">
        <f>IF('Input Sheet'!C610="","",100-'Input Sheet'!C610)</f>
        <v/>
      </c>
      <c r="H6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8" s="31" t="str">
        <f t="shared" si="9"/>
        <v/>
      </c>
      <c r="J6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8" s="31" t="str">
        <f>IF('Input Sheet'!F609=0, "NO",CONCATENATE('Input Sheet'!F609, IF('Input Sheet'!F609&gt;0,"% ","")))</f>
        <v>NO</v>
      </c>
      <c r="L6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8" s="31" t="str">
        <f>CONCATENATE(L608, IF('Input Sheet'!J610="",""," siderite in "))</f>
        <v/>
      </c>
      <c r="N6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8" s="31" t="str">
        <f>CONCATENATE(N608, IF('Input Sheet'!K610="",""," siderite in "))</f>
        <v/>
      </c>
    </row>
    <row r="609" spans="1:15" x14ac:dyDescent="0.35">
      <c r="A609" s="42" t="str">
        <f>IF('Input Sheet'!C611="","",CONCATENATE("Sample ", 'Input Sheet'!B611, "m: ", M609, G609, "% ", "Siltstone, ", O609, 'Input Sheet'!C611, "% ", I609, " Sandstone, ", K609, J609, " FLUOR in SST. ", "TG ", 'Input Sheet'!I611, "U"))</f>
        <v/>
      </c>
      <c r="B609" s="28" t="str">
        <f>IF('Input Sheet'!C611="","",CONCATENATE("Sample ", 'Input Sheet'!B611, "m: ", N609, H609, "% ", "Siltstone, ", P609, 'Input Sheet'!C611, "% ", J609, " Sandstone "))</f>
        <v/>
      </c>
      <c r="C609" s="28" t="str">
        <f>IF('Input Sheet'!C611="","",CONCATENATE("Sample ", 'Input Sheet'!B611, "m: ", M609,, K609, J609, " FLUOR in SST. ", "TG ", 'Input Sheet'!I611, "U"))</f>
        <v/>
      </c>
      <c r="G609" s="31" t="str">
        <f>IF('Input Sheet'!C611="","",100-'Input Sheet'!C611)</f>
        <v/>
      </c>
      <c r="H6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9" s="31" t="str">
        <f t="shared" si="9"/>
        <v/>
      </c>
      <c r="J6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9" s="31" t="str">
        <f>IF('Input Sheet'!F610=0, "NO",CONCATENATE('Input Sheet'!F610, IF('Input Sheet'!F610&gt;0,"% ","")))</f>
        <v>NO</v>
      </c>
      <c r="L6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9" s="31" t="str">
        <f>CONCATENATE(L609, IF('Input Sheet'!J611="",""," siderite in "))</f>
        <v/>
      </c>
      <c r="N6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9" s="31" t="str">
        <f>CONCATENATE(N609, IF('Input Sheet'!K611="",""," siderite in "))</f>
        <v/>
      </c>
    </row>
    <row r="610" spans="1:15" x14ac:dyDescent="0.35">
      <c r="A610" s="42" t="str">
        <f>IF('Input Sheet'!C612="","",CONCATENATE("Sample ", 'Input Sheet'!B612, "m: ", M610, G610, "% ", "Siltstone, ", O610, 'Input Sheet'!C612, "% ", I610, " Sandstone, ", K610, J610, " FLUOR in SST. ", "TG ", 'Input Sheet'!I612, "U"))</f>
        <v/>
      </c>
      <c r="B610" s="28" t="str">
        <f>IF('Input Sheet'!C612="","",CONCATENATE("Sample ", 'Input Sheet'!B612, "m: ", N610, H610, "% ", "Siltstone, ", P610, 'Input Sheet'!C612, "% ", J610, " Sandstone "))</f>
        <v/>
      </c>
      <c r="C610" s="28" t="str">
        <f>IF('Input Sheet'!C612="","",CONCATENATE("Sample ", 'Input Sheet'!B612, "m: ", M610,, K610, J610, " FLUOR in SST. ", "TG ", 'Input Sheet'!I612, "U"))</f>
        <v/>
      </c>
      <c r="G610" s="31" t="str">
        <f>IF('Input Sheet'!C612="","",100-'Input Sheet'!C612)</f>
        <v/>
      </c>
      <c r="H6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0" s="31" t="str">
        <f t="shared" si="9"/>
        <v/>
      </c>
      <c r="J6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0" s="31" t="str">
        <f>IF('Input Sheet'!F611=0, "NO",CONCATENATE('Input Sheet'!F611, IF('Input Sheet'!F611&gt;0,"% ","")))</f>
        <v>NO</v>
      </c>
      <c r="L6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0" s="31" t="str">
        <f>CONCATENATE(L610, IF('Input Sheet'!J612="",""," siderite in "))</f>
        <v/>
      </c>
      <c r="N6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0" s="31" t="str">
        <f>CONCATENATE(N610, IF('Input Sheet'!K612="",""," siderite in "))</f>
        <v/>
      </c>
    </row>
    <row r="611" spans="1:15" x14ac:dyDescent="0.35">
      <c r="A611" s="42" t="str">
        <f>IF('Input Sheet'!C613="","",CONCATENATE("Sample ", 'Input Sheet'!B613, "m: ", M611, G611, "% ", "Siltstone, ", O611, 'Input Sheet'!C613, "% ", I611, " Sandstone, ", K611, J611, " FLUOR in SST. ", "TG ", 'Input Sheet'!I613, "U"))</f>
        <v/>
      </c>
      <c r="B611" s="28" t="str">
        <f>IF('Input Sheet'!C613="","",CONCATENATE("Sample ", 'Input Sheet'!B613, "m: ", N611, H611, "% ", "Siltstone, ", P611, 'Input Sheet'!C613, "% ", J611, " Sandstone "))</f>
        <v/>
      </c>
      <c r="C611" s="28" t="str">
        <f>IF('Input Sheet'!C613="","",CONCATENATE("Sample ", 'Input Sheet'!B613, "m: ", M611,, K611, J611, " FLUOR in SST. ", "TG ", 'Input Sheet'!I613, "U"))</f>
        <v/>
      </c>
      <c r="G611" s="31" t="str">
        <f>IF('Input Sheet'!C613="","",100-'Input Sheet'!C613)</f>
        <v/>
      </c>
      <c r="H6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1" s="31" t="str">
        <f t="shared" si="9"/>
        <v/>
      </c>
      <c r="J6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1" s="31" t="str">
        <f>IF('Input Sheet'!F612=0, "NO",CONCATENATE('Input Sheet'!F612, IF('Input Sheet'!F612&gt;0,"% ","")))</f>
        <v>NO</v>
      </c>
      <c r="L6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1" s="31" t="str">
        <f>CONCATENATE(L611, IF('Input Sheet'!J613="",""," siderite in "))</f>
        <v/>
      </c>
      <c r="N6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1" s="31" t="str">
        <f>CONCATENATE(N611, IF('Input Sheet'!K613="",""," siderite in "))</f>
        <v/>
      </c>
    </row>
    <row r="612" spans="1:15" x14ac:dyDescent="0.35">
      <c r="A612" s="42" t="str">
        <f>IF('Input Sheet'!C614="","",CONCATENATE("Sample ", 'Input Sheet'!B614, "m: ", M612, G612, "% ", "Siltstone, ", O612, 'Input Sheet'!C614, "% ", I612, " Sandstone, ", K612, J612, " FLUOR in SST. ", "TG ", 'Input Sheet'!I614, "U"))</f>
        <v/>
      </c>
      <c r="B612" s="28" t="str">
        <f>IF('Input Sheet'!C614="","",CONCATENATE("Sample ", 'Input Sheet'!B614, "m: ", N612, H612, "% ", "Siltstone, ", P612, 'Input Sheet'!C614, "% ", J612, " Sandstone "))</f>
        <v/>
      </c>
      <c r="C612" s="28" t="str">
        <f>IF('Input Sheet'!C614="","",CONCATENATE("Sample ", 'Input Sheet'!B614, "m: ", M612,, K612, J612, " FLUOR in SST. ", "TG ", 'Input Sheet'!I614, "U"))</f>
        <v/>
      </c>
      <c r="G612" s="31" t="str">
        <f>IF('Input Sheet'!C614="","",100-'Input Sheet'!C614)</f>
        <v/>
      </c>
      <c r="H6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2" s="31" t="str">
        <f t="shared" si="9"/>
        <v/>
      </c>
      <c r="J6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2" s="31" t="str">
        <f>IF('Input Sheet'!F613=0, "NO",CONCATENATE('Input Sheet'!F613, IF('Input Sheet'!F613&gt;0,"% ","")))</f>
        <v>NO</v>
      </c>
      <c r="L6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2" s="31" t="str">
        <f>CONCATENATE(L612, IF('Input Sheet'!J614="",""," siderite in "))</f>
        <v/>
      </c>
      <c r="N6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2" s="31" t="str">
        <f>CONCATENATE(N612, IF('Input Sheet'!K614="",""," siderite in "))</f>
        <v/>
      </c>
    </row>
    <row r="613" spans="1:15" x14ac:dyDescent="0.35">
      <c r="A613" s="42" t="str">
        <f>IF('Input Sheet'!C615="","",CONCATENATE("Sample ", 'Input Sheet'!B615, "m: ", M613, G613, "% ", "Siltstone, ", O613, 'Input Sheet'!C615, "% ", I613, " Sandstone, ", K613, J613, " FLUOR in SST. ", "TG ", 'Input Sheet'!I615, "U"))</f>
        <v/>
      </c>
      <c r="B613" s="28" t="str">
        <f>IF('Input Sheet'!C615="","",CONCATENATE("Sample ", 'Input Sheet'!B615, "m: ", N613, H613, "% ", "Siltstone, ", P613, 'Input Sheet'!C615, "% ", J613, " Sandstone "))</f>
        <v/>
      </c>
      <c r="C613" s="28" t="str">
        <f>IF('Input Sheet'!C615="","",CONCATENATE("Sample ", 'Input Sheet'!B615, "m: ", M613,, K613, J613, " FLUOR in SST. ", "TG ", 'Input Sheet'!I615, "U"))</f>
        <v/>
      </c>
      <c r="G613" s="31" t="str">
        <f>IF('Input Sheet'!C615="","",100-'Input Sheet'!C615)</f>
        <v/>
      </c>
      <c r="H6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3" s="31" t="str">
        <f t="shared" si="9"/>
        <v/>
      </c>
      <c r="J6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3" s="31" t="str">
        <f>IF('Input Sheet'!F614=0, "NO",CONCATENATE('Input Sheet'!F614, IF('Input Sheet'!F614&gt;0,"% ","")))</f>
        <v>NO</v>
      </c>
      <c r="L6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3" s="31" t="str">
        <f>CONCATENATE(L613, IF('Input Sheet'!J615="",""," siderite in "))</f>
        <v/>
      </c>
      <c r="N6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3" s="31" t="str">
        <f>CONCATENATE(N613, IF('Input Sheet'!K615="",""," siderite in "))</f>
        <v/>
      </c>
    </row>
    <row r="614" spans="1:15" x14ac:dyDescent="0.35">
      <c r="A614" s="42" t="str">
        <f>IF('Input Sheet'!C616="","",CONCATENATE("Sample ", 'Input Sheet'!B616, "m: ", M614, G614, "% ", "Siltstone, ", O614, 'Input Sheet'!C616, "% ", I614, " Sandstone, ", K614, J614, " FLUOR in SST. ", "TG ", 'Input Sheet'!I616, "U"))</f>
        <v/>
      </c>
      <c r="B614" s="28" t="str">
        <f>IF('Input Sheet'!C616="","",CONCATENATE("Sample ", 'Input Sheet'!B616, "m: ", N614, H614, "% ", "Siltstone, ", P614, 'Input Sheet'!C616, "% ", J614, " Sandstone "))</f>
        <v/>
      </c>
      <c r="C614" s="28" t="str">
        <f>IF('Input Sheet'!C616="","",CONCATENATE("Sample ", 'Input Sheet'!B616, "m: ", M614,, K614, J614, " FLUOR in SST. ", "TG ", 'Input Sheet'!I616, "U"))</f>
        <v/>
      </c>
      <c r="G614" s="31" t="str">
        <f>IF('Input Sheet'!C616="","",100-'Input Sheet'!C616)</f>
        <v/>
      </c>
      <c r="H6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4" s="31" t="str">
        <f t="shared" si="9"/>
        <v/>
      </c>
      <c r="J6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4" s="31" t="str">
        <f>IF('Input Sheet'!F615=0, "NO",CONCATENATE('Input Sheet'!F615, IF('Input Sheet'!F615&gt;0,"% ","")))</f>
        <v>NO</v>
      </c>
      <c r="L6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4" s="31" t="str">
        <f>CONCATENATE(L614, IF('Input Sheet'!J616="",""," siderite in "))</f>
        <v/>
      </c>
      <c r="N6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4" s="31" t="str">
        <f>CONCATENATE(N614, IF('Input Sheet'!K616="",""," siderite in "))</f>
        <v/>
      </c>
    </row>
    <row r="615" spans="1:15" x14ac:dyDescent="0.35">
      <c r="A615" s="42" t="str">
        <f>IF('Input Sheet'!C617="","",CONCATENATE("Sample ", 'Input Sheet'!B617, "m: ", M615, G615, "% ", "Siltstone, ", O615, 'Input Sheet'!C617, "% ", I615, " Sandstone, ", K615, J615, " FLUOR in SST. ", "TG ", 'Input Sheet'!I617, "U"))</f>
        <v/>
      </c>
      <c r="B615" s="28" t="str">
        <f>IF('Input Sheet'!C617="","",CONCATENATE("Sample ", 'Input Sheet'!B617, "m: ", N615, H615, "% ", "Siltstone, ", P615, 'Input Sheet'!C617, "% ", J615, " Sandstone "))</f>
        <v/>
      </c>
      <c r="C615" s="28" t="str">
        <f>IF('Input Sheet'!C617="","",CONCATENATE("Sample ", 'Input Sheet'!B617, "m: ", M615,, K615, J615, " FLUOR in SST. ", "TG ", 'Input Sheet'!I617, "U"))</f>
        <v/>
      </c>
      <c r="G615" s="31" t="str">
        <f>IF('Input Sheet'!C617="","",100-'Input Sheet'!C617)</f>
        <v/>
      </c>
      <c r="H6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5" s="31" t="str">
        <f t="shared" si="9"/>
        <v/>
      </c>
      <c r="J6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5" s="31" t="str">
        <f>IF('Input Sheet'!F616=0, "NO",CONCATENATE('Input Sheet'!F616, IF('Input Sheet'!F616&gt;0,"% ","")))</f>
        <v>NO</v>
      </c>
      <c r="L6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5" s="31" t="str">
        <f>CONCATENATE(L615, IF('Input Sheet'!J617="",""," siderite in "))</f>
        <v/>
      </c>
      <c r="N6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5" s="31" t="str">
        <f>CONCATENATE(N615, IF('Input Sheet'!K617="",""," siderite in "))</f>
        <v/>
      </c>
    </row>
    <row r="616" spans="1:15" x14ac:dyDescent="0.35">
      <c r="A616" s="42" t="str">
        <f>IF('Input Sheet'!C618="","",CONCATENATE("Sample ", 'Input Sheet'!B618, "m: ", M616, G616, "% ", "Siltstone, ", O616, 'Input Sheet'!C618, "% ", I616, " Sandstone, ", K616, J616, " FLUOR in SST. ", "TG ", 'Input Sheet'!I618, "U"))</f>
        <v/>
      </c>
      <c r="B616" s="28" t="str">
        <f>IF('Input Sheet'!C618="","",CONCATENATE("Sample ", 'Input Sheet'!B618, "m: ", N616, H616, "% ", "Siltstone, ", P616, 'Input Sheet'!C618, "% ", J616, " Sandstone "))</f>
        <v/>
      </c>
      <c r="C616" s="28" t="str">
        <f>IF('Input Sheet'!C618="","",CONCATENATE("Sample ", 'Input Sheet'!B618, "m: ", M616,, K616, J616, " FLUOR in SST. ", "TG ", 'Input Sheet'!I618, "U"))</f>
        <v/>
      </c>
      <c r="G616" s="31" t="str">
        <f>IF('Input Sheet'!C618="","",100-'Input Sheet'!C618)</f>
        <v/>
      </c>
      <c r="H6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6" s="31" t="str">
        <f t="shared" si="9"/>
        <v/>
      </c>
      <c r="J6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6" s="31" t="str">
        <f>IF('Input Sheet'!F617=0, "NO",CONCATENATE('Input Sheet'!F617, IF('Input Sheet'!F617&gt;0,"% ","")))</f>
        <v>NO</v>
      </c>
      <c r="L6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6" s="31" t="str">
        <f>CONCATENATE(L616, IF('Input Sheet'!J618="",""," siderite in "))</f>
        <v/>
      </c>
      <c r="N6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6" s="31" t="str">
        <f>CONCATENATE(N616, IF('Input Sheet'!K618="",""," siderite in "))</f>
        <v/>
      </c>
    </row>
    <row r="617" spans="1:15" x14ac:dyDescent="0.35">
      <c r="A617" s="42" t="str">
        <f>IF('Input Sheet'!C619="","",CONCATENATE("Sample ", 'Input Sheet'!B619, "m: ", M617, G617, "% ", "Siltstone, ", O617, 'Input Sheet'!C619, "% ", I617, " Sandstone, ", K617, J617, " FLUOR in SST. ", "TG ", 'Input Sheet'!I619, "U"))</f>
        <v/>
      </c>
      <c r="B617" s="28" t="str">
        <f>IF('Input Sheet'!C619="","",CONCATENATE("Sample ", 'Input Sheet'!B619, "m: ", N617, H617, "% ", "Siltstone, ", P617, 'Input Sheet'!C619, "% ", J617, " Sandstone "))</f>
        <v/>
      </c>
      <c r="C617" s="28" t="str">
        <f>IF('Input Sheet'!C619="","",CONCATENATE("Sample ", 'Input Sheet'!B619, "m: ", M617,, K617, J617, " FLUOR in SST. ", "TG ", 'Input Sheet'!I619, "U"))</f>
        <v/>
      </c>
      <c r="G617" s="31" t="str">
        <f>IF('Input Sheet'!C619="","",100-'Input Sheet'!C619)</f>
        <v/>
      </c>
      <c r="H6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7" s="31" t="str">
        <f t="shared" si="9"/>
        <v/>
      </c>
      <c r="J6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7" s="31" t="str">
        <f>IF('Input Sheet'!F618=0, "NO",CONCATENATE('Input Sheet'!F618, IF('Input Sheet'!F618&gt;0,"% ","")))</f>
        <v>NO</v>
      </c>
      <c r="L6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7" s="31" t="str">
        <f>CONCATENATE(L617, IF('Input Sheet'!J619="",""," siderite in "))</f>
        <v/>
      </c>
      <c r="N6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7" s="31" t="str">
        <f>CONCATENATE(N617, IF('Input Sheet'!K619="",""," siderite in "))</f>
        <v/>
      </c>
    </row>
    <row r="618" spans="1:15" x14ac:dyDescent="0.35">
      <c r="A618" s="42" t="str">
        <f>IF('Input Sheet'!C620="","",CONCATENATE("Sample ", 'Input Sheet'!B620, "m: ", M618, G618, "% ", "Siltstone, ", O618, 'Input Sheet'!C620, "% ", I618, " Sandstone, ", K618, J618, " FLUOR in SST. ", "TG ", 'Input Sheet'!I620, "U"))</f>
        <v/>
      </c>
      <c r="B618" s="28" t="str">
        <f>IF('Input Sheet'!C620="","",CONCATENATE("Sample ", 'Input Sheet'!B620, "m: ", N618, H618, "% ", "Siltstone, ", P618, 'Input Sheet'!C620, "% ", J618, " Sandstone "))</f>
        <v/>
      </c>
      <c r="C618" s="28" t="str">
        <f>IF('Input Sheet'!C620="","",CONCATENATE("Sample ", 'Input Sheet'!B620, "m: ", M618,, K618, J618, " FLUOR in SST. ", "TG ", 'Input Sheet'!I620, "U"))</f>
        <v/>
      </c>
      <c r="G618" s="31" t="str">
        <f>IF('Input Sheet'!C620="","",100-'Input Sheet'!C620)</f>
        <v/>
      </c>
      <c r="H6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8" s="31" t="str">
        <f t="shared" si="9"/>
        <v/>
      </c>
      <c r="J6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8" s="31" t="str">
        <f>IF('Input Sheet'!F619=0, "NO",CONCATENATE('Input Sheet'!F619, IF('Input Sheet'!F619&gt;0,"% ","")))</f>
        <v>NO</v>
      </c>
      <c r="L6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8" s="31" t="str">
        <f>CONCATENATE(L618, IF('Input Sheet'!J620="",""," siderite in "))</f>
        <v/>
      </c>
      <c r="N6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8" s="31" t="str">
        <f>CONCATENATE(N618, IF('Input Sheet'!K620="",""," siderite in "))</f>
        <v/>
      </c>
    </row>
    <row r="619" spans="1:15" x14ac:dyDescent="0.35">
      <c r="A619" s="42" t="str">
        <f>IF('Input Sheet'!C621="","",CONCATENATE("Sample ", 'Input Sheet'!B621, "m: ", M619, G619, "% ", "Siltstone, ", O619, 'Input Sheet'!C621, "% ", I619, " Sandstone, ", K619, J619, " FLUOR in SST. ", "TG ", 'Input Sheet'!I621, "U"))</f>
        <v/>
      </c>
      <c r="B619" s="28" t="str">
        <f>IF('Input Sheet'!C621="","",CONCATENATE("Sample ", 'Input Sheet'!B621, "m: ", N619, H619, "% ", "Siltstone, ", P619, 'Input Sheet'!C621, "% ", J619, " Sandstone "))</f>
        <v/>
      </c>
      <c r="C619" s="28" t="str">
        <f>IF('Input Sheet'!C621="","",CONCATENATE("Sample ", 'Input Sheet'!B621, "m: ", M619,, K619, J619, " FLUOR in SST. ", "TG ", 'Input Sheet'!I621, "U"))</f>
        <v/>
      </c>
      <c r="G619" s="31" t="str">
        <f>IF('Input Sheet'!C621="","",100-'Input Sheet'!C621)</f>
        <v/>
      </c>
      <c r="H6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9" s="31" t="str">
        <f t="shared" si="9"/>
        <v/>
      </c>
      <c r="J6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9" s="31" t="str">
        <f>IF('Input Sheet'!F620=0, "NO",CONCATENATE('Input Sheet'!F620, IF('Input Sheet'!F620&gt;0,"% ","")))</f>
        <v>NO</v>
      </c>
      <c r="L6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9" s="31" t="str">
        <f>CONCATENATE(L619, IF('Input Sheet'!J621="",""," siderite in "))</f>
        <v/>
      </c>
      <c r="N6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9" s="31" t="str">
        <f>CONCATENATE(N619, IF('Input Sheet'!K621="",""," siderite in "))</f>
        <v/>
      </c>
    </row>
    <row r="620" spans="1:15" x14ac:dyDescent="0.35">
      <c r="A620" s="42" t="str">
        <f>IF('Input Sheet'!C622="","",CONCATENATE("Sample ", 'Input Sheet'!B622, "m: ", M620, G620, "% ", "Siltstone, ", O620, 'Input Sheet'!C622, "% ", I620, " Sandstone, ", K620, J620, " FLUOR in SST. ", "TG ", 'Input Sheet'!I622, "U"))</f>
        <v/>
      </c>
      <c r="B620" s="28" t="str">
        <f>IF('Input Sheet'!C622="","",CONCATENATE("Sample ", 'Input Sheet'!B622, "m: ", N620, H620, "% ", "Siltstone, ", P620, 'Input Sheet'!C622, "% ", J620, " Sandstone "))</f>
        <v/>
      </c>
      <c r="C620" s="28" t="str">
        <f>IF('Input Sheet'!C622="","",CONCATENATE("Sample ", 'Input Sheet'!B622, "m: ", M620,, K620, J620, " FLUOR in SST. ", "TG ", 'Input Sheet'!I622, "U"))</f>
        <v/>
      </c>
      <c r="G620" s="31" t="str">
        <f>IF('Input Sheet'!C622="","",100-'Input Sheet'!C622)</f>
        <v/>
      </c>
      <c r="H6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0" s="31" t="str">
        <f t="shared" si="9"/>
        <v/>
      </c>
      <c r="J6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0" s="31" t="str">
        <f>IF('Input Sheet'!F621=0, "NO",CONCATENATE('Input Sheet'!F621, IF('Input Sheet'!F621&gt;0,"% ","")))</f>
        <v>NO</v>
      </c>
      <c r="L6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0" s="31" t="str">
        <f>CONCATENATE(L620, IF('Input Sheet'!J622="",""," siderite in "))</f>
        <v/>
      </c>
      <c r="N6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0" s="31" t="str">
        <f>CONCATENATE(N620, IF('Input Sheet'!K622="",""," siderite in "))</f>
        <v/>
      </c>
    </row>
    <row r="621" spans="1:15" x14ac:dyDescent="0.35">
      <c r="A621" s="42" t="str">
        <f>IF('Input Sheet'!C623="","",CONCATENATE("Sample ", 'Input Sheet'!B623, "m: ", M621, G621, "% ", "Siltstone, ", O621, 'Input Sheet'!C623, "% ", I621, " Sandstone, ", K621, J621, " FLUOR in SST. ", "TG ", 'Input Sheet'!I623, "U"))</f>
        <v/>
      </c>
      <c r="B621" s="28" t="str">
        <f>IF('Input Sheet'!C623="","",CONCATENATE("Sample ", 'Input Sheet'!B623, "m: ", N621, H621, "% ", "Siltstone, ", P621, 'Input Sheet'!C623, "% ", J621, " Sandstone "))</f>
        <v/>
      </c>
      <c r="C621" s="28" t="str">
        <f>IF('Input Sheet'!C623="","",CONCATENATE("Sample ", 'Input Sheet'!B623, "m: ", M621,, K621, J621, " FLUOR in SST. ", "TG ", 'Input Sheet'!I623, "U"))</f>
        <v/>
      </c>
      <c r="G621" s="31" t="str">
        <f>IF('Input Sheet'!C623="","",100-'Input Sheet'!C623)</f>
        <v/>
      </c>
      <c r="H6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1" s="31" t="str">
        <f t="shared" si="9"/>
        <v/>
      </c>
      <c r="J6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1" s="31" t="str">
        <f>IF('Input Sheet'!F622=0, "NO",CONCATENATE('Input Sheet'!F622, IF('Input Sheet'!F622&gt;0,"% ","")))</f>
        <v>NO</v>
      </c>
      <c r="L6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1" s="31" t="str">
        <f>CONCATENATE(L621, IF('Input Sheet'!J623="",""," siderite in "))</f>
        <v/>
      </c>
      <c r="N6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1" s="31" t="str">
        <f>CONCATENATE(N621, IF('Input Sheet'!K623="",""," siderite in "))</f>
        <v/>
      </c>
    </row>
    <row r="622" spans="1:15" x14ac:dyDescent="0.35">
      <c r="A622" s="42" t="str">
        <f>IF('Input Sheet'!C624="","",CONCATENATE("Sample ", 'Input Sheet'!B624, "m: ", M622, G622, "% ", "Siltstone, ", O622, 'Input Sheet'!C624, "% ", I622, " Sandstone, ", K622, J622, " FLUOR in SST. ", "TG ", 'Input Sheet'!I624, "U"))</f>
        <v/>
      </c>
      <c r="B622" s="28" t="str">
        <f>IF('Input Sheet'!C624="","",CONCATENATE("Sample ", 'Input Sheet'!B624, "m: ", N622, H622, "% ", "Siltstone, ", P622, 'Input Sheet'!C624, "% ", J622, " Sandstone "))</f>
        <v/>
      </c>
      <c r="C622" s="28" t="str">
        <f>IF('Input Sheet'!C624="","",CONCATENATE("Sample ", 'Input Sheet'!B624, "m: ", M622,, K622, J622, " FLUOR in SST. ", "TG ", 'Input Sheet'!I624, "U"))</f>
        <v/>
      </c>
      <c r="G622" s="31" t="str">
        <f>IF('Input Sheet'!C624="","",100-'Input Sheet'!C624)</f>
        <v/>
      </c>
      <c r="H6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2" s="31" t="str">
        <f t="shared" si="9"/>
        <v/>
      </c>
      <c r="J6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2" s="31" t="str">
        <f>IF('Input Sheet'!F623=0, "NO",CONCATENATE('Input Sheet'!F623, IF('Input Sheet'!F623&gt;0,"% ","")))</f>
        <v>NO</v>
      </c>
      <c r="L6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2" s="31" t="str">
        <f>CONCATENATE(L622, IF('Input Sheet'!J624="",""," siderite in "))</f>
        <v/>
      </c>
      <c r="N6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2" s="31" t="str">
        <f>CONCATENATE(N622, IF('Input Sheet'!K624="",""," siderite in "))</f>
        <v/>
      </c>
    </row>
    <row r="623" spans="1:15" x14ac:dyDescent="0.35">
      <c r="A623" s="42" t="str">
        <f>IF('Input Sheet'!C625="","",CONCATENATE("Sample ", 'Input Sheet'!B625, "m: ", M623, G623, "% ", "Siltstone, ", O623, 'Input Sheet'!C625, "% ", I623, " Sandstone, ", K623, J623, " FLUOR in SST. ", "TG ", 'Input Sheet'!I625, "U"))</f>
        <v/>
      </c>
      <c r="B623" s="28" t="str">
        <f>IF('Input Sheet'!C625="","",CONCATENATE("Sample ", 'Input Sheet'!B625, "m: ", N623, H623, "% ", "Siltstone, ", P623, 'Input Sheet'!C625, "% ", J623, " Sandstone "))</f>
        <v/>
      </c>
      <c r="C623" s="28" t="str">
        <f>IF('Input Sheet'!C625="","",CONCATENATE("Sample ", 'Input Sheet'!B625, "m: ", M623,, K623, J623, " FLUOR in SST. ", "TG ", 'Input Sheet'!I625, "U"))</f>
        <v/>
      </c>
      <c r="G623" s="31" t="str">
        <f>IF('Input Sheet'!C625="","",100-'Input Sheet'!C625)</f>
        <v/>
      </c>
      <c r="H6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3" s="31" t="str">
        <f t="shared" si="9"/>
        <v/>
      </c>
      <c r="J6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3" s="31" t="str">
        <f>IF('Input Sheet'!F624=0, "NO",CONCATENATE('Input Sheet'!F624, IF('Input Sheet'!F624&gt;0,"% ","")))</f>
        <v>NO</v>
      </c>
      <c r="L6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3" s="31" t="str">
        <f>CONCATENATE(L623, IF('Input Sheet'!J625="",""," siderite in "))</f>
        <v/>
      </c>
      <c r="N6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3" s="31" t="str">
        <f>CONCATENATE(N623, IF('Input Sheet'!K625="",""," siderite in "))</f>
        <v/>
      </c>
    </row>
    <row r="624" spans="1:15" x14ac:dyDescent="0.35">
      <c r="A624" s="42" t="str">
        <f>IF('Input Sheet'!C626="","",CONCATENATE("Sample ", 'Input Sheet'!B626, "m: ", M624, G624, "% ", "Siltstone, ", O624, 'Input Sheet'!C626, "% ", I624, " Sandstone, ", K624, J624, " FLUOR in SST. ", "TG ", 'Input Sheet'!I626, "U"))</f>
        <v/>
      </c>
      <c r="B624" s="28" t="str">
        <f>IF('Input Sheet'!C626="","",CONCATENATE("Sample ", 'Input Sheet'!B626, "m: ", N624, H624, "% ", "Siltstone, ", P624, 'Input Sheet'!C626, "% ", J624, " Sandstone "))</f>
        <v/>
      </c>
      <c r="C624" s="28" t="str">
        <f>IF('Input Sheet'!C626="","",CONCATENATE("Sample ", 'Input Sheet'!B626, "m: ", M624,, K624, J624, " FLUOR in SST. ", "TG ", 'Input Sheet'!I626, "U"))</f>
        <v/>
      </c>
      <c r="G624" s="31" t="str">
        <f>IF('Input Sheet'!C626="","",100-'Input Sheet'!C626)</f>
        <v/>
      </c>
      <c r="H6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4" s="31" t="str">
        <f t="shared" si="9"/>
        <v/>
      </c>
      <c r="J6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4" s="31" t="str">
        <f>IF('Input Sheet'!F625=0, "NO",CONCATENATE('Input Sheet'!F625, IF('Input Sheet'!F625&gt;0,"% ","")))</f>
        <v>NO</v>
      </c>
      <c r="L6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4" s="31" t="str">
        <f>CONCATENATE(L624, IF('Input Sheet'!J626="",""," siderite in "))</f>
        <v/>
      </c>
      <c r="N6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4" s="31" t="str">
        <f>CONCATENATE(N624, IF('Input Sheet'!K626="",""," siderite in "))</f>
        <v/>
      </c>
    </row>
    <row r="625" spans="1:15" x14ac:dyDescent="0.35">
      <c r="A625" s="42" t="str">
        <f>IF('Input Sheet'!C627="","",CONCATENATE("Sample ", 'Input Sheet'!B627, "m: ", M625, G625, "% ", "Siltstone, ", O625, 'Input Sheet'!C627, "% ", I625, " Sandstone, ", K625, J625, " FLUOR in SST. ", "TG ", 'Input Sheet'!I627, "U"))</f>
        <v/>
      </c>
      <c r="B625" s="28" t="str">
        <f>IF('Input Sheet'!C627="","",CONCATENATE("Sample ", 'Input Sheet'!B627, "m: ", N625, H625, "% ", "Siltstone, ", P625, 'Input Sheet'!C627, "% ", J625, " Sandstone "))</f>
        <v/>
      </c>
      <c r="C625" s="28" t="str">
        <f>IF('Input Sheet'!C627="","",CONCATENATE("Sample ", 'Input Sheet'!B627, "m: ", M625,, K625, J625, " FLUOR in SST. ", "TG ", 'Input Sheet'!I627, "U"))</f>
        <v/>
      </c>
      <c r="G625" s="31" t="str">
        <f>IF('Input Sheet'!C627="","",100-'Input Sheet'!C627)</f>
        <v/>
      </c>
      <c r="H6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5" s="31" t="str">
        <f t="shared" si="9"/>
        <v/>
      </c>
      <c r="J6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5" s="31" t="str">
        <f>IF('Input Sheet'!F626=0, "NO",CONCATENATE('Input Sheet'!F626, IF('Input Sheet'!F626&gt;0,"% ","")))</f>
        <v>NO</v>
      </c>
      <c r="L6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5" s="31" t="str">
        <f>CONCATENATE(L625, IF('Input Sheet'!J627="",""," siderite in "))</f>
        <v/>
      </c>
      <c r="N6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5" s="31" t="str">
        <f>CONCATENATE(N625, IF('Input Sheet'!K627="",""," siderite in "))</f>
        <v/>
      </c>
    </row>
    <row r="626" spans="1:15" x14ac:dyDescent="0.35">
      <c r="A626" s="42" t="str">
        <f>IF('Input Sheet'!C628="","",CONCATENATE("Sample ", 'Input Sheet'!B628, "m: ", M626, G626, "% ", "Siltstone, ", O626, 'Input Sheet'!C628, "% ", I626, " Sandstone, ", K626, J626, " FLUOR in SST. ", "TG ", 'Input Sheet'!I628, "U"))</f>
        <v/>
      </c>
      <c r="B626" s="28" t="str">
        <f>IF('Input Sheet'!C628="","",CONCATENATE("Sample ", 'Input Sheet'!B628, "m: ", N626, H626, "% ", "Siltstone, ", P626, 'Input Sheet'!C628, "% ", J626, " Sandstone "))</f>
        <v/>
      </c>
      <c r="C626" s="28" t="str">
        <f>IF('Input Sheet'!C628="","",CONCATENATE("Sample ", 'Input Sheet'!B628, "m: ", M626,, K626, J626, " FLUOR in SST. ", "TG ", 'Input Sheet'!I628, "U"))</f>
        <v/>
      </c>
      <c r="G626" s="31" t="str">
        <f>IF('Input Sheet'!C628="","",100-'Input Sheet'!C628)</f>
        <v/>
      </c>
      <c r="H6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6" s="31" t="str">
        <f t="shared" si="9"/>
        <v/>
      </c>
      <c r="J6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6" s="31" t="str">
        <f>IF('Input Sheet'!F627=0, "NO",CONCATENATE('Input Sheet'!F627, IF('Input Sheet'!F627&gt;0,"% ","")))</f>
        <v>NO</v>
      </c>
      <c r="L6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6" s="31" t="str">
        <f>CONCATENATE(L626, IF('Input Sheet'!J628="",""," siderite in "))</f>
        <v/>
      </c>
      <c r="N6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6" s="31" t="str">
        <f>CONCATENATE(N626, IF('Input Sheet'!K628="",""," siderite in "))</f>
        <v/>
      </c>
    </row>
    <row r="627" spans="1:15" x14ac:dyDescent="0.35">
      <c r="A627" s="42" t="str">
        <f>IF('Input Sheet'!C629="","",CONCATENATE("Sample ", 'Input Sheet'!B629, "m: ", M627, G627, "% ", "Siltstone, ", O627, 'Input Sheet'!C629, "% ", I627, " Sandstone, ", K627, J627, " FLUOR in SST. ", "TG ", 'Input Sheet'!I629, "U"))</f>
        <v/>
      </c>
      <c r="B627" s="28" t="str">
        <f>IF('Input Sheet'!C629="","",CONCATENATE("Sample ", 'Input Sheet'!B629, "m: ", N627, H627, "% ", "Siltstone, ", P627, 'Input Sheet'!C629, "% ", J627, " Sandstone "))</f>
        <v/>
      </c>
      <c r="C627" s="28" t="str">
        <f>IF('Input Sheet'!C629="","",CONCATENATE("Sample ", 'Input Sheet'!B629, "m: ", M627,, K627, J627, " FLUOR in SST. ", "TG ", 'Input Sheet'!I629, "U"))</f>
        <v/>
      </c>
      <c r="G627" s="31" t="str">
        <f>IF('Input Sheet'!C629="","",100-'Input Sheet'!C629)</f>
        <v/>
      </c>
      <c r="H6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7" s="31" t="str">
        <f t="shared" si="9"/>
        <v/>
      </c>
      <c r="J6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7" s="31" t="str">
        <f>IF('Input Sheet'!F628=0, "NO",CONCATENATE('Input Sheet'!F628, IF('Input Sheet'!F628&gt;0,"% ","")))</f>
        <v>NO</v>
      </c>
      <c r="L6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7" s="31" t="str">
        <f>CONCATENATE(L627, IF('Input Sheet'!J629="",""," siderite in "))</f>
        <v/>
      </c>
      <c r="N6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7" s="31" t="str">
        <f>CONCATENATE(N627, IF('Input Sheet'!K629="",""," siderite in "))</f>
        <v/>
      </c>
    </row>
    <row r="628" spans="1:15" x14ac:dyDescent="0.35">
      <c r="A628" s="42" t="str">
        <f>IF('Input Sheet'!C630="","",CONCATENATE("Sample ", 'Input Sheet'!B630, "m: ", M628, G628, "% ", "Siltstone, ", O628, 'Input Sheet'!C630, "% ", I628, " Sandstone, ", K628, J628, " FLUOR in SST. ", "TG ", 'Input Sheet'!I630, "U"))</f>
        <v/>
      </c>
      <c r="B628" s="28" t="str">
        <f>IF('Input Sheet'!C630="","",CONCATENATE("Sample ", 'Input Sheet'!B630, "m: ", N628, H628, "% ", "Siltstone, ", P628, 'Input Sheet'!C630, "% ", J628, " Sandstone "))</f>
        <v/>
      </c>
      <c r="C628" s="28" t="str">
        <f>IF('Input Sheet'!C630="","",CONCATENATE("Sample ", 'Input Sheet'!B630, "m: ", M628,, K628, J628, " FLUOR in SST. ", "TG ", 'Input Sheet'!I630, "U"))</f>
        <v/>
      </c>
      <c r="G628" s="31" t="str">
        <f>IF('Input Sheet'!C630="","",100-'Input Sheet'!C630)</f>
        <v/>
      </c>
      <c r="H6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8" s="31" t="str">
        <f t="shared" si="9"/>
        <v/>
      </c>
      <c r="J6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8" s="31" t="str">
        <f>IF('Input Sheet'!F629=0, "NO",CONCATENATE('Input Sheet'!F629, IF('Input Sheet'!F629&gt;0,"% ","")))</f>
        <v>NO</v>
      </c>
      <c r="L6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8" s="31" t="str">
        <f>CONCATENATE(L628, IF('Input Sheet'!J630="",""," siderite in "))</f>
        <v/>
      </c>
      <c r="N6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8" s="31" t="str">
        <f>CONCATENATE(N628, IF('Input Sheet'!K630="",""," siderite in "))</f>
        <v/>
      </c>
    </row>
    <row r="629" spans="1:15" x14ac:dyDescent="0.35">
      <c r="A629" s="42" t="str">
        <f>IF('Input Sheet'!C631="","",CONCATENATE("Sample ", 'Input Sheet'!B631, "m: ", M629, G629, "% ", "Siltstone, ", O629, 'Input Sheet'!C631, "% ", I629, " Sandstone, ", K629, J629, " FLUOR in SST. ", "TG ", 'Input Sheet'!I631, "U"))</f>
        <v/>
      </c>
      <c r="B629" s="28" t="str">
        <f>IF('Input Sheet'!C631="","",CONCATENATE("Sample ", 'Input Sheet'!B631, "m: ", N629, H629, "% ", "Siltstone, ", P629, 'Input Sheet'!C631, "% ", J629, " Sandstone "))</f>
        <v/>
      </c>
      <c r="C629" s="28" t="str">
        <f>IF('Input Sheet'!C631="","",CONCATENATE("Sample ", 'Input Sheet'!B631, "m: ", M629,, K629, J629, " FLUOR in SST. ", "TG ", 'Input Sheet'!I631, "U"))</f>
        <v/>
      </c>
      <c r="G629" s="31" t="str">
        <f>IF('Input Sheet'!C631="","",100-'Input Sheet'!C631)</f>
        <v/>
      </c>
      <c r="H6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9" s="31" t="str">
        <f t="shared" si="9"/>
        <v/>
      </c>
      <c r="J6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9" s="31" t="str">
        <f>IF('Input Sheet'!F630=0, "NO",CONCATENATE('Input Sheet'!F630, IF('Input Sheet'!F630&gt;0,"% ","")))</f>
        <v>NO</v>
      </c>
      <c r="L6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9" s="31" t="str">
        <f>CONCATENATE(L629, IF('Input Sheet'!J631="",""," siderite in "))</f>
        <v/>
      </c>
      <c r="N6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9" s="31" t="str">
        <f>CONCATENATE(N629, IF('Input Sheet'!K631="",""," siderite in "))</f>
        <v/>
      </c>
    </row>
    <row r="630" spans="1:15" x14ac:dyDescent="0.35">
      <c r="A630" s="42" t="str">
        <f>IF('Input Sheet'!C632="","",CONCATENATE("Sample ", 'Input Sheet'!B632, "m: ", M630, G630, "% ", "Siltstone, ", O630, 'Input Sheet'!C632, "% ", I630, " Sandstone, ", K630, J630, " FLUOR in SST. ", "TG ", 'Input Sheet'!I632, "U"))</f>
        <v/>
      </c>
      <c r="B630" s="28" t="str">
        <f>IF('Input Sheet'!C632="","",CONCATENATE("Sample ", 'Input Sheet'!B632, "m: ", N630, H630, "% ", "Siltstone, ", P630, 'Input Sheet'!C632, "% ", J630, " Sandstone "))</f>
        <v/>
      </c>
      <c r="C630" s="28" t="str">
        <f>IF('Input Sheet'!C632="","",CONCATENATE("Sample ", 'Input Sheet'!B632, "m: ", M630,, K630, J630, " FLUOR in SST. ", "TG ", 'Input Sheet'!I632, "U"))</f>
        <v/>
      </c>
      <c r="G630" s="31" t="str">
        <f>IF('Input Sheet'!C632="","",100-'Input Sheet'!C632)</f>
        <v/>
      </c>
      <c r="H6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0" s="31" t="str">
        <f t="shared" si="9"/>
        <v/>
      </c>
      <c r="J6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0" s="31" t="str">
        <f>IF('Input Sheet'!F631=0, "NO",CONCATENATE('Input Sheet'!F631, IF('Input Sheet'!F631&gt;0,"% ","")))</f>
        <v>NO</v>
      </c>
      <c r="L6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0" s="31" t="str">
        <f>CONCATENATE(L630, IF('Input Sheet'!J632="",""," siderite in "))</f>
        <v/>
      </c>
      <c r="N6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0" s="31" t="str">
        <f>CONCATENATE(N630, IF('Input Sheet'!K632="",""," siderite in "))</f>
        <v/>
      </c>
    </row>
    <row r="631" spans="1:15" x14ac:dyDescent="0.35">
      <c r="A631" s="42" t="str">
        <f>IF('Input Sheet'!C633="","",CONCATENATE("Sample ", 'Input Sheet'!B633, "m: ", M631, G631, "% ", "Siltstone, ", O631, 'Input Sheet'!C633, "% ", I631, " Sandstone, ", K631, J631, " FLUOR in SST. ", "TG ", 'Input Sheet'!I633, "U"))</f>
        <v/>
      </c>
      <c r="B631" s="28" t="str">
        <f>IF('Input Sheet'!C633="","",CONCATENATE("Sample ", 'Input Sheet'!B633, "m: ", N631, H631, "% ", "Siltstone, ", P631, 'Input Sheet'!C633, "% ", J631, " Sandstone "))</f>
        <v/>
      </c>
      <c r="C631" s="28" t="str">
        <f>IF('Input Sheet'!C633="","",CONCATENATE("Sample ", 'Input Sheet'!B633, "m: ", M631,, K631, J631, " FLUOR in SST. ", "TG ", 'Input Sheet'!I633, "U"))</f>
        <v/>
      </c>
      <c r="G631" s="31" t="str">
        <f>IF('Input Sheet'!C633="","",100-'Input Sheet'!C633)</f>
        <v/>
      </c>
      <c r="H6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1" s="31" t="str">
        <f t="shared" si="9"/>
        <v/>
      </c>
      <c r="J6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1" s="31" t="str">
        <f>IF('Input Sheet'!F632=0, "NO",CONCATENATE('Input Sheet'!F632, IF('Input Sheet'!F632&gt;0,"% ","")))</f>
        <v>NO</v>
      </c>
      <c r="L6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1" s="31" t="str">
        <f>CONCATENATE(L631, IF('Input Sheet'!J633="",""," siderite in "))</f>
        <v/>
      </c>
      <c r="N6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1" s="31" t="str">
        <f>CONCATENATE(N631, IF('Input Sheet'!K633="",""," siderite in "))</f>
        <v/>
      </c>
    </row>
    <row r="632" spans="1:15" x14ac:dyDescent="0.35">
      <c r="A632" s="42" t="str">
        <f>IF('Input Sheet'!C634="","",CONCATENATE("Sample ", 'Input Sheet'!B634, "m: ", M632, G632, "% ", "Siltstone, ", O632, 'Input Sheet'!C634, "% ", I632, " Sandstone, ", K632, J632, " FLUOR in SST. ", "TG ", 'Input Sheet'!I634, "U"))</f>
        <v/>
      </c>
      <c r="B632" s="28" t="str">
        <f>IF('Input Sheet'!C634="","",CONCATENATE("Sample ", 'Input Sheet'!B634, "m: ", N632, H632, "% ", "Siltstone, ", P632, 'Input Sheet'!C634, "% ", J632, " Sandstone "))</f>
        <v/>
      </c>
      <c r="C632" s="28" t="str">
        <f>IF('Input Sheet'!C634="","",CONCATENATE("Sample ", 'Input Sheet'!B634, "m: ", M632,, K632, J632, " FLUOR in SST. ", "TG ", 'Input Sheet'!I634, "U"))</f>
        <v/>
      </c>
      <c r="G632" s="31" t="str">
        <f>IF('Input Sheet'!C634="","",100-'Input Sheet'!C634)</f>
        <v/>
      </c>
      <c r="H6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2" s="31" t="str">
        <f t="shared" si="9"/>
        <v/>
      </c>
      <c r="J6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2" s="31" t="str">
        <f>IF('Input Sheet'!F633=0, "NO",CONCATENATE('Input Sheet'!F633, IF('Input Sheet'!F633&gt;0,"% ","")))</f>
        <v>NO</v>
      </c>
      <c r="L6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2" s="31" t="str">
        <f>CONCATENATE(L632, IF('Input Sheet'!J634="",""," siderite in "))</f>
        <v/>
      </c>
      <c r="N6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2" s="31" t="str">
        <f>CONCATENATE(N632, IF('Input Sheet'!K634="",""," siderite in "))</f>
        <v/>
      </c>
    </row>
    <row r="633" spans="1:15" x14ac:dyDescent="0.35">
      <c r="A633" s="42" t="str">
        <f>IF('Input Sheet'!C635="","",CONCATENATE("Sample ", 'Input Sheet'!B635, "m: ", M633, G633, "% ", "Siltstone, ", O633, 'Input Sheet'!C635, "% ", I633, " Sandstone, ", K633, J633, " FLUOR in SST. ", "TG ", 'Input Sheet'!I635, "U"))</f>
        <v/>
      </c>
      <c r="B633" s="28" t="str">
        <f>IF('Input Sheet'!C635="","",CONCATENATE("Sample ", 'Input Sheet'!B635, "m: ", N633, H633, "% ", "Siltstone, ", P633, 'Input Sheet'!C635, "% ", J633, " Sandstone "))</f>
        <v/>
      </c>
      <c r="C633" s="28" t="str">
        <f>IF('Input Sheet'!C635="","",CONCATENATE("Sample ", 'Input Sheet'!B635, "m: ", M633,, K633, J633, " FLUOR in SST. ", "TG ", 'Input Sheet'!I635, "U"))</f>
        <v/>
      </c>
      <c r="G633" s="31" t="str">
        <f>IF('Input Sheet'!C635="","",100-'Input Sheet'!C635)</f>
        <v/>
      </c>
      <c r="H6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3" s="31" t="str">
        <f t="shared" si="9"/>
        <v/>
      </c>
      <c r="J6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3" s="31" t="str">
        <f>IF('Input Sheet'!F634=0, "NO",CONCATENATE('Input Sheet'!F634, IF('Input Sheet'!F634&gt;0,"% ","")))</f>
        <v>NO</v>
      </c>
      <c r="L6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3" s="31" t="str">
        <f>CONCATENATE(L633, IF('Input Sheet'!J635="",""," siderite in "))</f>
        <v/>
      </c>
      <c r="N6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3" s="31" t="str">
        <f>CONCATENATE(N633, IF('Input Sheet'!K635="",""," siderite in "))</f>
        <v/>
      </c>
    </row>
    <row r="634" spans="1:15" x14ac:dyDescent="0.35">
      <c r="A634" s="42" t="str">
        <f>IF('Input Sheet'!C636="","",CONCATENATE("Sample ", 'Input Sheet'!B636, "m: ", M634, G634, "% ", "Siltstone, ", O634, 'Input Sheet'!C636, "% ", I634, " Sandstone, ", K634, J634, " FLUOR in SST. ", "TG ", 'Input Sheet'!I636, "U"))</f>
        <v/>
      </c>
      <c r="B634" s="28" t="str">
        <f>IF('Input Sheet'!C636="","",CONCATENATE("Sample ", 'Input Sheet'!B636, "m: ", N634, H634, "% ", "Siltstone, ", P634, 'Input Sheet'!C636, "% ", J634, " Sandstone "))</f>
        <v/>
      </c>
      <c r="C634" s="28" t="str">
        <f>IF('Input Sheet'!C636="","",CONCATENATE("Sample ", 'Input Sheet'!B636, "m: ", M634,, K634, J634, " FLUOR in SST. ", "TG ", 'Input Sheet'!I636, "U"))</f>
        <v/>
      </c>
      <c r="G634" s="31" t="str">
        <f>IF('Input Sheet'!C636="","",100-'Input Sheet'!C636)</f>
        <v/>
      </c>
      <c r="H6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4" s="31" t="str">
        <f t="shared" si="9"/>
        <v/>
      </c>
      <c r="J6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4" s="31" t="str">
        <f>IF('Input Sheet'!F635=0, "NO",CONCATENATE('Input Sheet'!F635, IF('Input Sheet'!F635&gt;0,"% ","")))</f>
        <v>NO</v>
      </c>
      <c r="L6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4" s="31" t="str">
        <f>CONCATENATE(L634, IF('Input Sheet'!J636="",""," siderite in "))</f>
        <v/>
      </c>
      <c r="N6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4" s="31" t="str">
        <f>CONCATENATE(N634, IF('Input Sheet'!K636="",""," siderite in "))</f>
        <v/>
      </c>
    </row>
    <row r="635" spans="1:15" x14ac:dyDescent="0.35">
      <c r="A635" s="42" t="str">
        <f>IF('Input Sheet'!C637="","",CONCATENATE("Sample ", 'Input Sheet'!B637, "m: ", M635, G635, "% ", "Siltstone, ", O635, 'Input Sheet'!C637, "% ", I635, " Sandstone, ", K635, J635, " FLUOR in SST. ", "TG ", 'Input Sheet'!I637, "U"))</f>
        <v/>
      </c>
      <c r="B635" s="28" t="str">
        <f>IF('Input Sheet'!C637="","",CONCATENATE("Sample ", 'Input Sheet'!B637, "m: ", N635, H635, "% ", "Siltstone, ", P635, 'Input Sheet'!C637, "% ", J635, " Sandstone "))</f>
        <v/>
      </c>
      <c r="C635" s="28" t="str">
        <f>IF('Input Sheet'!C637="","",CONCATENATE("Sample ", 'Input Sheet'!B637, "m: ", M635,, K635, J635, " FLUOR in SST. ", "TG ", 'Input Sheet'!I637, "U"))</f>
        <v/>
      </c>
      <c r="G635" s="31" t="str">
        <f>IF('Input Sheet'!C637="","",100-'Input Sheet'!C637)</f>
        <v/>
      </c>
      <c r="H6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5" s="31" t="str">
        <f t="shared" si="9"/>
        <v/>
      </c>
      <c r="J6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5" s="31" t="str">
        <f>IF('Input Sheet'!F636=0, "NO",CONCATENATE('Input Sheet'!F636, IF('Input Sheet'!F636&gt;0,"% ","")))</f>
        <v>NO</v>
      </c>
      <c r="L6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5" s="31" t="str">
        <f>CONCATENATE(L635, IF('Input Sheet'!J637="",""," siderite in "))</f>
        <v/>
      </c>
      <c r="N6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5" s="31" t="str">
        <f>CONCATENATE(N635, IF('Input Sheet'!K637="",""," siderite in "))</f>
        <v/>
      </c>
    </row>
    <row r="636" spans="1:15" x14ac:dyDescent="0.35">
      <c r="A636" s="42" t="str">
        <f>IF('Input Sheet'!C638="","",CONCATENATE("Sample ", 'Input Sheet'!B638, "m: ", M636, G636, "% ", "Siltstone, ", O636, 'Input Sheet'!C638, "% ", I636, " Sandstone, ", K636, J636, " FLUOR in SST. ", "TG ", 'Input Sheet'!I638, "U"))</f>
        <v/>
      </c>
      <c r="B636" s="28" t="str">
        <f>IF('Input Sheet'!C638="","",CONCATENATE("Sample ", 'Input Sheet'!B638, "m: ", N636, H636, "% ", "Siltstone, ", P636, 'Input Sheet'!C638, "% ", J636, " Sandstone "))</f>
        <v/>
      </c>
      <c r="C636" s="28" t="str">
        <f>IF('Input Sheet'!C638="","",CONCATENATE("Sample ", 'Input Sheet'!B638, "m: ", M636,, K636, J636, " FLUOR in SST. ", "TG ", 'Input Sheet'!I638, "U"))</f>
        <v/>
      </c>
      <c r="G636" s="31" t="str">
        <f>IF('Input Sheet'!C638="","",100-'Input Sheet'!C638)</f>
        <v/>
      </c>
      <c r="H6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6" s="31" t="str">
        <f t="shared" si="9"/>
        <v/>
      </c>
      <c r="J6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6" s="31" t="str">
        <f>IF('Input Sheet'!F637=0, "NO",CONCATENATE('Input Sheet'!F637, IF('Input Sheet'!F637&gt;0,"% ","")))</f>
        <v>NO</v>
      </c>
      <c r="L6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6" s="31" t="str">
        <f>CONCATENATE(L636, IF('Input Sheet'!J638="",""," siderite in "))</f>
        <v/>
      </c>
      <c r="N6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6" s="31" t="str">
        <f>CONCATENATE(N636, IF('Input Sheet'!K638="",""," siderite in "))</f>
        <v/>
      </c>
    </row>
    <row r="637" spans="1:15" x14ac:dyDescent="0.35">
      <c r="A637" s="42" t="str">
        <f>IF('Input Sheet'!C639="","",CONCATENATE("Sample ", 'Input Sheet'!B639, "m: ", M637, G637, "% ", "Siltstone, ", O637, 'Input Sheet'!C639, "% ", I637, " Sandstone, ", K637, J637, " FLUOR in SST. ", "TG ", 'Input Sheet'!I639, "U"))</f>
        <v/>
      </c>
      <c r="B637" s="28" t="str">
        <f>IF('Input Sheet'!C639="","",CONCATENATE("Sample ", 'Input Sheet'!B639, "m: ", N637, H637, "% ", "Siltstone, ", P637, 'Input Sheet'!C639, "% ", J637, " Sandstone "))</f>
        <v/>
      </c>
      <c r="C637" s="28" t="str">
        <f>IF('Input Sheet'!C639="","",CONCATENATE("Sample ", 'Input Sheet'!B639, "m: ", M637,, K637, J637, " FLUOR in SST. ", "TG ", 'Input Sheet'!I639, "U"))</f>
        <v/>
      </c>
      <c r="G637" s="31" t="str">
        <f>IF('Input Sheet'!C639="","",100-'Input Sheet'!C639)</f>
        <v/>
      </c>
      <c r="H6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7" s="31" t="str">
        <f t="shared" si="9"/>
        <v/>
      </c>
      <c r="J6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7" s="31" t="str">
        <f>IF('Input Sheet'!F638=0, "NO",CONCATENATE('Input Sheet'!F638, IF('Input Sheet'!F638&gt;0,"% ","")))</f>
        <v>NO</v>
      </c>
      <c r="L6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7" s="31" t="str">
        <f>CONCATENATE(L637, IF('Input Sheet'!J639="",""," siderite in "))</f>
        <v/>
      </c>
      <c r="N6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7" s="31" t="str">
        <f>CONCATENATE(N637, IF('Input Sheet'!K639="",""," siderite in "))</f>
        <v/>
      </c>
    </row>
    <row r="638" spans="1:15" x14ac:dyDescent="0.35">
      <c r="A638" s="42" t="str">
        <f>IF('Input Sheet'!C640="","",CONCATENATE("Sample ", 'Input Sheet'!B640, "m: ", M638, G638, "% ", "Siltstone, ", O638, 'Input Sheet'!C640, "% ", I638, " Sandstone, ", K638, J638, " FLUOR in SST. ", "TG ", 'Input Sheet'!I640, "U"))</f>
        <v/>
      </c>
      <c r="B638" s="28" t="str">
        <f>IF('Input Sheet'!C640="","",CONCATENATE("Sample ", 'Input Sheet'!B640, "m: ", N638, H638, "% ", "Siltstone, ", P638, 'Input Sheet'!C640, "% ", J638, " Sandstone "))</f>
        <v/>
      </c>
      <c r="C638" s="28" t="str">
        <f>IF('Input Sheet'!C640="","",CONCATENATE("Sample ", 'Input Sheet'!B640, "m: ", M638,, K638, J638, " FLUOR in SST. ", "TG ", 'Input Sheet'!I640, "U"))</f>
        <v/>
      </c>
      <c r="G638" s="31" t="str">
        <f>IF('Input Sheet'!C640="","",100-'Input Sheet'!C640)</f>
        <v/>
      </c>
      <c r="H6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8" s="31" t="str">
        <f t="shared" si="9"/>
        <v/>
      </c>
      <c r="J6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8" s="31" t="str">
        <f>IF('Input Sheet'!F639=0, "NO",CONCATENATE('Input Sheet'!F639, IF('Input Sheet'!F639&gt;0,"% ","")))</f>
        <v>NO</v>
      </c>
      <c r="L6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8" s="31" t="str">
        <f>CONCATENATE(L638, IF('Input Sheet'!J640="",""," siderite in "))</f>
        <v/>
      </c>
      <c r="N6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8" s="31" t="str">
        <f>CONCATENATE(N638, IF('Input Sheet'!K640="",""," siderite in "))</f>
        <v/>
      </c>
    </row>
    <row r="639" spans="1:15" x14ac:dyDescent="0.35">
      <c r="A639" s="42" t="str">
        <f>IF('Input Sheet'!C641="","",CONCATENATE("Sample ", 'Input Sheet'!B641, "m: ", M639, G639, "% ", "Siltstone, ", O639, 'Input Sheet'!C641, "% ", I639, " Sandstone, ", K639, J639, " FLUOR in SST. ", "TG ", 'Input Sheet'!I641, "U"))</f>
        <v/>
      </c>
      <c r="B639" s="28" t="str">
        <f>IF('Input Sheet'!C641="","",CONCATENATE("Sample ", 'Input Sheet'!B641, "m: ", N639, H639, "% ", "Siltstone, ", P639, 'Input Sheet'!C641, "% ", J639, " Sandstone "))</f>
        <v/>
      </c>
      <c r="C639" s="28" t="str">
        <f>IF('Input Sheet'!C641="","",CONCATENATE("Sample ", 'Input Sheet'!B641, "m: ", M639,, K639, J639, " FLUOR in SST. ", "TG ", 'Input Sheet'!I641, "U"))</f>
        <v/>
      </c>
      <c r="G639" s="31" t="str">
        <f>IF('Input Sheet'!C641="","",100-'Input Sheet'!C641)</f>
        <v/>
      </c>
      <c r="H6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9" s="31" t="str">
        <f t="shared" si="9"/>
        <v/>
      </c>
      <c r="J6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9" s="31" t="str">
        <f>IF('Input Sheet'!F640=0, "NO",CONCATENATE('Input Sheet'!F640, IF('Input Sheet'!F640&gt;0,"% ","")))</f>
        <v>NO</v>
      </c>
      <c r="L6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9" s="31" t="str">
        <f>CONCATENATE(L639, IF('Input Sheet'!J641="",""," siderite in "))</f>
        <v/>
      </c>
      <c r="N6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9" s="31" t="str">
        <f>CONCATENATE(N639, IF('Input Sheet'!K641="",""," siderite in "))</f>
        <v/>
      </c>
    </row>
    <row r="640" spans="1:15" x14ac:dyDescent="0.35">
      <c r="A640" s="42" t="str">
        <f>IF('Input Sheet'!C642="","",CONCATENATE("Sample ", 'Input Sheet'!B642, "m: ", M640, G640, "% ", "Siltstone, ", O640, 'Input Sheet'!C642, "% ", I640, " Sandstone, ", K640, J640, " FLUOR in SST. ", "TG ", 'Input Sheet'!I642, "U"))</f>
        <v/>
      </c>
      <c r="B640" s="28" t="str">
        <f>IF('Input Sheet'!C642="","",CONCATENATE("Sample ", 'Input Sheet'!B642, "m: ", N640, H640, "% ", "Siltstone, ", P640, 'Input Sheet'!C642, "% ", J640, " Sandstone "))</f>
        <v/>
      </c>
      <c r="C640" s="28" t="str">
        <f>IF('Input Sheet'!C642="","",CONCATENATE("Sample ", 'Input Sheet'!B642, "m: ", M640,, K640, J640, " FLUOR in SST. ", "TG ", 'Input Sheet'!I642, "U"))</f>
        <v/>
      </c>
      <c r="G640" s="31" t="str">
        <f>IF('Input Sheet'!C642="","",100-'Input Sheet'!C642)</f>
        <v/>
      </c>
      <c r="H6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0" s="31" t="str">
        <f t="shared" si="9"/>
        <v/>
      </c>
      <c r="J6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0" s="31" t="str">
        <f>IF('Input Sheet'!F641=0, "NO",CONCATENATE('Input Sheet'!F641, IF('Input Sheet'!F641&gt;0,"% ","")))</f>
        <v>NO</v>
      </c>
      <c r="L6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0" s="31" t="str">
        <f>CONCATENATE(L640, IF('Input Sheet'!J642="",""," siderite in "))</f>
        <v/>
      </c>
      <c r="N6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0" s="31" t="str">
        <f>CONCATENATE(N640, IF('Input Sheet'!K642="",""," siderite in "))</f>
        <v/>
      </c>
    </row>
    <row r="641" spans="1:15" x14ac:dyDescent="0.35">
      <c r="A641" s="42" t="str">
        <f>IF('Input Sheet'!C643="","",CONCATENATE("Sample ", 'Input Sheet'!B643, "m: ", M641, G641, "% ", "Siltstone, ", O641, 'Input Sheet'!C643, "% ", I641, " Sandstone, ", K641, J641, " FLUOR in SST. ", "TG ", 'Input Sheet'!I643, "U"))</f>
        <v/>
      </c>
      <c r="B641" s="28" t="str">
        <f>IF('Input Sheet'!C643="","",CONCATENATE("Sample ", 'Input Sheet'!B643, "m: ", N641, H641, "% ", "Siltstone, ", P641, 'Input Sheet'!C643, "% ", J641, " Sandstone "))</f>
        <v/>
      </c>
      <c r="C641" s="28" t="str">
        <f>IF('Input Sheet'!C643="","",CONCATENATE("Sample ", 'Input Sheet'!B643, "m: ", M641,, K641, J641, " FLUOR in SST. ", "TG ", 'Input Sheet'!I643, "U"))</f>
        <v/>
      </c>
      <c r="G641" s="31" t="str">
        <f>IF('Input Sheet'!C643="","",100-'Input Sheet'!C643)</f>
        <v/>
      </c>
      <c r="H6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1" s="31" t="str">
        <f t="shared" si="9"/>
        <v/>
      </c>
      <c r="J6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1" s="31" t="str">
        <f>IF('Input Sheet'!F642=0, "NO",CONCATENATE('Input Sheet'!F642, IF('Input Sheet'!F642&gt;0,"% ","")))</f>
        <v>NO</v>
      </c>
      <c r="L6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1" s="31" t="str">
        <f>CONCATENATE(L641, IF('Input Sheet'!J643="",""," siderite in "))</f>
        <v/>
      </c>
      <c r="N6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1" s="31" t="str">
        <f>CONCATENATE(N641, IF('Input Sheet'!K643="",""," siderite in "))</f>
        <v/>
      </c>
    </row>
    <row r="642" spans="1:15" x14ac:dyDescent="0.35">
      <c r="A642" s="42" t="str">
        <f>IF('Input Sheet'!C644="","",CONCATENATE("Sample ", 'Input Sheet'!B644, "m: ", M642, G642, "% ", "Siltstone, ", O642, 'Input Sheet'!C644, "% ", I642, " Sandstone, ", K642, J642, " FLUOR in SST. ", "TG ", 'Input Sheet'!I644, "U"))</f>
        <v/>
      </c>
      <c r="B642" s="28" t="str">
        <f>IF('Input Sheet'!C644="","",CONCATENATE("Sample ", 'Input Sheet'!B644, "m: ", N642, H642, "% ", "Siltstone, ", P642, 'Input Sheet'!C644, "% ", J642, " Sandstone "))</f>
        <v/>
      </c>
      <c r="C642" s="28" t="str">
        <f>IF('Input Sheet'!C644="","",CONCATENATE("Sample ", 'Input Sheet'!B644, "m: ", M642,, K642, J642, " FLUOR in SST. ", "TG ", 'Input Sheet'!I644, "U"))</f>
        <v/>
      </c>
      <c r="G642" s="31" t="str">
        <f>IF('Input Sheet'!C644="","",100-'Input Sheet'!C644)</f>
        <v/>
      </c>
      <c r="H6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2" s="31" t="str">
        <f t="shared" ref="I642:I705" si="10">SUBSTITUTE(H642, "veryfine", "very fine")</f>
        <v/>
      </c>
      <c r="J6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2" s="31" t="str">
        <f>IF('Input Sheet'!F643=0, "NO",CONCATENATE('Input Sheet'!F643, IF('Input Sheet'!F643&gt;0,"% ","")))</f>
        <v>NO</v>
      </c>
      <c r="L6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2" s="31" t="str">
        <f>CONCATENATE(L642, IF('Input Sheet'!J644="",""," siderite in "))</f>
        <v/>
      </c>
      <c r="N6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2" s="31" t="str">
        <f>CONCATENATE(N642, IF('Input Sheet'!K644="",""," siderite in "))</f>
        <v/>
      </c>
    </row>
    <row r="643" spans="1:15" x14ac:dyDescent="0.35">
      <c r="A643" s="42" t="str">
        <f>IF('Input Sheet'!C645="","",CONCATENATE("Sample ", 'Input Sheet'!B645, "m: ", M643, G643, "% ", "Siltstone, ", O643, 'Input Sheet'!C645, "% ", I643, " Sandstone, ", K643, J643, " FLUOR in SST. ", "TG ", 'Input Sheet'!I645, "U"))</f>
        <v/>
      </c>
      <c r="B643" s="28" t="str">
        <f>IF('Input Sheet'!C645="","",CONCATENATE("Sample ", 'Input Sheet'!B645, "m: ", N643, H643, "% ", "Siltstone, ", P643, 'Input Sheet'!C645, "% ", J643, " Sandstone "))</f>
        <v/>
      </c>
      <c r="C643" s="28" t="str">
        <f>IF('Input Sheet'!C645="","",CONCATENATE("Sample ", 'Input Sheet'!B645, "m: ", M643,, K643, J643, " FLUOR in SST. ", "TG ", 'Input Sheet'!I645, "U"))</f>
        <v/>
      </c>
      <c r="G643" s="31" t="str">
        <f>IF('Input Sheet'!C645="","",100-'Input Sheet'!C645)</f>
        <v/>
      </c>
      <c r="H6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3" s="31" t="str">
        <f t="shared" si="10"/>
        <v/>
      </c>
      <c r="J6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3" s="31" t="str">
        <f>IF('Input Sheet'!F644=0, "NO",CONCATENATE('Input Sheet'!F644, IF('Input Sheet'!F644&gt;0,"% ","")))</f>
        <v>NO</v>
      </c>
      <c r="L6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3" s="31" t="str">
        <f>CONCATENATE(L643, IF('Input Sheet'!J645="",""," siderite in "))</f>
        <v/>
      </c>
      <c r="N6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3" s="31" t="str">
        <f>CONCATENATE(N643, IF('Input Sheet'!K645="",""," siderite in "))</f>
        <v/>
      </c>
    </row>
    <row r="644" spans="1:15" x14ac:dyDescent="0.35">
      <c r="A644" s="42" t="str">
        <f>IF('Input Sheet'!C646="","",CONCATENATE("Sample ", 'Input Sheet'!B646, "m: ", M644, G644, "% ", "Siltstone, ", O644, 'Input Sheet'!C646, "% ", I644, " Sandstone, ", K644, J644, " FLUOR in SST. ", "TG ", 'Input Sheet'!I646, "U"))</f>
        <v/>
      </c>
      <c r="B644" s="28" t="str">
        <f>IF('Input Sheet'!C646="","",CONCATENATE("Sample ", 'Input Sheet'!B646, "m: ", N644, H644, "% ", "Siltstone, ", P644, 'Input Sheet'!C646, "% ", J644, " Sandstone "))</f>
        <v/>
      </c>
      <c r="C644" s="28" t="str">
        <f>IF('Input Sheet'!C646="","",CONCATENATE("Sample ", 'Input Sheet'!B646, "m: ", M644,, K644, J644, " FLUOR in SST. ", "TG ", 'Input Sheet'!I646, "U"))</f>
        <v/>
      </c>
      <c r="G644" s="31" t="str">
        <f>IF('Input Sheet'!C646="","",100-'Input Sheet'!C646)</f>
        <v/>
      </c>
      <c r="H6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4" s="31" t="str">
        <f t="shared" si="10"/>
        <v/>
      </c>
      <c r="J6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4" s="31" t="str">
        <f>IF('Input Sheet'!F645=0, "NO",CONCATENATE('Input Sheet'!F645, IF('Input Sheet'!F645&gt;0,"% ","")))</f>
        <v>NO</v>
      </c>
      <c r="L6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4" s="31" t="str">
        <f>CONCATENATE(L644, IF('Input Sheet'!J646="",""," siderite in "))</f>
        <v/>
      </c>
      <c r="N6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4" s="31" t="str">
        <f>CONCATENATE(N644, IF('Input Sheet'!K646="",""," siderite in "))</f>
        <v/>
      </c>
    </row>
    <row r="645" spans="1:15" x14ac:dyDescent="0.35">
      <c r="A645" s="42" t="str">
        <f>IF('Input Sheet'!C647="","",CONCATENATE("Sample ", 'Input Sheet'!B647, "m: ", M645, G645, "% ", "Siltstone, ", O645, 'Input Sheet'!C647, "% ", I645, " Sandstone, ", K645, J645, " FLUOR in SST. ", "TG ", 'Input Sheet'!I647, "U"))</f>
        <v/>
      </c>
      <c r="B645" s="28" t="str">
        <f>IF('Input Sheet'!C647="","",CONCATENATE("Sample ", 'Input Sheet'!B647, "m: ", N645, H645, "% ", "Siltstone, ", P645, 'Input Sheet'!C647, "% ", J645, " Sandstone "))</f>
        <v/>
      </c>
      <c r="C645" s="28" t="str">
        <f>IF('Input Sheet'!C647="","",CONCATENATE("Sample ", 'Input Sheet'!B647, "m: ", M645,, K645, J645, " FLUOR in SST. ", "TG ", 'Input Sheet'!I647, "U"))</f>
        <v/>
      </c>
      <c r="G645" s="31" t="str">
        <f>IF('Input Sheet'!C647="","",100-'Input Sheet'!C647)</f>
        <v/>
      </c>
      <c r="H6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5" s="31" t="str">
        <f t="shared" si="10"/>
        <v/>
      </c>
      <c r="J6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5" s="31" t="str">
        <f>IF('Input Sheet'!F646=0, "NO",CONCATENATE('Input Sheet'!F646, IF('Input Sheet'!F646&gt;0,"% ","")))</f>
        <v>NO</v>
      </c>
      <c r="L6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5" s="31" t="str">
        <f>CONCATENATE(L645, IF('Input Sheet'!J647="",""," siderite in "))</f>
        <v/>
      </c>
      <c r="N6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5" s="31" t="str">
        <f>CONCATENATE(N645, IF('Input Sheet'!K647="",""," siderite in "))</f>
        <v/>
      </c>
    </row>
    <row r="646" spans="1:15" x14ac:dyDescent="0.35">
      <c r="A646" s="42" t="str">
        <f>IF('Input Sheet'!C648="","",CONCATENATE("Sample ", 'Input Sheet'!B648, "m: ", M646, G646, "% ", "Siltstone, ", O646, 'Input Sheet'!C648, "% ", I646, " Sandstone, ", K646, J646, " FLUOR in SST. ", "TG ", 'Input Sheet'!I648, "U"))</f>
        <v/>
      </c>
      <c r="B646" s="28" t="str">
        <f>IF('Input Sheet'!C648="","",CONCATENATE("Sample ", 'Input Sheet'!B648, "m: ", N646, H646, "% ", "Siltstone, ", P646, 'Input Sheet'!C648, "% ", J646, " Sandstone "))</f>
        <v/>
      </c>
      <c r="C646" s="28" t="str">
        <f>IF('Input Sheet'!C648="","",CONCATENATE("Sample ", 'Input Sheet'!B648, "m: ", M646,, K646, J646, " FLUOR in SST. ", "TG ", 'Input Sheet'!I648, "U"))</f>
        <v/>
      </c>
      <c r="G646" s="31" t="str">
        <f>IF('Input Sheet'!C648="","",100-'Input Sheet'!C648)</f>
        <v/>
      </c>
      <c r="H6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6" s="31" t="str">
        <f t="shared" si="10"/>
        <v/>
      </c>
      <c r="J6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6" s="31" t="str">
        <f>IF('Input Sheet'!F647=0, "NO",CONCATENATE('Input Sheet'!F647, IF('Input Sheet'!F647&gt;0,"% ","")))</f>
        <v>NO</v>
      </c>
      <c r="L6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6" s="31" t="str">
        <f>CONCATENATE(L646, IF('Input Sheet'!J648="",""," siderite in "))</f>
        <v/>
      </c>
      <c r="N6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6" s="31" t="str">
        <f>CONCATENATE(N646, IF('Input Sheet'!K648="",""," siderite in "))</f>
        <v/>
      </c>
    </row>
    <row r="647" spans="1:15" x14ac:dyDescent="0.35">
      <c r="A647" s="42" t="str">
        <f>IF('Input Sheet'!C649="","",CONCATENATE("Sample ", 'Input Sheet'!B649, "m: ", M647, G647, "% ", "Siltstone, ", O647, 'Input Sheet'!C649, "% ", I647, " Sandstone, ", K647, J647, " FLUOR in SST. ", "TG ", 'Input Sheet'!I649, "U"))</f>
        <v/>
      </c>
      <c r="B647" s="28" t="str">
        <f>IF('Input Sheet'!C649="","",CONCATENATE("Sample ", 'Input Sheet'!B649, "m: ", N647, H647, "% ", "Siltstone, ", P647, 'Input Sheet'!C649, "% ", J647, " Sandstone "))</f>
        <v/>
      </c>
      <c r="C647" s="28" t="str">
        <f>IF('Input Sheet'!C649="","",CONCATENATE("Sample ", 'Input Sheet'!B649, "m: ", M647,, K647, J647, " FLUOR in SST. ", "TG ", 'Input Sheet'!I649, "U"))</f>
        <v/>
      </c>
      <c r="G647" s="31" t="str">
        <f>IF('Input Sheet'!C649="","",100-'Input Sheet'!C649)</f>
        <v/>
      </c>
      <c r="H6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7" s="31" t="str">
        <f t="shared" si="10"/>
        <v/>
      </c>
      <c r="J6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7" s="31" t="str">
        <f>IF('Input Sheet'!F648=0, "NO",CONCATENATE('Input Sheet'!F648, IF('Input Sheet'!F648&gt;0,"% ","")))</f>
        <v>NO</v>
      </c>
      <c r="L6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7" s="31" t="str">
        <f>CONCATENATE(L647, IF('Input Sheet'!J649="",""," siderite in "))</f>
        <v/>
      </c>
      <c r="N6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7" s="31" t="str">
        <f>CONCATENATE(N647, IF('Input Sheet'!K649="",""," siderite in "))</f>
        <v/>
      </c>
    </row>
    <row r="648" spans="1:15" x14ac:dyDescent="0.35">
      <c r="A648" s="42" t="str">
        <f>IF('Input Sheet'!C650="","",CONCATENATE("Sample ", 'Input Sheet'!B650, "m: ", M648, G648, "% ", "Siltstone, ", O648, 'Input Sheet'!C650, "% ", I648, " Sandstone, ", K648, J648, " FLUOR in SST. ", "TG ", 'Input Sheet'!I650, "U"))</f>
        <v/>
      </c>
      <c r="B648" s="28" t="str">
        <f>IF('Input Sheet'!C650="","",CONCATENATE("Sample ", 'Input Sheet'!B650, "m: ", N648, H648, "% ", "Siltstone, ", P648, 'Input Sheet'!C650, "% ", J648, " Sandstone "))</f>
        <v/>
      </c>
      <c r="C648" s="28" t="str">
        <f>IF('Input Sheet'!C650="","",CONCATENATE("Sample ", 'Input Sheet'!B650, "m: ", M648,, K648, J648, " FLUOR in SST. ", "TG ", 'Input Sheet'!I650, "U"))</f>
        <v/>
      </c>
      <c r="G648" s="31" t="str">
        <f>IF('Input Sheet'!C650="","",100-'Input Sheet'!C650)</f>
        <v/>
      </c>
      <c r="H6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8" s="31" t="str">
        <f t="shared" si="10"/>
        <v/>
      </c>
      <c r="J6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8" s="31" t="str">
        <f>IF('Input Sheet'!F649=0, "NO",CONCATENATE('Input Sheet'!F649, IF('Input Sheet'!F649&gt;0,"% ","")))</f>
        <v>NO</v>
      </c>
      <c r="L6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8" s="31" t="str">
        <f>CONCATENATE(L648, IF('Input Sheet'!J650="",""," siderite in "))</f>
        <v/>
      </c>
      <c r="N6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8" s="31" t="str">
        <f>CONCATENATE(N648, IF('Input Sheet'!K650="",""," siderite in "))</f>
        <v/>
      </c>
    </row>
    <row r="649" spans="1:15" x14ac:dyDescent="0.35">
      <c r="A649" s="42" t="str">
        <f>IF('Input Sheet'!C651="","",CONCATENATE("Sample ", 'Input Sheet'!B651, "m: ", M649, G649, "% ", "Siltstone, ", O649, 'Input Sheet'!C651, "% ", I649, " Sandstone, ", K649, J649, " FLUOR in SST. ", "TG ", 'Input Sheet'!I651, "U"))</f>
        <v/>
      </c>
      <c r="B649" s="28" t="str">
        <f>IF('Input Sheet'!C651="","",CONCATENATE("Sample ", 'Input Sheet'!B651, "m: ", N649, H649, "% ", "Siltstone, ", P649, 'Input Sheet'!C651, "% ", J649, " Sandstone "))</f>
        <v/>
      </c>
      <c r="C649" s="28" t="str">
        <f>IF('Input Sheet'!C651="","",CONCATENATE("Sample ", 'Input Sheet'!B651, "m: ", M649,, K649, J649, " FLUOR in SST. ", "TG ", 'Input Sheet'!I651, "U"))</f>
        <v/>
      </c>
      <c r="G649" s="31" t="str">
        <f>IF('Input Sheet'!C651="","",100-'Input Sheet'!C651)</f>
        <v/>
      </c>
      <c r="H6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9" s="31" t="str">
        <f t="shared" si="10"/>
        <v/>
      </c>
      <c r="J6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9" s="31" t="str">
        <f>IF('Input Sheet'!F650=0, "NO",CONCATENATE('Input Sheet'!F650, IF('Input Sheet'!F650&gt;0,"% ","")))</f>
        <v>NO</v>
      </c>
      <c r="L6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9" s="31" t="str">
        <f>CONCATENATE(L649, IF('Input Sheet'!J651="",""," siderite in "))</f>
        <v/>
      </c>
      <c r="N6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9" s="31" t="str">
        <f>CONCATENATE(N649, IF('Input Sheet'!K651="",""," siderite in "))</f>
        <v/>
      </c>
    </row>
    <row r="650" spans="1:15" x14ac:dyDescent="0.35">
      <c r="A650" s="42" t="str">
        <f>IF('Input Sheet'!C652="","",CONCATENATE("Sample ", 'Input Sheet'!B652, "m: ", M650, G650, "% ", "Siltstone, ", O650, 'Input Sheet'!C652, "% ", I650, " Sandstone, ", K650, J650, " FLUOR in SST. ", "TG ", 'Input Sheet'!I652, "U"))</f>
        <v/>
      </c>
      <c r="B650" s="28" t="str">
        <f>IF('Input Sheet'!C652="","",CONCATENATE("Sample ", 'Input Sheet'!B652, "m: ", N650, H650, "% ", "Siltstone, ", P650, 'Input Sheet'!C652, "% ", J650, " Sandstone "))</f>
        <v/>
      </c>
      <c r="C650" s="28" t="str">
        <f>IF('Input Sheet'!C652="","",CONCATENATE("Sample ", 'Input Sheet'!B652, "m: ", M650,, K650, J650, " FLUOR in SST. ", "TG ", 'Input Sheet'!I652, "U"))</f>
        <v/>
      </c>
      <c r="G650" s="31" t="str">
        <f>IF('Input Sheet'!C652="","",100-'Input Sheet'!C652)</f>
        <v/>
      </c>
      <c r="H6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0" s="31" t="str">
        <f t="shared" si="10"/>
        <v/>
      </c>
      <c r="J6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0" s="31" t="str">
        <f>IF('Input Sheet'!F651=0, "NO",CONCATENATE('Input Sheet'!F651, IF('Input Sheet'!F651&gt;0,"% ","")))</f>
        <v>NO</v>
      </c>
      <c r="L6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0" s="31" t="str">
        <f>CONCATENATE(L650, IF('Input Sheet'!J652="",""," siderite in "))</f>
        <v/>
      </c>
      <c r="N6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0" s="31" t="str">
        <f>CONCATENATE(N650, IF('Input Sheet'!K652="",""," siderite in "))</f>
        <v/>
      </c>
    </row>
    <row r="651" spans="1:15" x14ac:dyDescent="0.35">
      <c r="A651" s="42" t="str">
        <f>IF('Input Sheet'!C653="","",CONCATENATE("Sample ", 'Input Sheet'!B653, "m: ", M651, G651, "% ", "Siltstone, ", O651, 'Input Sheet'!C653, "% ", I651, " Sandstone, ", K651, J651, " FLUOR in SST. ", "TG ", 'Input Sheet'!I653, "U"))</f>
        <v/>
      </c>
      <c r="B651" s="28" t="str">
        <f>IF('Input Sheet'!C653="","",CONCATENATE("Sample ", 'Input Sheet'!B653, "m: ", N651, H651, "% ", "Siltstone, ", P651, 'Input Sheet'!C653, "% ", J651, " Sandstone "))</f>
        <v/>
      </c>
      <c r="C651" s="28" t="str">
        <f>IF('Input Sheet'!C653="","",CONCATENATE("Sample ", 'Input Sheet'!B653, "m: ", M651,, K651, J651, " FLUOR in SST. ", "TG ", 'Input Sheet'!I653, "U"))</f>
        <v/>
      </c>
      <c r="G651" s="31" t="str">
        <f>IF('Input Sheet'!C653="","",100-'Input Sheet'!C653)</f>
        <v/>
      </c>
      <c r="H6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1" s="31" t="str">
        <f t="shared" si="10"/>
        <v/>
      </c>
      <c r="J6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1" s="31" t="str">
        <f>IF('Input Sheet'!F652=0, "NO",CONCATENATE('Input Sheet'!F652, IF('Input Sheet'!F652&gt;0,"% ","")))</f>
        <v>NO</v>
      </c>
      <c r="L6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1" s="31" t="str">
        <f>CONCATENATE(L651, IF('Input Sheet'!J653="",""," siderite in "))</f>
        <v/>
      </c>
      <c r="N6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1" s="31" t="str">
        <f>CONCATENATE(N651, IF('Input Sheet'!K653="",""," siderite in "))</f>
        <v/>
      </c>
    </row>
    <row r="652" spans="1:15" x14ac:dyDescent="0.35">
      <c r="A652" s="42" t="str">
        <f>IF('Input Sheet'!C654="","",CONCATENATE("Sample ", 'Input Sheet'!B654, "m: ", M652, G652, "% ", "Siltstone, ", O652, 'Input Sheet'!C654, "% ", I652, " Sandstone, ", K652, J652, " FLUOR in SST. ", "TG ", 'Input Sheet'!I654, "U"))</f>
        <v/>
      </c>
      <c r="B652" s="28" t="str">
        <f>IF('Input Sheet'!C654="","",CONCATENATE("Sample ", 'Input Sheet'!B654, "m: ", N652, H652, "% ", "Siltstone, ", P652, 'Input Sheet'!C654, "% ", J652, " Sandstone "))</f>
        <v/>
      </c>
      <c r="C652" s="28" t="str">
        <f>IF('Input Sheet'!C654="","",CONCATENATE("Sample ", 'Input Sheet'!B654, "m: ", M652,, K652, J652, " FLUOR in SST. ", "TG ", 'Input Sheet'!I654, "U"))</f>
        <v/>
      </c>
      <c r="G652" s="31" t="str">
        <f>IF('Input Sheet'!C654="","",100-'Input Sheet'!C654)</f>
        <v/>
      </c>
      <c r="H6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2" s="31" t="str">
        <f t="shared" si="10"/>
        <v/>
      </c>
      <c r="J6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2" s="31" t="str">
        <f>IF('Input Sheet'!F653=0, "NO",CONCATENATE('Input Sheet'!F653, IF('Input Sheet'!F653&gt;0,"% ","")))</f>
        <v>NO</v>
      </c>
      <c r="L6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2" s="31" t="str">
        <f>CONCATENATE(L652, IF('Input Sheet'!J654="",""," siderite in "))</f>
        <v/>
      </c>
      <c r="N6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2" s="31" t="str">
        <f>CONCATENATE(N652, IF('Input Sheet'!K654="",""," siderite in "))</f>
        <v/>
      </c>
    </row>
    <row r="653" spans="1:15" x14ac:dyDescent="0.35">
      <c r="A653" s="42" t="str">
        <f>IF('Input Sheet'!C655="","",CONCATENATE("Sample ", 'Input Sheet'!B655, "m: ", M653, G653, "% ", "Siltstone, ", O653, 'Input Sheet'!C655, "% ", I653, " Sandstone, ", K653, J653, " FLUOR in SST. ", "TG ", 'Input Sheet'!I655, "U"))</f>
        <v/>
      </c>
      <c r="B653" s="28" t="str">
        <f>IF('Input Sheet'!C655="","",CONCATENATE("Sample ", 'Input Sheet'!B655, "m: ", N653, H653, "% ", "Siltstone, ", P653, 'Input Sheet'!C655, "% ", J653, " Sandstone "))</f>
        <v/>
      </c>
      <c r="C653" s="28" t="str">
        <f>IF('Input Sheet'!C655="","",CONCATENATE("Sample ", 'Input Sheet'!B655, "m: ", M653,, K653, J653, " FLUOR in SST. ", "TG ", 'Input Sheet'!I655, "U"))</f>
        <v/>
      </c>
      <c r="G653" s="31" t="str">
        <f>IF('Input Sheet'!C655="","",100-'Input Sheet'!C655)</f>
        <v/>
      </c>
      <c r="H6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3" s="31" t="str">
        <f t="shared" si="10"/>
        <v/>
      </c>
      <c r="J6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3" s="31" t="str">
        <f>IF('Input Sheet'!F654=0, "NO",CONCATENATE('Input Sheet'!F654, IF('Input Sheet'!F654&gt;0,"% ","")))</f>
        <v>NO</v>
      </c>
      <c r="L6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3" s="31" t="str">
        <f>CONCATENATE(L653, IF('Input Sheet'!J655="",""," siderite in "))</f>
        <v/>
      </c>
      <c r="N6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3" s="31" t="str">
        <f>CONCATENATE(N653, IF('Input Sheet'!K655="",""," siderite in "))</f>
        <v/>
      </c>
    </row>
    <row r="654" spans="1:15" x14ac:dyDescent="0.35">
      <c r="A654" s="42" t="str">
        <f>IF('Input Sheet'!C656="","",CONCATENATE("Sample ", 'Input Sheet'!B656, "m: ", M654, G654, "% ", "Siltstone, ", O654, 'Input Sheet'!C656, "% ", I654, " Sandstone, ", K654, J654, " FLUOR in SST. ", "TG ", 'Input Sheet'!I656, "U"))</f>
        <v/>
      </c>
      <c r="B654" s="28" t="str">
        <f>IF('Input Sheet'!C656="","",CONCATENATE("Sample ", 'Input Sheet'!B656, "m: ", N654, H654, "% ", "Siltstone, ", P654, 'Input Sheet'!C656, "% ", J654, " Sandstone "))</f>
        <v/>
      </c>
      <c r="C654" s="28" t="str">
        <f>IF('Input Sheet'!C656="","",CONCATENATE("Sample ", 'Input Sheet'!B656, "m: ", M654,, K654, J654, " FLUOR in SST. ", "TG ", 'Input Sheet'!I656, "U"))</f>
        <v/>
      </c>
      <c r="G654" s="31" t="str">
        <f>IF('Input Sheet'!C656="","",100-'Input Sheet'!C656)</f>
        <v/>
      </c>
      <c r="H6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4" s="31" t="str">
        <f t="shared" si="10"/>
        <v/>
      </c>
      <c r="J6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4" s="31" t="str">
        <f>IF('Input Sheet'!F655=0, "NO",CONCATENATE('Input Sheet'!F655, IF('Input Sheet'!F655&gt;0,"% ","")))</f>
        <v>NO</v>
      </c>
      <c r="L6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4" s="31" t="str">
        <f>CONCATENATE(L654, IF('Input Sheet'!J656="",""," siderite in "))</f>
        <v/>
      </c>
      <c r="N6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4" s="31" t="str">
        <f>CONCATENATE(N654, IF('Input Sheet'!K656="",""," siderite in "))</f>
        <v/>
      </c>
    </row>
    <row r="655" spans="1:15" x14ac:dyDescent="0.35">
      <c r="A655" s="42" t="str">
        <f>IF('Input Sheet'!C657="","",CONCATENATE("Sample ", 'Input Sheet'!B657, "m: ", M655, G655, "% ", "Siltstone, ", O655, 'Input Sheet'!C657, "% ", I655, " Sandstone, ", K655, J655, " FLUOR in SST. ", "TG ", 'Input Sheet'!I657, "U"))</f>
        <v/>
      </c>
      <c r="B655" s="28" t="str">
        <f>IF('Input Sheet'!C657="","",CONCATENATE("Sample ", 'Input Sheet'!B657, "m: ", N655, H655, "% ", "Siltstone, ", P655, 'Input Sheet'!C657, "% ", J655, " Sandstone "))</f>
        <v/>
      </c>
      <c r="C655" s="28" t="str">
        <f>IF('Input Sheet'!C657="","",CONCATENATE("Sample ", 'Input Sheet'!B657, "m: ", M655,, K655, J655, " FLUOR in SST. ", "TG ", 'Input Sheet'!I657, "U"))</f>
        <v/>
      </c>
      <c r="G655" s="31" t="str">
        <f>IF('Input Sheet'!C657="","",100-'Input Sheet'!C657)</f>
        <v/>
      </c>
      <c r="H6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5" s="31" t="str">
        <f t="shared" si="10"/>
        <v/>
      </c>
      <c r="J6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5" s="31" t="str">
        <f>IF('Input Sheet'!F656=0, "NO",CONCATENATE('Input Sheet'!F656, IF('Input Sheet'!F656&gt;0,"% ","")))</f>
        <v>NO</v>
      </c>
      <c r="L6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5" s="31" t="str">
        <f>CONCATENATE(L655, IF('Input Sheet'!J657="",""," siderite in "))</f>
        <v/>
      </c>
      <c r="N6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5" s="31" t="str">
        <f>CONCATENATE(N655, IF('Input Sheet'!K657="",""," siderite in "))</f>
        <v/>
      </c>
    </row>
    <row r="656" spans="1:15" x14ac:dyDescent="0.35">
      <c r="A656" s="42" t="str">
        <f>IF('Input Sheet'!C658="","",CONCATENATE("Sample ", 'Input Sheet'!B658, "m: ", M656, G656, "% ", "Siltstone, ", O656, 'Input Sheet'!C658, "% ", I656, " Sandstone, ", K656, J656, " FLUOR in SST. ", "TG ", 'Input Sheet'!I658, "U"))</f>
        <v/>
      </c>
      <c r="B656" s="28" t="str">
        <f>IF('Input Sheet'!C658="","",CONCATENATE("Sample ", 'Input Sheet'!B658, "m: ", N656, H656, "% ", "Siltstone, ", P656, 'Input Sheet'!C658, "% ", J656, " Sandstone "))</f>
        <v/>
      </c>
      <c r="C656" s="28" t="str">
        <f>IF('Input Sheet'!C658="","",CONCATENATE("Sample ", 'Input Sheet'!B658, "m: ", M656,, K656, J656, " FLUOR in SST. ", "TG ", 'Input Sheet'!I658, "U"))</f>
        <v/>
      </c>
      <c r="G656" s="31" t="str">
        <f>IF('Input Sheet'!C658="","",100-'Input Sheet'!C658)</f>
        <v/>
      </c>
      <c r="H6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6" s="31" t="str">
        <f t="shared" si="10"/>
        <v/>
      </c>
      <c r="J6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6" s="31" t="str">
        <f>IF('Input Sheet'!F657=0, "NO",CONCATENATE('Input Sheet'!F657, IF('Input Sheet'!F657&gt;0,"% ","")))</f>
        <v>NO</v>
      </c>
      <c r="L6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6" s="31" t="str">
        <f>CONCATENATE(L656, IF('Input Sheet'!J658="",""," siderite in "))</f>
        <v/>
      </c>
      <c r="N6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6" s="31" t="str">
        <f>CONCATENATE(N656, IF('Input Sheet'!K658="",""," siderite in "))</f>
        <v/>
      </c>
    </row>
    <row r="657" spans="1:15" x14ac:dyDescent="0.35">
      <c r="A657" s="42" t="str">
        <f>IF('Input Sheet'!C659="","",CONCATENATE("Sample ", 'Input Sheet'!B659, "m: ", M657, G657, "% ", "Siltstone, ", O657, 'Input Sheet'!C659, "% ", I657, " Sandstone, ", K657, J657, " FLUOR in SST. ", "TG ", 'Input Sheet'!I659, "U"))</f>
        <v/>
      </c>
      <c r="B657" s="28" t="str">
        <f>IF('Input Sheet'!C659="","",CONCATENATE("Sample ", 'Input Sheet'!B659, "m: ", N657, H657, "% ", "Siltstone, ", P657, 'Input Sheet'!C659, "% ", J657, " Sandstone "))</f>
        <v/>
      </c>
      <c r="C657" s="28" t="str">
        <f>IF('Input Sheet'!C659="","",CONCATENATE("Sample ", 'Input Sheet'!B659, "m: ", M657,, K657, J657, " FLUOR in SST. ", "TG ", 'Input Sheet'!I659, "U"))</f>
        <v/>
      </c>
      <c r="G657" s="31" t="str">
        <f>IF('Input Sheet'!C659="","",100-'Input Sheet'!C659)</f>
        <v/>
      </c>
      <c r="H6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7" s="31" t="str">
        <f t="shared" si="10"/>
        <v/>
      </c>
      <c r="J6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7" s="31" t="str">
        <f>IF('Input Sheet'!F658=0, "NO",CONCATENATE('Input Sheet'!F658, IF('Input Sheet'!F658&gt;0,"% ","")))</f>
        <v>NO</v>
      </c>
      <c r="L6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7" s="31" t="str">
        <f>CONCATENATE(L657, IF('Input Sheet'!J659="",""," siderite in "))</f>
        <v/>
      </c>
      <c r="N6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7" s="31" t="str">
        <f>CONCATENATE(N657, IF('Input Sheet'!K659="",""," siderite in "))</f>
        <v/>
      </c>
    </row>
    <row r="658" spans="1:15" x14ac:dyDescent="0.35">
      <c r="A658" s="42" t="str">
        <f>IF('Input Sheet'!C660="","",CONCATENATE("Sample ", 'Input Sheet'!B660, "m: ", M658, G658, "% ", "Siltstone, ", O658, 'Input Sheet'!C660, "% ", I658, " Sandstone, ", K658, J658, " FLUOR in SST. ", "TG ", 'Input Sheet'!I660, "U"))</f>
        <v/>
      </c>
      <c r="B658" s="28" t="str">
        <f>IF('Input Sheet'!C660="","",CONCATENATE("Sample ", 'Input Sheet'!B660, "m: ", N658, H658, "% ", "Siltstone, ", P658, 'Input Sheet'!C660, "% ", J658, " Sandstone "))</f>
        <v/>
      </c>
      <c r="C658" s="28" t="str">
        <f>IF('Input Sheet'!C660="","",CONCATENATE("Sample ", 'Input Sheet'!B660, "m: ", M658,, K658, J658, " FLUOR in SST. ", "TG ", 'Input Sheet'!I660, "U"))</f>
        <v/>
      </c>
      <c r="G658" s="31" t="str">
        <f>IF('Input Sheet'!C660="","",100-'Input Sheet'!C660)</f>
        <v/>
      </c>
      <c r="H6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8" s="31" t="str">
        <f t="shared" si="10"/>
        <v/>
      </c>
      <c r="J6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8" s="31" t="str">
        <f>IF('Input Sheet'!F659=0, "NO",CONCATENATE('Input Sheet'!F659, IF('Input Sheet'!F659&gt;0,"% ","")))</f>
        <v>NO</v>
      </c>
      <c r="L6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8" s="31" t="str">
        <f>CONCATENATE(L658, IF('Input Sheet'!J660="",""," siderite in "))</f>
        <v/>
      </c>
      <c r="N6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8" s="31" t="str">
        <f>CONCATENATE(N658, IF('Input Sheet'!K660="",""," siderite in "))</f>
        <v/>
      </c>
    </row>
    <row r="659" spans="1:15" x14ac:dyDescent="0.35">
      <c r="A659" s="42" t="str">
        <f>IF('Input Sheet'!C661="","",CONCATENATE("Sample ", 'Input Sheet'!B661, "m: ", M659, G659, "% ", "Siltstone, ", O659, 'Input Sheet'!C661, "% ", I659, " Sandstone, ", K659, J659, " FLUOR in SST. ", "TG ", 'Input Sheet'!I661, "U"))</f>
        <v/>
      </c>
      <c r="B659" s="28" t="str">
        <f>IF('Input Sheet'!C661="","",CONCATENATE("Sample ", 'Input Sheet'!B661, "m: ", N659, H659, "% ", "Siltstone, ", P659, 'Input Sheet'!C661, "% ", J659, " Sandstone "))</f>
        <v/>
      </c>
      <c r="C659" s="28" t="str">
        <f>IF('Input Sheet'!C661="","",CONCATENATE("Sample ", 'Input Sheet'!B661, "m: ", M659,, K659, J659, " FLUOR in SST. ", "TG ", 'Input Sheet'!I661, "U"))</f>
        <v/>
      </c>
      <c r="G659" s="31" t="str">
        <f>IF('Input Sheet'!C661="","",100-'Input Sheet'!C661)</f>
        <v/>
      </c>
      <c r="H6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9" s="31" t="str">
        <f t="shared" si="10"/>
        <v/>
      </c>
      <c r="J6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9" s="31" t="str">
        <f>IF('Input Sheet'!F660=0, "NO",CONCATENATE('Input Sheet'!F660, IF('Input Sheet'!F660&gt;0,"% ","")))</f>
        <v>NO</v>
      </c>
      <c r="L6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9" s="31" t="str">
        <f>CONCATENATE(L659, IF('Input Sheet'!J661="",""," siderite in "))</f>
        <v/>
      </c>
      <c r="N6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9" s="31" t="str">
        <f>CONCATENATE(N659, IF('Input Sheet'!K661="",""," siderite in "))</f>
        <v/>
      </c>
    </row>
    <row r="660" spans="1:15" x14ac:dyDescent="0.35">
      <c r="A660" s="42" t="str">
        <f>IF('Input Sheet'!C662="","",CONCATENATE("Sample ", 'Input Sheet'!B662, "m: ", M660, G660, "% ", "Siltstone, ", O660, 'Input Sheet'!C662, "% ", I660, " Sandstone, ", K660, J660, " FLUOR in SST. ", "TG ", 'Input Sheet'!I662, "U"))</f>
        <v/>
      </c>
      <c r="B660" s="28" t="str">
        <f>IF('Input Sheet'!C662="","",CONCATENATE("Sample ", 'Input Sheet'!B662, "m: ", N660, H660, "% ", "Siltstone, ", P660, 'Input Sheet'!C662, "% ", J660, " Sandstone "))</f>
        <v/>
      </c>
      <c r="C660" s="28" t="str">
        <f>IF('Input Sheet'!C662="","",CONCATENATE("Sample ", 'Input Sheet'!B662, "m: ", M660,, K660, J660, " FLUOR in SST. ", "TG ", 'Input Sheet'!I662, "U"))</f>
        <v/>
      </c>
      <c r="G660" s="31" t="str">
        <f>IF('Input Sheet'!C662="","",100-'Input Sheet'!C662)</f>
        <v/>
      </c>
      <c r="H6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0" s="31" t="str">
        <f t="shared" si="10"/>
        <v/>
      </c>
      <c r="J6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0" s="31" t="str">
        <f>IF('Input Sheet'!F661=0, "NO",CONCATENATE('Input Sheet'!F661, IF('Input Sheet'!F661&gt;0,"% ","")))</f>
        <v>NO</v>
      </c>
      <c r="L6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0" s="31" t="str">
        <f>CONCATENATE(L660, IF('Input Sheet'!J662="",""," siderite in "))</f>
        <v/>
      </c>
      <c r="N6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0" s="31" t="str">
        <f>CONCATENATE(N660, IF('Input Sheet'!K662="",""," siderite in "))</f>
        <v/>
      </c>
    </row>
    <row r="661" spans="1:15" x14ac:dyDescent="0.35">
      <c r="A661" s="42" t="str">
        <f>IF('Input Sheet'!C663="","",CONCATENATE("Sample ", 'Input Sheet'!B663, "m: ", M661, G661, "% ", "Siltstone, ", O661, 'Input Sheet'!C663, "% ", I661, " Sandstone, ", K661, J661, " FLUOR in SST. ", "TG ", 'Input Sheet'!I663, "U"))</f>
        <v/>
      </c>
      <c r="B661" s="28" t="str">
        <f>IF('Input Sheet'!C663="","",CONCATENATE("Sample ", 'Input Sheet'!B663, "m: ", N661, H661, "% ", "Siltstone, ", P661, 'Input Sheet'!C663, "% ", J661, " Sandstone "))</f>
        <v/>
      </c>
      <c r="C661" s="28" t="str">
        <f>IF('Input Sheet'!C663="","",CONCATENATE("Sample ", 'Input Sheet'!B663, "m: ", M661,, K661, J661, " FLUOR in SST. ", "TG ", 'Input Sheet'!I663, "U"))</f>
        <v/>
      </c>
      <c r="G661" s="31" t="str">
        <f>IF('Input Sheet'!C663="","",100-'Input Sheet'!C663)</f>
        <v/>
      </c>
      <c r="H6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1" s="31" t="str">
        <f t="shared" si="10"/>
        <v/>
      </c>
      <c r="J6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1" s="31" t="str">
        <f>IF('Input Sheet'!F662=0, "NO",CONCATENATE('Input Sheet'!F662, IF('Input Sheet'!F662&gt;0,"% ","")))</f>
        <v>NO</v>
      </c>
      <c r="L6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1" s="31" t="str">
        <f>CONCATENATE(L661, IF('Input Sheet'!J663="",""," siderite in "))</f>
        <v/>
      </c>
      <c r="N6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1" s="31" t="str">
        <f>CONCATENATE(N661, IF('Input Sheet'!K663="",""," siderite in "))</f>
        <v/>
      </c>
    </row>
    <row r="662" spans="1:15" x14ac:dyDescent="0.35">
      <c r="A662" s="42" t="str">
        <f>IF('Input Sheet'!C664="","",CONCATENATE("Sample ", 'Input Sheet'!B664, "m: ", M662, G662, "% ", "Siltstone, ", O662, 'Input Sheet'!C664, "% ", I662, " Sandstone, ", K662, J662, " FLUOR in SST. ", "TG ", 'Input Sheet'!I664, "U"))</f>
        <v/>
      </c>
      <c r="B662" s="28" t="str">
        <f>IF('Input Sheet'!C664="","",CONCATENATE("Sample ", 'Input Sheet'!B664, "m: ", N662, H662, "% ", "Siltstone, ", P662, 'Input Sheet'!C664, "% ", J662, " Sandstone "))</f>
        <v/>
      </c>
      <c r="C662" s="28" t="str">
        <f>IF('Input Sheet'!C664="","",CONCATENATE("Sample ", 'Input Sheet'!B664, "m: ", M662,, K662, J662, " FLUOR in SST. ", "TG ", 'Input Sheet'!I664, "U"))</f>
        <v/>
      </c>
      <c r="G662" s="31" t="str">
        <f>IF('Input Sheet'!C664="","",100-'Input Sheet'!C664)</f>
        <v/>
      </c>
      <c r="H6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2" s="31" t="str">
        <f t="shared" si="10"/>
        <v/>
      </c>
      <c r="J6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2" s="31" t="str">
        <f>IF('Input Sheet'!F663=0, "NO",CONCATENATE('Input Sheet'!F663, IF('Input Sheet'!F663&gt;0,"% ","")))</f>
        <v>NO</v>
      </c>
      <c r="L6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2" s="31" t="str">
        <f>CONCATENATE(L662, IF('Input Sheet'!J664="",""," siderite in "))</f>
        <v/>
      </c>
      <c r="N6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2" s="31" t="str">
        <f>CONCATENATE(N662, IF('Input Sheet'!K664="",""," siderite in "))</f>
        <v/>
      </c>
    </row>
    <row r="663" spans="1:15" x14ac:dyDescent="0.35">
      <c r="A663" s="42" t="str">
        <f>IF('Input Sheet'!C665="","",CONCATENATE("Sample ", 'Input Sheet'!B665, "m: ", M663, G663, "% ", "Siltstone, ", O663, 'Input Sheet'!C665, "% ", I663, " Sandstone, ", K663, J663, " FLUOR in SST. ", "TG ", 'Input Sheet'!I665, "U"))</f>
        <v/>
      </c>
      <c r="B663" s="28" t="str">
        <f>IF('Input Sheet'!C665="","",CONCATENATE("Sample ", 'Input Sheet'!B665, "m: ", N663, H663, "% ", "Siltstone, ", P663, 'Input Sheet'!C665, "% ", J663, " Sandstone "))</f>
        <v/>
      </c>
      <c r="C663" s="28" t="str">
        <f>IF('Input Sheet'!C665="","",CONCATENATE("Sample ", 'Input Sheet'!B665, "m: ", M663,, K663, J663, " FLUOR in SST. ", "TG ", 'Input Sheet'!I665, "U"))</f>
        <v/>
      </c>
      <c r="G663" s="31" t="str">
        <f>IF('Input Sheet'!C665="","",100-'Input Sheet'!C665)</f>
        <v/>
      </c>
      <c r="H6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3" s="31" t="str">
        <f t="shared" si="10"/>
        <v/>
      </c>
      <c r="J6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3" s="31" t="str">
        <f>IF('Input Sheet'!F664=0, "NO",CONCATENATE('Input Sheet'!F664, IF('Input Sheet'!F664&gt;0,"% ","")))</f>
        <v>NO</v>
      </c>
      <c r="L6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3" s="31" t="str">
        <f>CONCATENATE(L663, IF('Input Sheet'!J665="",""," siderite in "))</f>
        <v/>
      </c>
      <c r="N6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3" s="31" t="str">
        <f>CONCATENATE(N663, IF('Input Sheet'!K665="",""," siderite in "))</f>
        <v/>
      </c>
    </row>
    <row r="664" spans="1:15" x14ac:dyDescent="0.35">
      <c r="A664" s="42" t="str">
        <f>IF('Input Sheet'!C666="","",CONCATENATE("Sample ", 'Input Sheet'!B666, "m: ", M664, G664, "% ", "Siltstone, ", O664, 'Input Sheet'!C666, "% ", I664, " Sandstone, ", K664, J664, " FLUOR in SST. ", "TG ", 'Input Sheet'!I666, "U"))</f>
        <v/>
      </c>
      <c r="B664" s="28" t="str">
        <f>IF('Input Sheet'!C666="","",CONCATENATE("Sample ", 'Input Sheet'!B666, "m: ", N664, H664, "% ", "Siltstone, ", P664, 'Input Sheet'!C666, "% ", J664, " Sandstone "))</f>
        <v/>
      </c>
      <c r="C664" s="28" t="str">
        <f>IF('Input Sheet'!C666="","",CONCATENATE("Sample ", 'Input Sheet'!B666, "m: ", M664,, K664, J664, " FLUOR in SST. ", "TG ", 'Input Sheet'!I666, "U"))</f>
        <v/>
      </c>
      <c r="G664" s="31" t="str">
        <f>IF('Input Sheet'!C666="","",100-'Input Sheet'!C666)</f>
        <v/>
      </c>
      <c r="H6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4" s="31" t="str">
        <f t="shared" si="10"/>
        <v/>
      </c>
      <c r="J6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4" s="31" t="str">
        <f>IF('Input Sheet'!F665=0, "NO",CONCATENATE('Input Sheet'!F665, IF('Input Sheet'!F665&gt;0,"% ","")))</f>
        <v>NO</v>
      </c>
      <c r="L6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4" s="31" t="str">
        <f>CONCATENATE(L664, IF('Input Sheet'!J666="",""," siderite in "))</f>
        <v/>
      </c>
      <c r="N6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4" s="31" t="str">
        <f>CONCATENATE(N664, IF('Input Sheet'!K666="",""," siderite in "))</f>
        <v/>
      </c>
    </row>
    <row r="665" spans="1:15" x14ac:dyDescent="0.35">
      <c r="A665" s="42" t="str">
        <f>IF('Input Sheet'!C667="","",CONCATENATE("Sample ", 'Input Sheet'!B667, "m: ", M665, G665, "% ", "Siltstone, ", O665, 'Input Sheet'!C667, "% ", I665, " Sandstone, ", K665, J665, " FLUOR in SST. ", "TG ", 'Input Sheet'!I667, "U"))</f>
        <v/>
      </c>
      <c r="B665" s="28" t="str">
        <f>IF('Input Sheet'!C667="","",CONCATENATE("Sample ", 'Input Sheet'!B667, "m: ", N665, H665, "% ", "Siltstone, ", P665, 'Input Sheet'!C667, "% ", J665, " Sandstone "))</f>
        <v/>
      </c>
      <c r="C665" s="28" t="str">
        <f>IF('Input Sheet'!C667="","",CONCATENATE("Sample ", 'Input Sheet'!B667, "m: ", M665,, K665, J665, " FLUOR in SST. ", "TG ", 'Input Sheet'!I667, "U"))</f>
        <v/>
      </c>
      <c r="G665" s="31" t="str">
        <f>IF('Input Sheet'!C667="","",100-'Input Sheet'!C667)</f>
        <v/>
      </c>
      <c r="H6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5" s="31" t="str">
        <f t="shared" si="10"/>
        <v/>
      </c>
      <c r="J6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5" s="31" t="str">
        <f>IF('Input Sheet'!F666=0, "NO",CONCATENATE('Input Sheet'!F666, IF('Input Sheet'!F666&gt;0,"% ","")))</f>
        <v>NO</v>
      </c>
      <c r="L6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5" s="31" t="str">
        <f>CONCATENATE(L665, IF('Input Sheet'!J667="",""," siderite in "))</f>
        <v/>
      </c>
      <c r="N6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5" s="31" t="str">
        <f>CONCATENATE(N665, IF('Input Sheet'!K667="",""," siderite in "))</f>
        <v/>
      </c>
    </row>
    <row r="666" spans="1:15" x14ac:dyDescent="0.35">
      <c r="A666" s="42" t="str">
        <f>IF('Input Sheet'!C668="","",CONCATENATE("Sample ", 'Input Sheet'!B668, "m: ", M666, G666, "% ", "Siltstone, ", O666, 'Input Sheet'!C668, "% ", I666, " Sandstone, ", K666, J666, " FLUOR in SST. ", "TG ", 'Input Sheet'!I668, "U"))</f>
        <v/>
      </c>
      <c r="B666" s="28" t="str">
        <f>IF('Input Sheet'!C668="","",CONCATENATE("Sample ", 'Input Sheet'!B668, "m: ", N666, H666, "% ", "Siltstone, ", P666, 'Input Sheet'!C668, "% ", J666, " Sandstone "))</f>
        <v/>
      </c>
      <c r="C666" s="28" t="str">
        <f>IF('Input Sheet'!C668="","",CONCATENATE("Sample ", 'Input Sheet'!B668, "m: ", M666,, K666, J666, " FLUOR in SST. ", "TG ", 'Input Sheet'!I668, "U"))</f>
        <v/>
      </c>
      <c r="G666" s="31" t="str">
        <f>IF('Input Sheet'!C668="","",100-'Input Sheet'!C668)</f>
        <v/>
      </c>
      <c r="H6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6" s="31" t="str">
        <f t="shared" si="10"/>
        <v/>
      </c>
      <c r="J6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6" s="31" t="str">
        <f>IF('Input Sheet'!F667=0, "NO",CONCATENATE('Input Sheet'!F667, IF('Input Sheet'!F667&gt;0,"% ","")))</f>
        <v>NO</v>
      </c>
      <c r="L6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6" s="31" t="str">
        <f>CONCATENATE(L666, IF('Input Sheet'!J668="",""," siderite in "))</f>
        <v/>
      </c>
      <c r="N6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6" s="31" t="str">
        <f>CONCATENATE(N666, IF('Input Sheet'!K668="",""," siderite in "))</f>
        <v/>
      </c>
    </row>
    <row r="667" spans="1:15" x14ac:dyDescent="0.35">
      <c r="A667" s="42" t="str">
        <f>IF('Input Sheet'!C669="","",CONCATENATE("Sample ", 'Input Sheet'!B669, "m: ", M667, G667, "% ", "Siltstone, ", O667, 'Input Sheet'!C669, "% ", I667, " Sandstone, ", K667, J667, " FLUOR in SST. ", "TG ", 'Input Sheet'!I669, "U"))</f>
        <v/>
      </c>
      <c r="B667" s="28" t="str">
        <f>IF('Input Sheet'!C669="","",CONCATENATE("Sample ", 'Input Sheet'!B669, "m: ", N667, H667, "% ", "Siltstone, ", P667, 'Input Sheet'!C669, "% ", J667, " Sandstone "))</f>
        <v/>
      </c>
      <c r="C667" s="28" t="str">
        <f>IF('Input Sheet'!C669="","",CONCATENATE("Sample ", 'Input Sheet'!B669, "m: ", M667,, K667, J667, " FLUOR in SST. ", "TG ", 'Input Sheet'!I669, "U"))</f>
        <v/>
      </c>
      <c r="G667" s="31" t="str">
        <f>IF('Input Sheet'!C669="","",100-'Input Sheet'!C669)</f>
        <v/>
      </c>
      <c r="H6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7" s="31" t="str">
        <f t="shared" si="10"/>
        <v/>
      </c>
      <c r="J6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7" s="31" t="str">
        <f>IF('Input Sheet'!F668=0, "NO",CONCATENATE('Input Sheet'!F668, IF('Input Sheet'!F668&gt;0,"% ","")))</f>
        <v>NO</v>
      </c>
      <c r="L6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7" s="31" t="str">
        <f>CONCATENATE(L667, IF('Input Sheet'!J669="",""," siderite in "))</f>
        <v/>
      </c>
      <c r="N6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7" s="31" t="str">
        <f>CONCATENATE(N667, IF('Input Sheet'!K669="",""," siderite in "))</f>
        <v/>
      </c>
    </row>
    <row r="668" spans="1:15" x14ac:dyDescent="0.35">
      <c r="A668" s="42" t="str">
        <f>IF('Input Sheet'!C670="","",CONCATENATE("Sample ", 'Input Sheet'!B670, "m: ", M668, G668, "% ", "Siltstone, ", O668, 'Input Sheet'!C670, "% ", I668, " Sandstone, ", K668, J668, " FLUOR in SST. ", "TG ", 'Input Sheet'!I670, "U"))</f>
        <v/>
      </c>
      <c r="B668" s="28" t="str">
        <f>IF('Input Sheet'!C670="","",CONCATENATE("Sample ", 'Input Sheet'!B670, "m: ", N668, H668, "% ", "Siltstone, ", P668, 'Input Sheet'!C670, "% ", J668, " Sandstone "))</f>
        <v/>
      </c>
      <c r="C668" s="28" t="str">
        <f>IF('Input Sheet'!C670="","",CONCATENATE("Sample ", 'Input Sheet'!B670, "m: ", M668,, K668, J668, " FLUOR in SST. ", "TG ", 'Input Sheet'!I670, "U"))</f>
        <v/>
      </c>
      <c r="G668" s="31" t="str">
        <f>IF('Input Sheet'!C670="","",100-'Input Sheet'!C670)</f>
        <v/>
      </c>
      <c r="H6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8" s="31" t="str">
        <f t="shared" si="10"/>
        <v/>
      </c>
      <c r="J6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8" s="31" t="str">
        <f>IF('Input Sheet'!F669=0, "NO",CONCATENATE('Input Sheet'!F669, IF('Input Sheet'!F669&gt;0,"% ","")))</f>
        <v>NO</v>
      </c>
      <c r="L6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8" s="31" t="str">
        <f>CONCATENATE(L668, IF('Input Sheet'!J670="",""," siderite in "))</f>
        <v/>
      </c>
      <c r="N6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8" s="31" t="str">
        <f>CONCATENATE(N668, IF('Input Sheet'!K670="",""," siderite in "))</f>
        <v/>
      </c>
    </row>
    <row r="669" spans="1:15" x14ac:dyDescent="0.35">
      <c r="A669" s="42" t="str">
        <f>IF('Input Sheet'!C671="","",CONCATENATE("Sample ", 'Input Sheet'!B671, "m: ", M669, G669, "% ", "Siltstone, ", O669, 'Input Sheet'!C671, "% ", I669, " Sandstone, ", K669, J669, " FLUOR in SST. ", "TG ", 'Input Sheet'!I671, "U"))</f>
        <v/>
      </c>
      <c r="B669" s="28" t="str">
        <f>IF('Input Sheet'!C671="","",CONCATENATE("Sample ", 'Input Sheet'!B671, "m: ", N669, H669, "% ", "Siltstone, ", P669, 'Input Sheet'!C671, "% ", J669, " Sandstone "))</f>
        <v/>
      </c>
      <c r="C669" s="28" t="str">
        <f>IF('Input Sheet'!C671="","",CONCATENATE("Sample ", 'Input Sheet'!B671, "m: ", M669,, K669, J669, " FLUOR in SST. ", "TG ", 'Input Sheet'!I671, "U"))</f>
        <v/>
      </c>
      <c r="G669" s="31" t="str">
        <f>IF('Input Sheet'!C671="","",100-'Input Sheet'!C671)</f>
        <v/>
      </c>
      <c r="H6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9" s="31" t="str">
        <f t="shared" si="10"/>
        <v/>
      </c>
      <c r="J6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9" s="31" t="str">
        <f>IF('Input Sheet'!F670=0, "NO",CONCATENATE('Input Sheet'!F670, IF('Input Sheet'!F670&gt;0,"% ","")))</f>
        <v>NO</v>
      </c>
      <c r="L6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9" s="31" t="str">
        <f>CONCATENATE(L669, IF('Input Sheet'!J671="",""," siderite in "))</f>
        <v/>
      </c>
      <c r="N6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9" s="31" t="str">
        <f>CONCATENATE(N669, IF('Input Sheet'!K671="",""," siderite in "))</f>
        <v/>
      </c>
    </row>
    <row r="670" spans="1:15" x14ac:dyDescent="0.35">
      <c r="A670" s="42" t="str">
        <f>IF('Input Sheet'!C672="","",CONCATENATE("Sample ", 'Input Sheet'!B672, "m: ", M670, G670, "% ", "Siltstone, ", O670, 'Input Sheet'!C672, "% ", I670, " Sandstone, ", K670, J670, " FLUOR in SST. ", "TG ", 'Input Sheet'!I672, "U"))</f>
        <v/>
      </c>
      <c r="B670" s="28" t="str">
        <f>IF('Input Sheet'!C672="","",CONCATENATE("Sample ", 'Input Sheet'!B672, "m: ", N670, H670, "% ", "Siltstone, ", P670, 'Input Sheet'!C672, "% ", J670, " Sandstone "))</f>
        <v/>
      </c>
      <c r="C670" s="28" t="str">
        <f>IF('Input Sheet'!C672="","",CONCATENATE("Sample ", 'Input Sheet'!B672, "m: ", M670,, K670, J670, " FLUOR in SST. ", "TG ", 'Input Sheet'!I672, "U"))</f>
        <v/>
      </c>
      <c r="G670" s="31" t="str">
        <f>IF('Input Sheet'!C672="","",100-'Input Sheet'!C672)</f>
        <v/>
      </c>
      <c r="H6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0" s="31" t="str">
        <f t="shared" si="10"/>
        <v/>
      </c>
      <c r="J6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0" s="31" t="str">
        <f>IF('Input Sheet'!F671=0, "NO",CONCATENATE('Input Sheet'!F671, IF('Input Sheet'!F671&gt;0,"% ","")))</f>
        <v>NO</v>
      </c>
      <c r="L6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0" s="31" t="str">
        <f>CONCATENATE(L670, IF('Input Sheet'!J672="",""," siderite in "))</f>
        <v/>
      </c>
      <c r="N6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0" s="31" t="str">
        <f>CONCATENATE(N670, IF('Input Sheet'!K672="",""," siderite in "))</f>
        <v/>
      </c>
    </row>
    <row r="671" spans="1:15" x14ac:dyDescent="0.35">
      <c r="A671" s="42" t="str">
        <f>IF('Input Sheet'!C673="","",CONCATENATE("Sample ", 'Input Sheet'!B673, "m: ", M671, G671, "% ", "Siltstone, ", O671, 'Input Sheet'!C673, "% ", I671, " Sandstone, ", K671, J671, " FLUOR in SST. ", "TG ", 'Input Sheet'!I673, "U"))</f>
        <v/>
      </c>
      <c r="B671" s="28" t="str">
        <f>IF('Input Sheet'!C673="","",CONCATENATE("Sample ", 'Input Sheet'!B673, "m: ", N671, H671, "% ", "Siltstone, ", P671, 'Input Sheet'!C673, "% ", J671, " Sandstone "))</f>
        <v/>
      </c>
      <c r="C671" s="28" t="str">
        <f>IF('Input Sheet'!C673="","",CONCATENATE("Sample ", 'Input Sheet'!B673, "m: ", M671,, K671, J671, " FLUOR in SST. ", "TG ", 'Input Sheet'!I673, "U"))</f>
        <v/>
      </c>
      <c r="G671" s="31" t="str">
        <f>IF('Input Sheet'!C673="","",100-'Input Sheet'!C673)</f>
        <v/>
      </c>
      <c r="H6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1" s="31" t="str">
        <f t="shared" si="10"/>
        <v/>
      </c>
      <c r="J6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1" s="31" t="str">
        <f>IF('Input Sheet'!F672=0, "NO",CONCATENATE('Input Sheet'!F672, IF('Input Sheet'!F672&gt;0,"% ","")))</f>
        <v>NO</v>
      </c>
      <c r="L6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1" s="31" t="str">
        <f>CONCATENATE(L671, IF('Input Sheet'!J673="",""," siderite in "))</f>
        <v/>
      </c>
      <c r="N6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1" s="31" t="str">
        <f>CONCATENATE(N671, IF('Input Sheet'!K673="",""," siderite in "))</f>
        <v/>
      </c>
    </row>
    <row r="672" spans="1:15" x14ac:dyDescent="0.35">
      <c r="A672" s="42" t="str">
        <f>IF('Input Sheet'!C674="","",CONCATENATE("Sample ", 'Input Sheet'!B674, "m: ", M672, G672, "% ", "Siltstone, ", O672, 'Input Sheet'!C674, "% ", I672, " Sandstone, ", K672, J672, " FLUOR in SST. ", "TG ", 'Input Sheet'!I674, "U"))</f>
        <v/>
      </c>
      <c r="B672" s="28" t="str">
        <f>IF('Input Sheet'!C674="","",CONCATENATE("Sample ", 'Input Sheet'!B674, "m: ", N672, H672, "% ", "Siltstone, ", P672, 'Input Sheet'!C674, "% ", J672, " Sandstone "))</f>
        <v/>
      </c>
      <c r="C672" s="28" t="str">
        <f>IF('Input Sheet'!C674="","",CONCATENATE("Sample ", 'Input Sheet'!B674, "m: ", M672,, K672, J672, " FLUOR in SST. ", "TG ", 'Input Sheet'!I674, "U"))</f>
        <v/>
      </c>
      <c r="G672" s="31" t="str">
        <f>IF('Input Sheet'!C674="","",100-'Input Sheet'!C674)</f>
        <v/>
      </c>
      <c r="H6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2" s="31" t="str">
        <f t="shared" si="10"/>
        <v/>
      </c>
      <c r="J6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2" s="31" t="str">
        <f>IF('Input Sheet'!F673=0, "NO",CONCATENATE('Input Sheet'!F673, IF('Input Sheet'!F673&gt;0,"% ","")))</f>
        <v>NO</v>
      </c>
      <c r="L6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2" s="31" t="str">
        <f>CONCATENATE(L672, IF('Input Sheet'!J674="",""," siderite in "))</f>
        <v/>
      </c>
      <c r="N6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2" s="31" t="str">
        <f>CONCATENATE(N672, IF('Input Sheet'!K674="",""," siderite in "))</f>
        <v/>
      </c>
    </row>
    <row r="673" spans="1:15" x14ac:dyDescent="0.35">
      <c r="A673" s="42" t="str">
        <f>IF('Input Sheet'!C675="","",CONCATENATE("Sample ", 'Input Sheet'!B675, "m: ", M673, G673, "% ", "Siltstone, ", O673, 'Input Sheet'!C675, "% ", I673, " Sandstone, ", K673, J673, " FLUOR in SST. ", "TG ", 'Input Sheet'!I675, "U"))</f>
        <v/>
      </c>
      <c r="B673" s="28" t="str">
        <f>IF('Input Sheet'!C675="","",CONCATENATE("Sample ", 'Input Sheet'!B675, "m: ", N673, H673, "% ", "Siltstone, ", P673, 'Input Sheet'!C675, "% ", J673, " Sandstone "))</f>
        <v/>
      </c>
      <c r="C673" s="28" t="str">
        <f>IF('Input Sheet'!C675="","",CONCATENATE("Sample ", 'Input Sheet'!B675, "m: ", M673,, K673, J673, " FLUOR in SST. ", "TG ", 'Input Sheet'!I675, "U"))</f>
        <v/>
      </c>
      <c r="G673" s="31" t="str">
        <f>IF('Input Sheet'!C675="","",100-'Input Sheet'!C675)</f>
        <v/>
      </c>
      <c r="H6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3" s="31" t="str">
        <f t="shared" si="10"/>
        <v/>
      </c>
      <c r="J6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3" s="31" t="str">
        <f>IF('Input Sheet'!F674=0, "NO",CONCATENATE('Input Sheet'!F674, IF('Input Sheet'!F674&gt;0,"% ","")))</f>
        <v>NO</v>
      </c>
      <c r="L6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3" s="31" t="str">
        <f>CONCATENATE(L673, IF('Input Sheet'!J675="",""," siderite in "))</f>
        <v/>
      </c>
      <c r="N6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3" s="31" t="str">
        <f>CONCATENATE(N673, IF('Input Sheet'!K675="",""," siderite in "))</f>
        <v/>
      </c>
    </row>
    <row r="674" spans="1:15" x14ac:dyDescent="0.35">
      <c r="A674" s="42" t="str">
        <f>IF('Input Sheet'!C676="","",CONCATENATE("Sample ", 'Input Sheet'!B676, "m: ", M674, G674, "% ", "Siltstone, ", O674, 'Input Sheet'!C676, "% ", I674, " Sandstone, ", K674, J674, " FLUOR in SST. ", "TG ", 'Input Sheet'!I676, "U"))</f>
        <v/>
      </c>
      <c r="B674" s="28" t="str">
        <f>IF('Input Sheet'!C676="","",CONCATENATE("Sample ", 'Input Sheet'!B676, "m: ", N674, H674, "% ", "Siltstone, ", P674, 'Input Sheet'!C676, "% ", J674, " Sandstone "))</f>
        <v/>
      </c>
      <c r="C674" s="28" t="str">
        <f>IF('Input Sheet'!C676="","",CONCATENATE("Sample ", 'Input Sheet'!B676, "m: ", M674,, K674, J674, " FLUOR in SST. ", "TG ", 'Input Sheet'!I676, "U"))</f>
        <v/>
      </c>
      <c r="G674" s="31" t="str">
        <f>IF('Input Sheet'!C676="","",100-'Input Sheet'!C676)</f>
        <v/>
      </c>
      <c r="H6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4" s="31" t="str">
        <f t="shared" si="10"/>
        <v/>
      </c>
      <c r="J6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4" s="31" t="str">
        <f>IF('Input Sheet'!F675=0, "NO",CONCATENATE('Input Sheet'!F675, IF('Input Sheet'!F675&gt;0,"% ","")))</f>
        <v>NO</v>
      </c>
      <c r="L6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4" s="31" t="str">
        <f>CONCATENATE(L674, IF('Input Sheet'!J676="",""," siderite in "))</f>
        <v/>
      </c>
      <c r="N6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4" s="31" t="str">
        <f>CONCATENATE(N674, IF('Input Sheet'!K676="",""," siderite in "))</f>
        <v/>
      </c>
    </row>
    <row r="675" spans="1:15" x14ac:dyDescent="0.35">
      <c r="A675" s="42" t="str">
        <f>IF('Input Sheet'!C677="","",CONCATENATE("Sample ", 'Input Sheet'!B677, "m: ", M675, G675, "% ", "Siltstone, ", O675, 'Input Sheet'!C677, "% ", I675, " Sandstone, ", K675, J675, " FLUOR in SST. ", "TG ", 'Input Sheet'!I677, "U"))</f>
        <v/>
      </c>
      <c r="B675" s="28" t="str">
        <f>IF('Input Sheet'!C677="","",CONCATENATE("Sample ", 'Input Sheet'!B677, "m: ", N675, H675, "% ", "Siltstone, ", P675, 'Input Sheet'!C677, "% ", J675, " Sandstone "))</f>
        <v/>
      </c>
      <c r="C675" s="28" t="str">
        <f>IF('Input Sheet'!C677="","",CONCATENATE("Sample ", 'Input Sheet'!B677, "m: ", M675,, K675, J675, " FLUOR in SST. ", "TG ", 'Input Sheet'!I677, "U"))</f>
        <v/>
      </c>
      <c r="G675" s="31" t="str">
        <f>IF('Input Sheet'!C677="","",100-'Input Sheet'!C677)</f>
        <v/>
      </c>
      <c r="H6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5" s="31" t="str">
        <f t="shared" si="10"/>
        <v/>
      </c>
      <c r="J6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5" s="31" t="str">
        <f>IF('Input Sheet'!F676=0, "NO",CONCATENATE('Input Sheet'!F676, IF('Input Sheet'!F676&gt;0,"% ","")))</f>
        <v>NO</v>
      </c>
      <c r="L6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5" s="31" t="str">
        <f>CONCATENATE(L675, IF('Input Sheet'!J677="",""," siderite in "))</f>
        <v/>
      </c>
      <c r="N6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5" s="31" t="str">
        <f>CONCATENATE(N675, IF('Input Sheet'!K677="",""," siderite in "))</f>
        <v/>
      </c>
    </row>
    <row r="676" spans="1:15" x14ac:dyDescent="0.35">
      <c r="A676" s="42" t="str">
        <f>IF('Input Sheet'!C678="","",CONCATENATE("Sample ", 'Input Sheet'!B678, "m: ", M676, G676, "% ", "Siltstone, ", O676, 'Input Sheet'!C678, "% ", I676, " Sandstone, ", K676, J676, " FLUOR in SST. ", "TG ", 'Input Sheet'!I678, "U"))</f>
        <v/>
      </c>
      <c r="B676" s="28" t="str">
        <f>IF('Input Sheet'!C678="","",CONCATENATE("Sample ", 'Input Sheet'!B678, "m: ", N676, H676, "% ", "Siltstone, ", P676, 'Input Sheet'!C678, "% ", J676, " Sandstone "))</f>
        <v/>
      </c>
      <c r="C676" s="28" t="str">
        <f>IF('Input Sheet'!C678="","",CONCATENATE("Sample ", 'Input Sheet'!B678, "m: ", M676,, K676, J676, " FLUOR in SST. ", "TG ", 'Input Sheet'!I678, "U"))</f>
        <v/>
      </c>
      <c r="G676" s="31" t="str">
        <f>IF('Input Sheet'!C678="","",100-'Input Sheet'!C678)</f>
        <v/>
      </c>
      <c r="H6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6" s="31" t="str">
        <f t="shared" si="10"/>
        <v/>
      </c>
      <c r="J6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6" s="31" t="str">
        <f>IF('Input Sheet'!F677=0, "NO",CONCATENATE('Input Sheet'!F677, IF('Input Sheet'!F677&gt;0,"% ","")))</f>
        <v>NO</v>
      </c>
      <c r="L6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6" s="31" t="str">
        <f>CONCATENATE(L676, IF('Input Sheet'!J678="",""," siderite in "))</f>
        <v/>
      </c>
      <c r="N6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6" s="31" t="str">
        <f>CONCATENATE(N676, IF('Input Sheet'!K678="",""," siderite in "))</f>
        <v/>
      </c>
    </row>
    <row r="677" spans="1:15" x14ac:dyDescent="0.35">
      <c r="A677" s="42" t="str">
        <f>IF('Input Sheet'!C679="","",CONCATENATE("Sample ", 'Input Sheet'!B679, "m: ", M677, G677, "% ", "Siltstone, ", O677, 'Input Sheet'!C679, "% ", I677, " Sandstone, ", K677, J677, " FLUOR in SST. ", "TG ", 'Input Sheet'!I679, "U"))</f>
        <v/>
      </c>
      <c r="B677" s="28" t="str">
        <f>IF('Input Sheet'!C679="","",CONCATENATE("Sample ", 'Input Sheet'!B679, "m: ", N677, H677, "% ", "Siltstone, ", P677, 'Input Sheet'!C679, "% ", J677, " Sandstone "))</f>
        <v/>
      </c>
      <c r="C677" s="28" t="str">
        <f>IF('Input Sheet'!C679="","",CONCATENATE("Sample ", 'Input Sheet'!B679, "m: ", M677,, K677, J677, " FLUOR in SST. ", "TG ", 'Input Sheet'!I679, "U"))</f>
        <v/>
      </c>
      <c r="G677" s="31" t="str">
        <f>IF('Input Sheet'!C679="","",100-'Input Sheet'!C679)</f>
        <v/>
      </c>
      <c r="H6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7" s="31" t="str">
        <f t="shared" si="10"/>
        <v/>
      </c>
      <c r="J6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7" s="31" t="str">
        <f>IF('Input Sheet'!F678=0, "NO",CONCATENATE('Input Sheet'!F678, IF('Input Sheet'!F678&gt;0,"% ","")))</f>
        <v>NO</v>
      </c>
      <c r="L6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7" s="31" t="str">
        <f>CONCATENATE(L677, IF('Input Sheet'!J679="",""," siderite in "))</f>
        <v/>
      </c>
      <c r="N6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7" s="31" t="str">
        <f>CONCATENATE(N677, IF('Input Sheet'!K679="",""," siderite in "))</f>
        <v/>
      </c>
    </row>
    <row r="678" spans="1:15" x14ac:dyDescent="0.35">
      <c r="A678" s="42" t="str">
        <f>IF('Input Sheet'!C680="","",CONCATENATE("Sample ", 'Input Sheet'!B680, "m: ", M678, G678, "% ", "Siltstone, ", O678, 'Input Sheet'!C680, "% ", I678, " Sandstone, ", K678, J678, " FLUOR in SST. ", "TG ", 'Input Sheet'!I680, "U"))</f>
        <v/>
      </c>
      <c r="B678" s="28" t="str">
        <f>IF('Input Sheet'!C680="","",CONCATENATE("Sample ", 'Input Sheet'!B680, "m: ", N678, H678, "% ", "Siltstone, ", P678, 'Input Sheet'!C680, "% ", J678, " Sandstone "))</f>
        <v/>
      </c>
      <c r="C678" s="28" t="str">
        <f>IF('Input Sheet'!C680="","",CONCATENATE("Sample ", 'Input Sheet'!B680, "m: ", M678,, K678, J678, " FLUOR in SST. ", "TG ", 'Input Sheet'!I680, "U"))</f>
        <v/>
      </c>
      <c r="G678" s="31" t="str">
        <f>IF('Input Sheet'!C680="","",100-'Input Sheet'!C680)</f>
        <v/>
      </c>
      <c r="H6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8" s="31" t="str">
        <f t="shared" si="10"/>
        <v/>
      </c>
      <c r="J6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8" s="31" t="str">
        <f>IF('Input Sheet'!F679=0, "NO",CONCATENATE('Input Sheet'!F679, IF('Input Sheet'!F679&gt;0,"% ","")))</f>
        <v>NO</v>
      </c>
      <c r="L6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8" s="31" t="str">
        <f>CONCATENATE(L678, IF('Input Sheet'!J680="",""," siderite in "))</f>
        <v/>
      </c>
      <c r="N6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8" s="31" t="str">
        <f>CONCATENATE(N678, IF('Input Sheet'!K680="",""," siderite in "))</f>
        <v/>
      </c>
    </row>
    <row r="679" spans="1:15" x14ac:dyDescent="0.35">
      <c r="A679" s="42" t="str">
        <f>IF('Input Sheet'!C681="","",CONCATENATE("Sample ", 'Input Sheet'!B681, "m: ", M679, G679, "% ", "Siltstone, ", O679, 'Input Sheet'!C681, "% ", I679, " Sandstone, ", K679, J679, " FLUOR in SST. ", "TG ", 'Input Sheet'!I681, "U"))</f>
        <v/>
      </c>
      <c r="B679" s="28" t="str">
        <f>IF('Input Sheet'!C681="","",CONCATENATE("Sample ", 'Input Sheet'!B681, "m: ", N679, H679, "% ", "Siltstone, ", P679, 'Input Sheet'!C681, "% ", J679, " Sandstone "))</f>
        <v/>
      </c>
      <c r="C679" s="28" t="str">
        <f>IF('Input Sheet'!C681="","",CONCATENATE("Sample ", 'Input Sheet'!B681, "m: ", M679,, K679, J679, " FLUOR in SST. ", "TG ", 'Input Sheet'!I681, "U"))</f>
        <v/>
      </c>
      <c r="G679" s="31" t="str">
        <f>IF('Input Sheet'!C681="","",100-'Input Sheet'!C681)</f>
        <v/>
      </c>
      <c r="H6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9" s="31" t="str">
        <f t="shared" si="10"/>
        <v/>
      </c>
      <c r="J6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9" s="31" t="str">
        <f>IF('Input Sheet'!F680=0, "NO",CONCATENATE('Input Sheet'!F680, IF('Input Sheet'!F680&gt;0,"% ","")))</f>
        <v>NO</v>
      </c>
      <c r="L6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9" s="31" t="str">
        <f>CONCATENATE(L679, IF('Input Sheet'!J681="",""," siderite in "))</f>
        <v/>
      </c>
      <c r="N6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9" s="31" t="str">
        <f>CONCATENATE(N679, IF('Input Sheet'!K681="",""," siderite in "))</f>
        <v/>
      </c>
    </row>
    <row r="680" spans="1:15" x14ac:dyDescent="0.35">
      <c r="A680" s="42" t="str">
        <f>IF('Input Sheet'!C682="","",CONCATENATE("Sample ", 'Input Sheet'!B682, "m: ", M680, G680, "% ", "Siltstone, ", O680, 'Input Sheet'!C682, "% ", I680, " Sandstone, ", K680, J680, " FLUOR in SST. ", "TG ", 'Input Sheet'!I682, "U"))</f>
        <v/>
      </c>
      <c r="B680" s="28" t="str">
        <f>IF('Input Sheet'!C682="","",CONCATENATE("Sample ", 'Input Sheet'!B682, "m: ", N680, H680, "% ", "Siltstone, ", P680, 'Input Sheet'!C682, "% ", J680, " Sandstone "))</f>
        <v/>
      </c>
      <c r="C680" s="28" t="str">
        <f>IF('Input Sheet'!C682="","",CONCATENATE("Sample ", 'Input Sheet'!B682, "m: ", M680,, K680, J680, " FLUOR in SST. ", "TG ", 'Input Sheet'!I682, "U"))</f>
        <v/>
      </c>
      <c r="G680" s="31" t="str">
        <f>IF('Input Sheet'!C682="","",100-'Input Sheet'!C682)</f>
        <v/>
      </c>
      <c r="H6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0" s="31" t="str">
        <f t="shared" si="10"/>
        <v/>
      </c>
      <c r="J6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0" s="31" t="str">
        <f>IF('Input Sheet'!F681=0, "NO",CONCATENATE('Input Sheet'!F681, IF('Input Sheet'!F681&gt;0,"% ","")))</f>
        <v>NO</v>
      </c>
      <c r="L6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0" s="31" t="str">
        <f>CONCATENATE(L680, IF('Input Sheet'!J682="",""," siderite in "))</f>
        <v/>
      </c>
      <c r="N6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0" s="31" t="str">
        <f>CONCATENATE(N680, IF('Input Sheet'!K682="",""," siderite in "))</f>
        <v/>
      </c>
    </row>
    <row r="681" spans="1:15" x14ac:dyDescent="0.35">
      <c r="A681" s="42" t="str">
        <f>IF('Input Sheet'!C683="","",CONCATENATE("Sample ", 'Input Sheet'!B683, "m: ", M681, G681, "% ", "Siltstone, ", O681, 'Input Sheet'!C683, "% ", I681, " Sandstone, ", K681, J681, " FLUOR in SST. ", "TG ", 'Input Sheet'!I683, "U"))</f>
        <v/>
      </c>
      <c r="B681" s="28" t="str">
        <f>IF('Input Sheet'!C683="","",CONCATENATE("Sample ", 'Input Sheet'!B683, "m: ", N681, H681, "% ", "Siltstone, ", P681, 'Input Sheet'!C683, "% ", J681, " Sandstone "))</f>
        <v/>
      </c>
      <c r="C681" s="28" t="str">
        <f>IF('Input Sheet'!C683="","",CONCATENATE("Sample ", 'Input Sheet'!B683, "m: ", M681,, K681, J681, " FLUOR in SST. ", "TG ", 'Input Sheet'!I683, "U"))</f>
        <v/>
      </c>
      <c r="G681" s="31" t="str">
        <f>IF('Input Sheet'!C683="","",100-'Input Sheet'!C683)</f>
        <v/>
      </c>
      <c r="H6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1" s="31" t="str">
        <f t="shared" si="10"/>
        <v/>
      </c>
      <c r="J6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1" s="31" t="str">
        <f>IF('Input Sheet'!F682=0, "NO",CONCATENATE('Input Sheet'!F682, IF('Input Sheet'!F682&gt;0,"% ","")))</f>
        <v>NO</v>
      </c>
      <c r="L6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1" s="31" t="str">
        <f>CONCATENATE(L681, IF('Input Sheet'!J683="",""," siderite in "))</f>
        <v/>
      </c>
      <c r="N6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1" s="31" t="str">
        <f>CONCATENATE(N681, IF('Input Sheet'!K683="",""," siderite in "))</f>
        <v/>
      </c>
    </row>
    <row r="682" spans="1:15" x14ac:dyDescent="0.35">
      <c r="A682" s="42" t="str">
        <f>IF('Input Sheet'!C684="","",CONCATENATE("Sample ", 'Input Sheet'!B684, "m: ", M682, G682, "% ", "Siltstone, ", O682, 'Input Sheet'!C684, "% ", I682, " Sandstone, ", K682, J682, " FLUOR in SST. ", "TG ", 'Input Sheet'!I684, "U"))</f>
        <v/>
      </c>
      <c r="B682" s="28" t="str">
        <f>IF('Input Sheet'!C684="","",CONCATENATE("Sample ", 'Input Sheet'!B684, "m: ", N682, H682, "% ", "Siltstone, ", P682, 'Input Sheet'!C684, "% ", J682, " Sandstone "))</f>
        <v/>
      </c>
      <c r="C682" s="28" t="str">
        <f>IF('Input Sheet'!C684="","",CONCATENATE("Sample ", 'Input Sheet'!B684, "m: ", M682,, K682, J682, " FLUOR in SST. ", "TG ", 'Input Sheet'!I684, "U"))</f>
        <v/>
      </c>
      <c r="G682" s="31" t="str">
        <f>IF('Input Sheet'!C684="","",100-'Input Sheet'!C684)</f>
        <v/>
      </c>
      <c r="H6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2" s="31" t="str">
        <f t="shared" si="10"/>
        <v/>
      </c>
      <c r="J6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2" s="31" t="str">
        <f>IF('Input Sheet'!F683=0, "NO",CONCATENATE('Input Sheet'!F683, IF('Input Sheet'!F683&gt;0,"% ","")))</f>
        <v>NO</v>
      </c>
      <c r="L6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2" s="31" t="str">
        <f>CONCATENATE(L682, IF('Input Sheet'!J684="",""," siderite in "))</f>
        <v/>
      </c>
      <c r="N6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2" s="31" t="str">
        <f>CONCATENATE(N682, IF('Input Sheet'!K684="",""," siderite in "))</f>
        <v/>
      </c>
    </row>
    <row r="683" spans="1:15" x14ac:dyDescent="0.35">
      <c r="A683" s="42" t="str">
        <f>IF('Input Sheet'!C685="","",CONCATENATE("Sample ", 'Input Sheet'!B685, "m: ", M683, G683, "% ", "Siltstone, ", O683, 'Input Sheet'!C685, "% ", I683, " Sandstone, ", K683, J683, " FLUOR in SST. ", "TG ", 'Input Sheet'!I685, "U"))</f>
        <v/>
      </c>
      <c r="B683" s="28" t="str">
        <f>IF('Input Sheet'!C685="","",CONCATENATE("Sample ", 'Input Sheet'!B685, "m: ", N683, H683, "% ", "Siltstone, ", P683, 'Input Sheet'!C685, "% ", J683, " Sandstone "))</f>
        <v/>
      </c>
      <c r="C683" s="28" t="str">
        <f>IF('Input Sheet'!C685="","",CONCATENATE("Sample ", 'Input Sheet'!B685, "m: ", M683,, K683, J683, " FLUOR in SST. ", "TG ", 'Input Sheet'!I685, "U"))</f>
        <v/>
      </c>
      <c r="G683" s="31" t="str">
        <f>IF('Input Sheet'!C685="","",100-'Input Sheet'!C685)</f>
        <v/>
      </c>
      <c r="H6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3" s="31" t="str">
        <f t="shared" si="10"/>
        <v/>
      </c>
      <c r="J6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3" s="31" t="str">
        <f>IF('Input Sheet'!F684=0, "NO",CONCATENATE('Input Sheet'!F684, IF('Input Sheet'!F684&gt;0,"% ","")))</f>
        <v>NO</v>
      </c>
      <c r="L6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3" s="31" t="str">
        <f>CONCATENATE(L683, IF('Input Sheet'!J685="",""," siderite in "))</f>
        <v/>
      </c>
      <c r="N6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3" s="31" t="str">
        <f>CONCATENATE(N683, IF('Input Sheet'!K685="",""," siderite in "))</f>
        <v/>
      </c>
    </row>
    <row r="684" spans="1:15" x14ac:dyDescent="0.35">
      <c r="A684" s="42" t="str">
        <f>IF('Input Sheet'!C686="","",CONCATENATE("Sample ", 'Input Sheet'!B686, "m: ", M684, G684, "% ", "Siltstone, ", O684, 'Input Sheet'!C686, "% ", I684, " Sandstone, ", K684, J684, " FLUOR in SST. ", "TG ", 'Input Sheet'!I686, "U"))</f>
        <v/>
      </c>
      <c r="B684" s="28" t="str">
        <f>IF('Input Sheet'!C686="","",CONCATENATE("Sample ", 'Input Sheet'!B686, "m: ", N684, H684, "% ", "Siltstone, ", P684, 'Input Sheet'!C686, "% ", J684, " Sandstone "))</f>
        <v/>
      </c>
      <c r="C684" s="28" t="str">
        <f>IF('Input Sheet'!C686="","",CONCATENATE("Sample ", 'Input Sheet'!B686, "m: ", M684,, K684, J684, " FLUOR in SST. ", "TG ", 'Input Sheet'!I686, "U"))</f>
        <v/>
      </c>
      <c r="G684" s="31" t="str">
        <f>IF('Input Sheet'!C686="","",100-'Input Sheet'!C686)</f>
        <v/>
      </c>
      <c r="H6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4" s="31" t="str">
        <f t="shared" si="10"/>
        <v/>
      </c>
      <c r="J6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4" s="31" t="str">
        <f>IF('Input Sheet'!F685=0, "NO",CONCATENATE('Input Sheet'!F685, IF('Input Sheet'!F685&gt;0,"% ","")))</f>
        <v>NO</v>
      </c>
      <c r="L6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4" s="31" t="str">
        <f>CONCATENATE(L684, IF('Input Sheet'!J686="",""," siderite in "))</f>
        <v/>
      </c>
      <c r="N6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4" s="31" t="str">
        <f>CONCATENATE(N684, IF('Input Sheet'!K686="",""," siderite in "))</f>
        <v/>
      </c>
    </row>
    <row r="685" spans="1:15" x14ac:dyDescent="0.35">
      <c r="A685" s="42" t="str">
        <f>IF('Input Sheet'!C687="","",CONCATENATE("Sample ", 'Input Sheet'!B687, "m: ", M685, G685, "% ", "Siltstone, ", O685, 'Input Sheet'!C687, "% ", I685, " Sandstone, ", K685, J685, " FLUOR in SST. ", "TG ", 'Input Sheet'!I687, "U"))</f>
        <v/>
      </c>
      <c r="B685" s="28" t="str">
        <f>IF('Input Sheet'!C687="","",CONCATENATE("Sample ", 'Input Sheet'!B687, "m: ", N685, H685, "% ", "Siltstone, ", P685, 'Input Sheet'!C687, "% ", J685, " Sandstone "))</f>
        <v/>
      </c>
      <c r="C685" s="28" t="str">
        <f>IF('Input Sheet'!C687="","",CONCATENATE("Sample ", 'Input Sheet'!B687, "m: ", M685,, K685, J685, " FLUOR in SST. ", "TG ", 'Input Sheet'!I687, "U"))</f>
        <v/>
      </c>
      <c r="G685" s="31" t="str">
        <f>IF('Input Sheet'!C687="","",100-'Input Sheet'!C687)</f>
        <v/>
      </c>
      <c r="H6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5" s="31" t="str">
        <f t="shared" si="10"/>
        <v/>
      </c>
      <c r="J6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5" s="31" t="str">
        <f>IF('Input Sheet'!F686=0, "NO",CONCATENATE('Input Sheet'!F686, IF('Input Sheet'!F686&gt;0,"% ","")))</f>
        <v>NO</v>
      </c>
      <c r="L6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5" s="31" t="str">
        <f>CONCATENATE(L685, IF('Input Sheet'!J687="",""," siderite in "))</f>
        <v/>
      </c>
      <c r="N6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5" s="31" t="str">
        <f>CONCATENATE(N685, IF('Input Sheet'!K687="",""," siderite in "))</f>
        <v/>
      </c>
    </row>
    <row r="686" spans="1:15" x14ac:dyDescent="0.35">
      <c r="A686" s="42" t="str">
        <f>IF('Input Sheet'!C688="","",CONCATENATE("Sample ", 'Input Sheet'!B688, "m: ", M686, G686, "% ", "Siltstone, ", O686, 'Input Sheet'!C688, "% ", I686, " Sandstone, ", K686, J686, " FLUOR in SST. ", "TG ", 'Input Sheet'!I688, "U"))</f>
        <v/>
      </c>
      <c r="B686" s="28" t="str">
        <f>IF('Input Sheet'!C688="","",CONCATENATE("Sample ", 'Input Sheet'!B688, "m: ", N686, H686, "% ", "Siltstone, ", P686, 'Input Sheet'!C688, "% ", J686, " Sandstone "))</f>
        <v/>
      </c>
      <c r="C686" s="28" t="str">
        <f>IF('Input Sheet'!C688="","",CONCATENATE("Sample ", 'Input Sheet'!B688, "m: ", M686,, K686, J686, " FLUOR in SST. ", "TG ", 'Input Sheet'!I688, "U"))</f>
        <v/>
      </c>
      <c r="G686" s="31" t="str">
        <f>IF('Input Sheet'!C688="","",100-'Input Sheet'!C688)</f>
        <v/>
      </c>
      <c r="H6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6" s="31" t="str">
        <f t="shared" si="10"/>
        <v/>
      </c>
      <c r="J6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6" s="31" t="str">
        <f>IF('Input Sheet'!F687=0, "NO",CONCATENATE('Input Sheet'!F687, IF('Input Sheet'!F687&gt;0,"% ","")))</f>
        <v>NO</v>
      </c>
      <c r="L6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6" s="31" t="str">
        <f>CONCATENATE(L686, IF('Input Sheet'!J688="",""," siderite in "))</f>
        <v/>
      </c>
      <c r="N6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6" s="31" t="str">
        <f>CONCATENATE(N686, IF('Input Sheet'!K688="",""," siderite in "))</f>
        <v/>
      </c>
    </row>
    <row r="687" spans="1:15" x14ac:dyDescent="0.35">
      <c r="A687" s="42" t="str">
        <f>IF('Input Sheet'!C689="","",CONCATENATE("Sample ", 'Input Sheet'!B689, "m: ", M687, G687, "% ", "Siltstone, ", O687, 'Input Sheet'!C689, "% ", I687, " Sandstone, ", K687, J687, " FLUOR in SST. ", "TG ", 'Input Sheet'!I689, "U"))</f>
        <v/>
      </c>
      <c r="B687" s="28" t="str">
        <f>IF('Input Sheet'!C689="","",CONCATENATE("Sample ", 'Input Sheet'!B689, "m: ", N687, H687, "% ", "Siltstone, ", P687, 'Input Sheet'!C689, "% ", J687, " Sandstone "))</f>
        <v/>
      </c>
      <c r="C687" s="28" t="str">
        <f>IF('Input Sheet'!C689="","",CONCATENATE("Sample ", 'Input Sheet'!B689, "m: ", M687,, K687, J687, " FLUOR in SST. ", "TG ", 'Input Sheet'!I689, "U"))</f>
        <v/>
      </c>
      <c r="G687" s="31" t="str">
        <f>IF('Input Sheet'!C689="","",100-'Input Sheet'!C689)</f>
        <v/>
      </c>
      <c r="H6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7" s="31" t="str">
        <f t="shared" si="10"/>
        <v/>
      </c>
      <c r="J6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7" s="31" t="str">
        <f>IF('Input Sheet'!F688=0, "NO",CONCATENATE('Input Sheet'!F688, IF('Input Sheet'!F688&gt;0,"% ","")))</f>
        <v>NO</v>
      </c>
      <c r="L6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7" s="31" t="str">
        <f>CONCATENATE(L687, IF('Input Sheet'!J689="",""," siderite in "))</f>
        <v/>
      </c>
      <c r="N6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7" s="31" t="str">
        <f>CONCATENATE(N687, IF('Input Sheet'!K689="",""," siderite in "))</f>
        <v/>
      </c>
    </row>
    <row r="688" spans="1:15" x14ac:dyDescent="0.35">
      <c r="A688" s="42" t="str">
        <f>IF('Input Sheet'!C690="","",CONCATENATE("Sample ", 'Input Sheet'!B690, "m: ", M688, G688, "% ", "Siltstone, ", O688, 'Input Sheet'!C690, "% ", I688, " Sandstone, ", K688, J688, " FLUOR in SST. ", "TG ", 'Input Sheet'!I690, "U"))</f>
        <v/>
      </c>
      <c r="B688" s="28" t="str">
        <f>IF('Input Sheet'!C690="","",CONCATENATE("Sample ", 'Input Sheet'!B690, "m: ", N688, H688, "% ", "Siltstone, ", P688, 'Input Sheet'!C690, "% ", J688, " Sandstone "))</f>
        <v/>
      </c>
      <c r="C688" s="28" t="str">
        <f>IF('Input Sheet'!C690="","",CONCATENATE("Sample ", 'Input Sheet'!B690, "m: ", M688,, K688, J688, " FLUOR in SST. ", "TG ", 'Input Sheet'!I690, "U"))</f>
        <v/>
      </c>
      <c r="G688" s="31" t="str">
        <f>IF('Input Sheet'!C690="","",100-'Input Sheet'!C690)</f>
        <v/>
      </c>
      <c r="H6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8" s="31" t="str">
        <f t="shared" si="10"/>
        <v/>
      </c>
      <c r="J6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8" s="31" t="str">
        <f>IF('Input Sheet'!F689=0, "NO",CONCATENATE('Input Sheet'!F689, IF('Input Sheet'!F689&gt;0,"% ","")))</f>
        <v>NO</v>
      </c>
      <c r="L6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8" s="31" t="str">
        <f>CONCATENATE(L688, IF('Input Sheet'!J690="",""," siderite in "))</f>
        <v/>
      </c>
      <c r="N6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8" s="31" t="str">
        <f>CONCATENATE(N688, IF('Input Sheet'!K690="",""," siderite in "))</f>
        <v/>
      </c>
    </row>
    <row r="689" spans="1:15" x14ac:dyDescent="0.35">
      <c r="A689" s="42" t="str">
        <f>IF('Input Sheet'!C691="","",CONCATENATE("Sample ", 'Input Sheet'!B691, "m: ", M689, G689, "% ", "Siltstone, ", O689, 'Input Sheet'!C691, "% ", I689, " Sandstone, ", K689, J689, " FLUOR in SST. ", "TG ", 'Input Sheet'!I691, "U"))</f>
        <v/>
      </c>
      <c r="B689" s="28" t="str">
        <f>IF('Input Sheet'!C691="","",CONCATENATE("Sample ", 'Input Sheet'!B691, "m: ", N689, H689, "% ", "Siltstone, ", P689, 'Input Sheet'!C691, "% ", J689, " Sandstone "))</f>
        <v/>
      </c>
      <c r="C689" s="28" t="str">
        <f>IF('Input Sheet'!C691="","",CONCATENATE("Sample ", 'Input Sheet'!B691, "m: ", M689,, K689, J689, " FLUOR in SST. ", "TG ", 'Input Sheet'!I691, "U"))</f>
        <v/>
      </c>
      <c r="G689" s="31" t="str">
        <f>IF('Input Sheet'!C691="","",100-'Input Sheet'!C691)</f>
        <v/>
      </c>
      <c r="H6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9" s="31" t="str">
        <f t="shared" si="10"/>
        <v/>
      </c>
      <c r="J6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9" s="31" t="str">
        <f>IF('Input Sheet'!F690=0, "NO",CONCATENATE('Input Sheet'!F690, IF('Input Sheet'!F690&gt;0,"% ","")))</f>
        <v>NO</v>
      </c>
      <c r="L6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9" s="31" t="str">
        <f>CONCATENATE(L689, IF('Input Sheet'!J691="",""," siderite in "))</f>
        <v/>
      </c>
      <c r="N6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9" s="31" t="str">
        <f>CONCATENATE(N689, IF('Input Sheet'!K691="",""," siderite in "))</f>
        <v/>
      </c>
    </row>
    <row r="690" spans="1:15" x14ac:dyDescent="0.35">
      <c r="A690" s="42" t="str">
        <f>IF('Input Sheet'!C692="","",CONCATENATE("Sample ", 'Input Sheet'!B692, "m: ", M690, G690, "% ", "Siltstone, ", O690, 'Input Sheet'!C692, "% ", I690, " Sandstone, ", K690, J690, " FLUOR in SST. ", "TG ", 'Input Sheet'!I692, "U"))</f>
        <v/>
      </c>
      <c r="B690" s="28" t="str">
        <f>IF('Input Sheet'!C692="","",CONCATENATE("Sample ", 'Input Sheet'!B692, "m: ", N690, H690, "% ", "Siltstone, ", P690, 'Input Sheet'!C692, "% ", J690, " Sandstone "))</f>
        <v/>
      </c>
      <c r="C690" s="28" t="str">
        <f>IF('Input Sheet'!C692="","",CONCATENATE("Sample ", 'Input Sheet'!B692, "m: ", M690,, K690, J690, " FLUOR in SST. ", "TG ", 'Input Sheet'!I692, "U"))</f>
        <v/>
      </c>
      <c r="G690" s="31" t="str">
        <f>IF('Input Sheet'!C692="","",100-'Input Sheet'!C692)</f>
        <v/>
      </c>
      <c r="H6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0" s="31" t="str">
        <f t="shared" si="10"/>
        <v/>
      </c>
      <c r="J6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0" s="31" t="str">
        <f>IF('Input Sheet'!F691=0, "NO",CONCATENATE('Input Sheet'!F691, IF('Input Sheet'!F691&gt;0,"% ","")))</f>
        <v>NO</v>
      </c>
      <c r="L6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0" s="31" t="str">
        <f>CONCATENATE(L690, IF('Input Sheet'!J692="",""," siderite in "))</f>
        <v/>
      </c>
      <c r="N6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0" s="31" t="str">
        <f>CONCATENATE(N690, IF('Input Sheet'!K692="",""," siderite in "))</f>
        <v/>
      </c>
    </row>
    <row r="691" spans="1:15" x14ac:dyDescent="0.35">
      <c r="A691" s="42" t="str">
        <f>IF('Input Sheet'!C693="","",CONCATENATE("Sample ", 'Input Sheet'!B693, "m: ", M691, G691, "% ", "Siltstone, ", O691, 'Input Sheet'!C693, "% ", I691, " Sandstone, ", K691, J691, " FLUOR in SST. ", "TG ", 'Input Sheet'!I693, "U"))</f>
        <v/>
      </c>
      <c r="B691" s="28" t="str">
        <f>IF('Input Sheet'!C693="","",CONCATENATE("Sample ", 'Input Sheet'!B693, "m: ", N691, H691, "% ", "Siltstone, ", P691, 'Input Sheet'!C693, "% ", J691, " Sandstone "))</f>
        <v/>
      </c>
      <c r="C691" s="28" t="str">
        <f>IF('Input Sheet'!C693="","",CONCATENATE("Sample ", 'Input Sheet'!B693, "m: ", M691,, K691, J691, " FLUOR in SST. ", "TG ", 'Input Sheet'!I693, "U"))</f>
        <v/>
      </c>
      <c r="G691" s="31" t="str">
        <f>IF('Input Sheet'!C693="","",100-'Input Sheet'!C693)</f>
        <v/>
      </c>
      <c r="H6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1" s="31" t="str">
        <f t="shared" si="10"/>
        <v/>
      </c>
      <c r="J6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1" s="31" t="str">
        <f>IF('Input Sheet'!F692=0, "NO",CONCATENATE('Input Sheet'!F692, IF('Input Sheet'!F692&gt;0,"% ","")))</f>
        <v>NO</v>
      </c>
      <c r="L6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1" s="31" t="str">
        <f>CONCATENATE(L691, IF('Input Sheet'!J693="",""," siderite in "))</f>
        <v/>
      </c>
      <c r="N6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1" s="31" t="str">
        <f>CONCATENATE(N691, IF('Input Sheet'!K693="",""," siderite in "))</f>
        <v/>
      </c>
    </row>
    <row r="692" spans="1:15" x14ac:dyDescent="0.35">
      <c r="A692" s="42" t="str">
        <f>IF('Input Sheet'!C694="","",CONCATENATE("Sample ", 'Input Sheet'!B694, "m: ", M692, G692, "% ", "Siltstone, ", O692, 'Input Sheet'!C694, "% ", I692, " Sandstone, ", K692, J692, " FLUOR in SST. ", "TG ", 'Input Sheet'!I694, "U"))</f>
        <v/>
      </c>
      <c r="B692" s="28" t="str">
        <f>IF('Input Sheet'!C694="","",CONCATENATE("Sample ", 'Input Sheet'!B694, "m: ", N692, H692, "% ", "Siltstone, ", P692, 'Input Sheet'!C694, "% ", J692, " Sandstone "))</f>
        <v/>
      </c>
      <c r="C692" s="28" t="str">
        <f>IF('Input Sheet'!C694="","",CONCATENATE("Sample ", 'Input Sheet'!B694, "m: ", M692,, K692, J692, " FLUOR in SST. ", "TG ", 'Input Sheet'!I694, "U"))</f>
        <v/>
      </c>
      <c r="G692" s="31" t="str">
        <f>IF('Input Sheet'!C694="","",100-'Input Sheet'!C694)</f>
        <v/>
      </c>
      <c r="H6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2" s="31" t="str">
        <f t="shared" si="10"/>
        <v/>
      </c>
      <c r="J6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2" s="31" t="str">
        <f>IF('Input Sheet'!F693=0, "NO",CONCATENATE('Input Sheet'!F693, IF('Input Sheet'!F693&gt;0,"% ","")))</f>
        <v>NO</v>
      </c>
      <c r="L6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2" s="31" t="str">
        <f>CONCATENATE(L692, IF('Input Sheet'!J694="",""," siderite in "))</f>
        <v/>
      </c>
      <c r="N6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2" s="31" t="str">
        <f>CONCATENATE(N692, IF('Input Sheet'!K694="",""," siderite in "))</f>
        <v/>
      </c>
    </row>
    <row r="693" spans="1:15" x14ac:dyDescent="0.35">
      <c r="A693" s="42" t="str">
        <f>IF('Input Sheet'!C695="","",CONCATENATE("Sample ", 'Input Sheet'!B695, "m: ", M693, G693, "% ", "Siltstone, ", O693, 'Input Sheet'!C695, "% ", I693, " Sandstone, ", K693, J693, " FLUOR in SST. ", "TG ", 'Input Sheet'!I695, "U"))</f>
        <v/>
      </c>
      <c r="B693" s="28" t="str">
        <f>IF('Input Sheet'!C695="","",CONCATENATE("Sample ", 'Input Sheet'!B695, "m: ", N693, H693, "% ", "Siltstone, ", P693, 'Input Sheet'!C695, "% ", J693, " Sandstone "))</f>
        <v/>
      </c>
      <c r="C693" s="28" t="str">
        <f>IF('Input Sheet'!C695="","",CONCATENATE("Sample ", 'Input Sheet'!B695, "m: ", M693,, K693, J693, " FLUOR in SST. ", "TG ", 'Input Sheet'!I695, "U"))</f>
        <v/>
      </c>
      <c r="G693" s="31" t="str">
        <f>IF('Input Sheet'!C695="","",100-'Input Sheet'!C695)</f>
        <v/>
      </c>
      <c r="H6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3" s="31" t="str">
        <f t="shared" si="10"/>
        <v/>
      </c>
      <c r="J6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3" s="31" t="str">
        <f>IF('Input Sheet'!F694=0, "NO",CONCATENATE('Input Sheet'!F694, IF('Input Sheet'!F694&gt;0,"% ","")))</f>
        <v>NO</v>
      </c>
      <c r="L6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3" s="31" t="str">
        <f>CONCATENATE(L693, IF('Input Sheet'!J695="",""," siderite in "))</f>
        <v/>
      </c>
      <c r="N6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3" s="31" t="str">
        <f>CONCATENATE(N693, IF('Input Sheet'!K695="",""," siderite in "))</f>
        <v/>
      </c>
    </row>
    <row r="694" spans="1:15" x14ac:dyDescent="0.35">
      <c r="A694" s="42" t="str">
        <f>IF('Input Sheet'!C696="","",CONCATENATE("Sample ", 'Input Sheet'!B696, "m: ", M694, G694, "% ", "Siltstone, ", O694, 'Input Sheet'!C696, "% ", I694, " Sandstone, ", K694, J694, " FLUOR in SST. ", "TG ", 'Input Sheet'!I696, "U"))</f>
        <v/>
      </c>
      <c r="B694" s="28" t="str">
        <f>IF('Input Sheet'!C696="","",CONCATENATE("Sample ", 'Input Sheet'!B696, "m: ", N694, H694, "% ", "Siltstone, ", P694, 'Input Sheet'!C696, "% ", J694, " Sandstone "))</f>
        <v/>
      </c>
      <c r="C694" s="28" t="str">
        <f>IF('Input Sheet'!C696="","",CONCATENATE("Sample ", 'Input Sheet'!B696, "m: ", M694,, K694, J694, " FLUOR in SST. ", "TG ", 'Input Sheet'!I696, "U"))</f>
        <v/>
      </c>
      <c r="G694" s="31" t="str">
        <f>IF('Input Sheet'!C696="","",100-'Input Sheet'!C696)</f>
        <v/>
      </c>
      <c r="H6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4" s="31" t="str">
        <f t="shared" si="10"/>
        <v/>
      </c>
      <c r="J6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4" s="31" t="str">
        <f>IF('Input Sheet'!F695=0, "NO",CONCATENATE('Input Sheet'!F695, IF('Input Sheet'!F695&gt;0,"% ","")))</f>
        <v>NO</v>
      </c>
      <c r="L6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4" s="31" t="str">
        <f>CONCATENATE(L694, IF('Input Sheet'!J696="",""," siderite in "))</f>
        <v/>
      </c>
      <c r="N6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4" s="31" t="str">
        <f>CONCATENATE(N694, IF('Input Sheet'!K696="",""," siderite in "))</f>
        <v/>
      </c>
    </row>
    <row r="695" spans="1:15" x14ac:dyDescent="0.35">
      <c r="A695" s="42" t="str">
        <f>IF('Input Sheet'!C697="","",CONCATENATE("Sample ", 'Input Sheet'!B697, "m: ", M695, G695, "% ", "Siltstone, ", O695, 'Input Sheet'!C697, "% ", I695, " Sandstone, ", K695, J695, " FLUOR in SST. ", "TG ", 'Input Sheet'!I697, "U"))</f>
        <v/>
      </c>
      <c r="B695" s="28" t="str">
        <f>IF('Input Sheet'!C697="","",CONCATENATE("Sample ", 'Input Sheet'!B697, "m: ", N695, H695, "% ", "Siltstone, ", P695, 'Input Sheet'!C697, "% ", J695, " Sandstone "))</f>
        <v/>
      </c>
      <c r="C695" s="28" t="str">
        <f>IF('Input Sheet'!C697="","",CONCATENATE("Sample ", 'Input Sheet'!B697, "m: ", M695,, K695, J695, " FLUOR in SST. ", "TG ", 'Input Sheet'!I697, "U"))</f>
        <v/>
      </c>
      <c r="G695" s="31" t="str">
        <f>IF('Input Sheet'!C697="","",100-'Input Sheet'!C697)</f>
        <v/>
      </c>
      <c r="H6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5" s="31" t="str">
        <f t="shared" si="10"/>
        <v/>
      </c>
      <c r="J6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5" s="31" t="str">
        <f>IF('Input Sheet'!F696=0, "NO",CONCATENATE('Input Sheet'!F696, IF('Input Sheet'!F696&gt;0,"% ","")))</f>
        <v>NO</v>
      </c>
      <c r="L6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5" s="31" t="str">
        <f>CONCATENATE(L695, IF('Input Sheet'!J697="",""," siderite in "))</f>
        <v/>
      </c>
      <c r="N6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5" s="31" t="str">
        <f>CONCATENATE(N695, IF('Input Sheet'!K697="",""," siderite in "))</f>
        <v/>
      </c>
    </row>
    <row r="696" spans="1:15" x14ac:dyDescent="0.35">
      <c r="A696" s="42" t="str">
        <f>IF('Input Sheet'!C698="","",CONCATENATE("Sample ", 'Input Sheet'!B698, "m: ", M696, G696, "% ", "Siltstone, ", O696, 'Input Sheet'!C698, "% ", I696, " Sandstone, ", K696, J696, " FLUOR in SST. ", "TG ", 'Input Sheet'!I698, "U"))</f>
        <v/>
      </c>
      <c r="B696" s="28" t="str">
        <f>IF('Input Sheet'!C698="","",CONCATENATE("Sample ", 'Input Sheet'!B698, "m: ", N696, H696, "% ", "Siltstone, ", P696, 'Input Sheet'!C698, "% ", J696, " Sandstone "))</f>
        <v/>
      </c>
      <c r="C696" s="28" t="str">
        <f>IF('Input Sheet'!C698="","",CONCATENATE("Sample ", 'Input Sheet'!B698, "m: ", M696,, K696, J696, " FLUOR in SST. ", "TG ", 'Input Sheet'!I698, "U"))</f>
        <v/>
      </c>
      <c r="G696" s="31" t="str">
        <f>IF('Input Sheet'!C698="","",100-'Input Sheet'!C698)</f>
        <v/>
      </c>
      <c r="H6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6" s="31" t="str">
        <f t="shared" si="10"/>
        <v/>
      </c>
      <c r="J6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6" s="31" t="str">
        <f>IF('Input Sheet'!F697=0, "NO",CONCATENATE('Input Sheet'!F697, IF('Input Sheet'!F697&gt;0,"% ","")))</f>
        <v>NO</v>
      </c>
      <c r="L6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6" s="31" t="str">
        <f>CONCATENATE(L696, IF('Input Sheet'!J698="",""," siderite in "))</f>
        <v/>
      </c>
      <c r="N6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6" s="31" t="str">
        <f>CONCATENATE(N696, IF('Input Sheet'!K698="",""," siderite in "))</f>
        <v/>
      </c>
    </row>
    <row r="697" spans="1:15" x14ac:dyDescent="0.35">
      <c r="A697" s="42" t="str">
        <f>IF('Input Sheet'!C699="","",CONCATENATE("Sample ", 'Input Sheet'!B699, "m: ", M697, G697, "% ", "Siltstone, ", O697, 'Input Sheet'!C699, "% ", I697, " Sandstone, ", K697, J697, " FLUOR in SST. ", "TG ", 'Input Sheet'!I699, "U"))</f>
        <v/>
      </c>
      <c r="B697" s="28" t="str">
        <f>IF('Input Sheet'!C699="","",CONCATENATE("Sample ", 'Input Sheet'!B699, "m: ", N697, H697, "% ", "Siltstone, ", P697, 'Input Sheet'!C699, "% ", J697, " Sandstone "))</f>
        <v/>
      </c>
      <c r="C697" s="28" t="str">
        <f>IF('Input Sheet'!C699="","",CONCATENATE("Sample ", 'Input Sheet'!B699, "m: ", M697,, K697, J697, " FLUOR in SST. ", "TG ", 'Input Sheet'!I699, "U"))</f>
        <v/>
      </c>
      <c r="G697" s="31" t="str">
        <f>IF('Input Sheet'!C699="","",100-'Input Sheet'!C699)</f>
        <v/>
      </c>
      <c r="H6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7" s="31" t="str">
        <f t="shared" si="10"/>
        <v/>
      </c>
      <c r="J6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7" s="31" t="str">
        <f>IF('Input Sheet'!F698=0, "NO",CONCATENATE('Input Sheet'!F698, IF('Input Sheet'!F698&gt;0,"% ","")))</f>
        <v>NO</v>
      </c>
      <c r="L6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7" s="31" t="str">
        <f>CONCATENATE(L697, IF('Input Sheet'!J699="",""," siderite in "))</f>
        <v/>
      </c>
      <c r="N6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7" s="31" t="str">
        <f>CONCATENATE(N697, IF('Input Sheet'!K699="",""," siderite in "))</f>
        <v/>
      </c>
    </row>
    <row r="698" spans="1:15" x14ac:dyDescent="0.35">
      <c r="A698" s="42" t="str">
        <f>IF('Input Sheet'!C700="","",CONCATENATE("Sample ", 'Input Sheet'!B700, "m: ", M698, G698, "% ", "Siltstone, ", O698, 'Input Sheet'!C700, "% ", I698, " Sandstone, ", K698, J698, " FLUOR in SST. ", "TG ", 'Input Sheet'!I700, "U"))</f>
        <v/>
      </c>
      <c r="B698" s="28" t="str">
        <f>IF('Input Sheet'!C700="","",CONCATENATE("Sample ", 'Input Sheet'!B700, "m: ", N698, H698, "% ", "Siltstone, ", P698, 'Input Sheet'!C700, "% ", J698, " Sandstone "))</f>
        <v/>
      </c>
      <c r="C698" s="28" t="str">
        <f>IF('Input Sheet'!C700="","",CONCATENATE("Sample ", 'Input Sheet'!B700, "m: ", M698,, K698, J698, " FLUOR in SST. ", "TG ", 'Input Sheet'!I700, "U"))</f>
        <v/>
      </c>
      <c r="G698" s="31" t="str">
        <f>IF('Input Sheet'!C700="","",100-'Input Sheet'!C700)</f>
        <v/>
      </c>
      <c r="H6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8" s="31" t="str">
        <f t="shared" si="10"/>
        <v/>
      </c>
      <c r="J6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8" s="31" t="str">
        <f>IF('Input Sheet'!F699=0, "NO",CONCATENATE('Input Sheet'!F699, IF('Input Sheet'!F699&gt;0,"% ","")))</f>
        <v>NO</v>
      </c>
      <c r="L6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8" s="31" t="str">
        <f>CONCATENATE(L698, IF('Input Sheet'!J700="",""," siderite in "))</f>
        <v/>
      </c>
      <c r="N6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8" s="31" t="str">
        <f>CONCATENATE(N698, IF('Input Sheet'!K700="",""," siderite in "))</f>
        <v/>
      </c>
    </row>
    <row r="699" spans="1:15" x14ac:dyDescent="0.35">
      <c r="A699" s="42" t="str">
        <f>IF('Input Sheet'!C701="","",CONCATENATE("Sample ", 'Input Sheet'!B701, "m: ", M699, G699, "% ", "Siltstone, ", O699, 'Input Sheet'!C701, "% ", I699, " Sandstone, ", K699, J699, " FLUOR in SST. ", "TG ", 'Input Sheet'!I701, "U"))</f>
        <v/>
      </c>
      <c r="B699" s="28" t="str">
        <f>IF('Input Sheet'!C701="","",CONCATENATE("Sample ", 'Input Sheet'!B701, "m: ", N699, H699, "% ", "Siltstone, ", P699, 'Input Sheet'!C701, "% ", J699, " Sandstone "))</f>
        <v/>
      </c>
      <c r="C699" s="28" t="str">
        <f>IF('Input Sheet'!C701="","",CONCATENATE("Sample ", 'Input Sheet'!B701, "m: ", M699,, K699, J699, " FLUOR in SST. ", "TG ", 'Input Sheet'!I701, "U"))</f>
        <v/>
      </c>
      <c r="G699" s="31" t="str">
        <f>IF('Input Sheet'!C701="","",100-'Input Sheet'!C701)</f>
        <v/>
      </c>
      <c r="H6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9" s="31" t="str">
        <f t="shared" si="10"/>
        <v/>
      </c>
      <c r="J6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9" s="31" t="str">
        <f>IF('Input Sheet'!F700=0, "NO",CONCATENATE('Input Sheet'!F700, IF('Input Sheet'!F700&gt;0,"% ","")))</f>
        <v>NO</v>
      </c>
      <c r="L6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9" s="31" t="str">
        <f>CONCATENATE(L699, IF('Input Sheet'!J701="",""," siderite in "))</f>
        <v/>
      </c>
      <c r="N6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9" s="31" t="str">
        <f>CONCATENATE(N699, IF('Input Sheet'!K701="",""," siderite in "))</f>
        <v/>
      </c>
    </row>
    <row r="700" spans="1:15" x14ac:dyDescent="0.35">
      <c r="A700" s="42" t="str">
        <f>IF('Input Sheet'!C702="","",CONCATENATE("Sample ", 'Input Sheet'!B702, "m: ", M700, G700, "% ", "Siltstone, ", O700, 'Input Sheet'!C702, "% ", I700, " Sandstone, ", K700, J700, " FLUOR in SST. ", "TG ", 'Input Sheet'!I702, "U"))</f>
        <v/>
      </c>
      <c r="B700" s="28" t="str">
        <f>IF('Input Sheet'!C702="","",CONCATENATE("Sample ", 'Input Sheet'!B702, "m: ", N700, H700, "% ", "Siltstone, ", P700, 'Input Sheet'!C702, "% ", J700, " Sandstone "))</f>
        <v/>
      </c>
      <c r="C700" s="28" t="str">
        <f>IF('Input Sheet'!C702="","",CONCATENATE("Sample ", 'Input Sheet'!B702, "m: ", M700,, K700, J700, " FLUOR in SST. ", "TG ", 'Input Sheet'!I702, "U"))</f>
        <v/>
      </c>
      <c r="G700" s="31" t="str">
        <f>IF('Input Sheet'!C702="","",100-'Input Sheet'!C702)</f>
        <v/>
      </c>
      <c r="H7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0" s="31" t="str">
        <f t="shared" si="10"/>
        <v/>
      </c>
      <c r="J7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0" s="31" t="str">
        <f>IF('Input Sheet'!F701=0, "NO",CONCATENATE('Input Sheet'!F701, IF('Input Sheet'!F701&gt;0,"% ","")))</f>
        <v>NO</v>
      </c>
      <c r="L7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0" s="31" t="str">
        <f>CONCATENATE(L700, IF('Input Sheet'!J702="",""," siderite in "))</f>
        <v/>
      </c>
      <c r="N7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0" s="31" t="str">
        <f>CONCATENATE(N700, IF('Input Sheet'!K702="",""," siderite in "))</f>
        <v/>
      </c>
    </row>
    <row r="701" spans="1:15" x14ac:dyDescent="0.35">
      <c r="A701" s="42" t="str">
        <f>IF('Input Sheet'!C703="","",CONCATENATE("Sample ", 'Input Sheet'!B703, "m: ", M701, G701, "% ", "Siltstone, ", O701, 'Input Sheet'!C703, "% ", I701, " Sandstone, ", K701, J701, " FLUOR in SST. ", "TG ", 'Input Sheet'!I703, "U"))</f>
        <v/>
      </c>
      <c r="B701" s="28" t="str">
        <f>IF('Input Sheet'!C703="","",CONCATENATE("Sample ", 'Input Sheet'!B703, "m: ", N701, H701, "% ", "Siltstone, ", P701, 'Input Sheet'!C703, "% ", J701, " Sandstone "))</f>
        <v/>
      </c>
      <c r="C701" s="28" t="str">
        <f>IF('Input Sheet'!C703="","",CONCATENATE("Sample ", 'Input Sheet'!B703, "m: ", M701,, K701, J701, " FLUOR in SST. ", "TG ", 'Input Sheet'!I703, "U"))</f>
        <v/>
      </c>
      <c r="G701" s="31" t="str">
        <f>IF('Input Sheet'!C703="","",100-'Input Sheet'!C703)</f>
        <v/>
      </c>
      <c r="H7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1" s="31" t="str">
        <f t="shared" si="10"/>
        <v/>
      </c>
      <c r="J7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1" s="31" t="str">
        <f>IF('Input Sheet'!F702=0, "NO",CONCATENATE('Input Sheet'!F702, IF('Input Sheet'!F702&gt;0,"% ","")))</f>
        <v>NO</v>
      </c>
      <c r="L7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1" s="31" t="str">
        <f>CONCATENATE(L701, IF('Input Sheet'!J703="",""," siderite in "))</f>
        <v/>
      </c>
      <c r="N7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1" s="31" t="str">
        <f>CONCATENATE(N701, IF('Input Sheet'!K703="",""," siderite in "))</f>
        <v/>
      </c>
    </row>
    <row r="702" spans="1:15" x14ac:dyDescent="0.35">
      <c r="A702" s="42" t="str">
        <f>IF('Input Sheet'!C704="","",CONCATENATE("Sample ", 'Input Sheet'!B704, "m: ", M702, G702, "% ", "Siltstone, ", O702, 'Input Sheet'!C704, "% ", I702, " Sandstone, ", K702, J702, " FLUOR in SST. ", "TG ", 'Input Sheet'!I704, "U"))</f>
        <v/>
      </c>
      <c r="B702" s="28" t="str">
        <f>IF('Input Sheet'!C704="","",CONCATENATE("Sample ", 'Input Sheet'!B704, "m: ", N702, H702, "% ", "Siltstone, ", P702, 'Input Sheet'!C704, "% ", J702, " Sandstone "))</f>
        <v/>
      </c>
      <c r="C702" s="28" t="str">
        <f>IF('Input Sheet'!C704="","",CONCATENATE("Sample ", 'Input Sheet'!B704, "m: ", M702,, K702, J702, " FLUOR in SST. ", "TG ", 'Input Sheet'!I704, "U"))</f>
        <v/>
      </c>
      <c r="G702" s="31" t="str">
        <f>IF('Input Sheet'!C704="","",100-'Input Sheet'!C704)</f>
        <v/>
      </c>
      <c r="H7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2" s="31" t="str">
        <f t="shared" si="10"/>
        <v/>
      </c>
      <c r="J7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2" s="31" t="str">
        <f>IF('Input Sheet'!F703=0, "NO",CONCATENATE('Input Sheet'!F703, IF('Input Sheet'!F703&gt;0,"% ","")))</f>
        <v>NO</v>
      </c>
      <c r="L7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2" s="31" t="str">
        <f>CONCATENATE(L702, IF('Input Sheet'!J704="",""," siderite in "))</f>
        <v/>
      </c>
      <c r="N7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2" s="31" t="str">
        <f>CONCATENATE(N702, IF('Input Sheet'!K704="",""," siderite in "))</f>
        <v/>
      </c>
    </row>
    <row r="703" spans="1:15" x14ac:dyDescent="0.35">
      <c r="A703" s="42" t="str">
        <f>IF('Input Sheet'!C705="","",CONCATENATE("Sample ", 'Input Sheet'!B705, "m: ", M703, G703, "% ", "Siltstone, ", O703, 'Input Sheet'!C705, "% ", I703, " Sandstone, ", K703, J703, " FLUOR in SST. ", "TG ", 'Input Sheet'!I705, "U"))</f>
        <v/>
      </c>
      <c r="B703" s="28" t="str">
        <f>IF('Input Sheet'!C705="","",CONCATENATE("Sample ", 'Input Sheet'!B705, "m: ", N703, H703, "% ", "Siltstone, ", P703, 'Input Sheet'!C705, "% ", J703, " Sandstone "))</f>
        <v/>
      </c>
      <c r="C703" s="28" t="str">
        <f>IF('Input Sheet'!C705="","",CONCATENATE("Sample ", 'Input Sheet'!B705, "m: ", M703,, K703, J703, " FLUOR in SST. ", "TG ", 'Input Sheet'!I705, "U"))</f>
        <v/>
      </c>
      <c r="G703" s="31" t="str">
        <f>IF('Input Sheet'!C705="","",100-'Input Sheet'!C705)</f>
        <v/>
      </c>
      <c r="H7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3" s="31" t="str">
        <f t="shared" si="10"/>
        <v/>
      </c>
      <c r="J7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3" s="31" t="str">
        <f>IF('Input Sheet'!F704=0, "NO",CONCATENATE('Input Sheet'!F704, IF('Input Sheet'!F704&gt;0,"% ","")))</f>
        <v>NO</v>
      </c>
      <c r="L7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3" s="31" t="str">
        <f>CONCATENATE(L703, IF('Input Sheet'!J705="",""," siderite in "))</f>
        <v/>
      </c>
      <c r="N7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3" s="31" t="str">
        <f>CONCATENATE(N703, IF('Input Sheet'!K705="",""," siderite in "))</f>
        <v/>
      </c>
    </row>
    <row r="704" spans="1:15" x14ac:dyDescent="0.35">
      <c r="A704" s="42" t="str">
        <f>IF('Input Sheet'!C706="","",CONCATENATE("Sample ", 'Input Sheet'!B706, "m: ", M704, G704, "% ", "Siltstone, ", O704, 'Input Sheet'!C706, "% ", I704, " Sandstone, ", K704, J704, " FLUOR in SST. ", "TG ", 'Input Sheet'!I706, "U"))</f>
        <v/>
      </c>
      <c r="B704" s="28" t="str">
        <f>IF('Input Sheet'!C706="","",CONCATENATE("Sample ", 'Input Sheet'!B706, "m: ", N704, H704, "% ", "Siltstone, ", P704, 'Input Sheet'!C706, "% ", J704, " Sandstone "))</f>
        <v/>
      </c>
      <c r="C704" s="28" t="str">
        <f>IF('Input Sheet'!C706="","",CONCATENATE("Sample ", 'Input Sheet'!B706, "m: ", M704,, K704, J704, " FLUOR in SST. ", "TG ", 'Input Sheet'!I706, "U"))</f>
        <v/>
      </c>
      <c r="G704" s="31" t="str">
        <f>IF('Input Sheet'!C706="","",100-'Input Sheet'!C706)</f>
        <v/>
      </c>
      <c r="H7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4" s="31" t="str">
        <f t="shared" si="10"/>
        <v/>
      </c>
      <c r="J7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4" s="31" t="str">
        <f>IF('Input Sheet'!F705=0, "NO",CONCATENATE('Input Sheet'!F705, IF('Input Sheet'!F705&gt;0,"% ","")))</f>
        <v>NO</v>
      </c>
      <c r="L7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4" s="31" t="str">
        <f>CONCATENATE(L704, IF('Input Sheet'!J706="",""," siderite in "))</f>
        <v/>
      </c>
      <c r="N7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4" s="31" t="str">
        <f>CONCATENATE(N704, IF('Input Sheet'!K706="",""," siderite in "))</f>
        <v/>
      </c>
    </row>
    <row r="705" spans="1:15" x14ac:dyDescent="0.35">
      <c r="A705" s="42" t="str">
        <f>IF('Input Sheet'!C707="","",CONCATENATE("Sample ", 'Input Sheet'!B707, "m: ", M705, G705, "% ", "Siltstone, ", O705, 'Input Sheet'!C707, "% ", I705, " Sandstone, ", K705, J705, " FLUOR in SST. ", "TG ", 'Input Sheet'!I707, "U"))</f>
        <v/>
      </c>
      <c r="B705" s="28" t="str">
        <f>IF('Input Sheet'!C707="","",CONCATENATE("Sample ", 'Input Sheet'!B707, "m: ", N705, H705, "% ", "Siltstone, ", P705, 'Input Sheet'!C707, "% ", J705, " Sandstone "))</f>
        <v/>
      </c>
      <c r="C705" s="28" t="str">
        <f>IF('Input Sheet'!C707="","",CONCATENATE("Sample ", 'Input Sheet'!B707, "m: ", M705,, K705, J705, " FLUOR in SST. ", "TG ", 'Input Sheet'!I707, "U"))</f>
        <v/>
      </c>
      <c r="G705" s="31" t="str">
        <f>IF('Input Sheet'!C707="","",100-'Input Sheet'!C707)</f>
        <v/>
      </c>
      <c r="H7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5" s="31" t="str">
        <f t="shared" si="10"/>
        <v/>
      </c>
      <c r="J7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5" s="31" t="str">
        <f>IF('Input Sheet'!F706=0, "NO",CONCATENATE('Input Sheet'!F706, IF('Input Sheet'!F706&gt;0,"% ","")))</f>
        <v>NO</v>
      </c>
      <c r="L7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5" s="31" t="str">
        <f>CONCATENATE(L705, IF('Input Sheet'!J707="",""," siderite in "))</f>
        <v/>
      </c>
      <c r="N7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5" s="31" t="str">
        <f>CONCATENATE(N705, IF('Input Sheet'!K707="",""," siderite in "))</f>
        <v/>
      </c>
    </row>
    <row r="706" spans="1:15" x14ac:dyDescent="0.35">
      <c r="A706" s="42" t="str">
        <f>IF('Input Sheet'!C708="","",CONCATENATE("Sample ", 'Input Sheet'!B708, "m: ", M706, G706, "% ", "Siltstone, ", O706, 'Input Sheet'!C708, "% ", I706, " Sandstone, ", K706, J706, " FLUOR in SST. ", "TG ", 'Input Sheet'!I708, "U"))</f>
        <v/>
      </c>
      <c r="B706" s="28" t="str">
        <f>IF('Input Sheet'!C708="","",CONCATENATE("Sample ", 'Input Sheet'!B708, "m: ", N706, H706, "% ", "Siltstone, ", P706, 'Input Sheet'!C708, "% ", J706, " Sandstone "))</f>
        <v/>
      </c>
      <c r="C706" s="28" t="str">
        <f>IF('Input Sheet'!C708="","",CONCATENATE("Sample ", 'Input Sheet'!B708, "m: ", M706,, K706, J706, " FLUOR in SST. ", "TG ", 'Input Sheet'!I708, "U"))</f>
        <v/>
      </c>
      <c r="G706" s="31" t="str">
        <f>IF('Input Sheet'!C708="","",100-'Input Sheet'!C708)</f>
        <v/>
      </c>
      <c r="H7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6" s="31" t="str">
        <f t="shared" ref="I706:I769" si="11">SUBSTITUTE(H706, "veryfine", "very fine")</f>
        <v/>
      </c>
      <c r="J7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6" s="31" t="str">
        <f>IF('Input Sheet'!F707=0, "NO",CONCATENATE('Input Sheet'!F707, IF('Input Sheet'!F707&gt;0,"% ","")))</f>
        <v>NO</v>
      </c>
      <c r="L7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6" s="31" t="str">
        <f>CONCATENATE(L706, IF('Input Sheet'!J708="",""," siderite in "))</f>
        <v/>
      </c>
      <c r="N7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6" s="31" t="str">
        <f>CONCATENATE(N706, IF('Input Sheet'!K708="",""," siderite in "))</f>
        <v/>
      </c>
    </row>
    <row r="707" spans="1:15" x14ac:dyDescent="0.35">
      <c r="A707" s="42" t="str">
        <f>IF('Input Sheet'!C709="","",CONCATENATE("Sample ", 'Input Sheet'!B709, "m: ", M707, G707, "% ", "Siltstone, ", O707, 'Input Sheet'!C709, "% ", I707, " Sandstone, ", K707, J707, " FLUOR in SST. ", "TG ", 'Input Sheet'!I709, "U"))</f>
        <v/>
      </c>
      <c r="B707" s="28" t="str">
        <f>IF('Input Sheet'!C709="","",CONCATENATE("Sample ", 'Input Sheet'!B709, "m: ", N707, H707, "% ", "Siltstone, ", P707, 'Input Sheet'!C709, "% ", J707, " Sandstone "))</f>
        <v/>
      </c>
      <c r="C707" s="28" t="str">
        <f>IF('Input Sheet'!C709="","",CONCATENATE("Sample ", 'Input Sheet'!B709, "m: ", M707,, K707, J707, " FLUOR in SST. ", "TG ", 'Input Sheet'!I709, "U"))</f>
        <v/>
      </c>
      <c r="G707" s="31" t="str">
        <f>IF('Input Sheet'!C709="","",100-'Input Sheet'!C709)</f>
        <v/>
      </c>
      <c r="H7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7" s="31" t="str">
        <f t="shared" si="11"/>
        <v/>
      </c>
      <c r="J7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7" s="31" t="str">
        <f>IF('Input Sheet'!F708=0, "NO",CONCATENATE('Input Sheet'!F708, IF('Input Sheet'!F708&gt;0,"% ","")))</f>
        <v>NO</v>
      </c>
      <c r="L7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7" s="31" t="str">
        <f>CONCATENATE(L707, IF('Input Sheet'!J709="",""," siderite in "))</f>
        <v/>
      </c>
      <c r="N7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7" s="31" t="str">
        <f>CONCATENATE(N707, IF('Input Sheet'!K709="",""," siderite in "))</f>
        <v/>
      </c>
    </row>
    <row r="708" spans="1:15" x14ac:dyDescent="0.35">
      <c r="A708" s="42" t="str">
        <f>IF('Input Sheet'!C710="","",CONCATENATE("Sample ", 'Input Sheet'!B710, "m: ", M708, G708, "% ", "Siltstone, ", O708, 'Input Sheet'!C710, "% ", I708, " Sandstone, ", K708, J708, " FLUOR in SST. ", "TG ", 'Input Sheet'!I710, "U"))</f>
        <v/>
      </c>
      <c r="B708" s="28" t="str">
        <f>IF('Input Sheet'!C710="","",CONCATENATE("Sample ", 'Input Sheet'!B710, "m: ", N708, H708, "% ", "Siltstone, ", P708, 'Input Sheet'!C710, "% ", J708, " Sandstone "))</f>
        <v/>
      </c>
      <c r="C708" s="28" t="str">
        <f>IF('Input Sheet'!C710="","",CONCATENATE("Sample ", 'Input Sheet'!B710, "m: ", M708,, K708, J708, " FLUOR in SST. ", "TG ", 'Input Sheet'!I710, "U"))</f>
        <v/>
      </c>
      <c r="G708" s="31" t="str">
        <f>IF('Input Sheet'!C710="","",100-'Input Sheet'!C710)</f>
        <v/>
      </c>
      <c r="H7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8" s="31" t="str">
        <f t="shared" si="11"/>
        <v/>
      </c>
      <c r="J7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8" s="31" t="str">
        <f>IF('Input Sheet'!F709=0, "NO",CONCATENATE('Input Sheet'!F709, IF('Input Sheet'!F709&gt;0,"% ","")))</f>
        <v>NO</v>
      </c>
      <c r="L7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8" s="31" t="str">
        <f>CONCATENATE(L708, IF('Input Sheet'!J710="",""," siderite in "))</f>
        <v/>
      </c>
      <c r="N7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8" s="31" t="str">
        <f>CONCATENATE(N708, IF('Input Sheet'!K710="",""," siderite in "))</f>
        <v/>
      </c>
    </row>
    <row r="709" spans="1:15" x14ac:dyDescent="0.35">
      <c r="A709" s="42" t="str">
        <f>IF('Input Sheet'!C711="","",CONCATENATE("Sample ", 'Input Sheet'!B711, "m: ", M709, G709, "% ", "Siltstone, ", O709, 'Input Sheet'!C711, "% ", I709, " Sandstone, ", K709, J709, " FLUOR in SST. ", "TG ", 'Input Sheet'!I711, "U"))</f>
        <v/>
      </c>
      <c r="B709" s="28" t="str">
        <f>IF('Input Sheet'!C711="","",CONCATENATE("Sample ", 'Input Sheet'!B711, "m: ", N709, H709, "% ", "Siltstone, ", P709, 'Input Sheet'!C711, "% ", J709, " Sandstone "))</f>
        <v/>
      </c>
      <c r="C709" s="28" t="str">
        <f>IF('Input Sheet'!C711="","",CONCATENATE("Sample ", 'Input Sheet'!B711, "m: ", M709,, K709, J709, " FLUOR in SST. ", "TG ", 'Input Sheet'!I711, "U"))</f>
        <v/>
      </c>
      <c r="G709" s="31" t="str">
        <f>IF('Input Sheet'!C711="","",100-'Input Sheet'!C711)</f>
        <v/>
      </c>
      <c r="H7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9" s="31" t="str">
        <f t="shared" si="11"/>
        <v/>
      </c>
      <c r="J7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9" s="31" t="str">
        <f>IF('Input Sheet'!F710=0, "NO",CONCATENATE('Input Sheet'!F710, IF('Input Sheet'!F710&gt;0,"% ","")))</f>
        <v>NO</v>
      </c>
      <c r="L7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9" s="31" t="str">
        <f>CONCATENATE(L709, IF('Input Sheet'!J711="",""," siderite in "))</f>
        <v/>
      </c>
      <c r="N7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9" s="31" t="str">
        <f>CONCATENATE(N709, IF('Input Sheet'!K711="",""," siderite in "))</f>
        <v/>
      </c>
    </row>
    <row r="710" spans="1:15" x14ac:dyDescent="0.35">
      <c r="A710" s="42" t="str">
        <f>IF('Input Sheet'!C712="","",CONCATENATE("Sample ", 'Input Sheet'!B712, "m: ", M710, G710, "% ", "Siltstone, ", O710, 'Input Sheet'!C712, "% ", I710, " Sandstone, ", K710, J710, " FLUOR in SST. ", "TG ", 'Input Sheet'!I712, "U"))</f>
        <v/>
      </c>
      <c r="B710" s="28" t="str">
        <f>IF('Input Sheet'!C712="","",CONCATENATE("Sample ", 'Input Sheet'!B712, "m: ", N710, H710, "% ", "Siltstone, ", P710, 'Input Sheet'!C712, "% ", J710, " Sandstone "))</f>
        <v/>
      </c>
      <c r="C710" s="28" t="str">
        <f>IF('Input Sheet'!C712="","",CONCATENATE("Sample ", 'Input Sheet'!B712, "m: ", M710,, K710, J710, " FLUOR in SST. ", "TG ", 'Input Sheet'!I712, "U"))</f>
        <v/>
      </c>
      <c r="G710" s="31" t="str">
        <f>IF('Input Sheet'!C712="","",100-'Input Sheet'!C712)</f>
        <v/>
      </c>
      <c r="H7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0" s="31" t="str">
        <f t="shared" si="11"/>
        <v/>
      </c>
      <c r="J7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0" s="31" t="str">
        <f>IF('Input Sheet'!F711=0, "NO",CONCATENATE('Input Sheet'!F711, IF('Input Sheet'!F711&gt;0,"% ","")))</f>
        <v>NO</v>
      </c>
      <c r="L7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0" s="31" t="str">
        <f>CONCATENATE(L710, IF('Input Sheet'!J712="",""," siderite in "))</f>
        <v/>
      </c>
      <c r="N7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0" s="31" t="str">
        <f>CONCATENATE(N710, IF('Input Sheet'!K712="",""," siderite in "))</f>
        <v/>
      </c>
    </row>
    <row r="711" spans="1:15" x14ac:dyDescent="0.35">
      <c r="A711" s="42" t="str">
        <f>IF('Input Sheet'!C713="","",CONCATENATE("Sample ", 'Input Sheet'!B713, "m: ", M711, G711, "% ", "Siltstone, ", O711, 'Input Sheet'!C713, "% ", I711, " Sandstone, ", K711, J711, " FLUOR in SST. ", "TG ", 'Input Sheet'!I713, "U"))</f>
        <v/>
      </c>
      <c r="B711" s="28" t="str">
        <f>IF('Input Sheet'!C713="","",CONCATENATE("Sample ", 'Input Sheet'!B713, "m: ", N711, H711, "% ", "Siltstone, ", P711, 'Input Sheet'!C713, "% ", J711, " Sandstone "))</f>
        <v/>
      </c>
      <c r="C711" s="28" t="str">
        <f>IF('Input Sheet'!C713="","",CONCATENATE("Sample ", 'Input Sheet'!B713, "m: ", M711,, K711, J711, " FLUOR in SST. ", "TG ", 'Input Sheet'!I713, "U"))</f>
        <v/>
      </c>
      <c r="G711" s="31" t="str">
        <f>IF('Input Sheet'!C713="","",100-'Input Sheet'!C713)</f>
        <v/>
      </c>
      <c r="H7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1" s="31" t="str">
        <f t="shared" si="11"/>
        <v/>
      </c>
      <c r="J7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1" s="31" t="str">
        <f>IF('Input Sheet'!F712=0, "NO",CONCATENATE('Input Sheet'!F712, IF('Input Sheet'!F712&gt;0,"% ","")))</f>
        <v>NO</v>
      </c>
      <c r="L7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1" s="31" t="str">
        <f>CONCATENATE(L711, IF('Input Sheet'!J713="",""," siderite in "))</f>
        <v/>
      </c>
      <c r="N7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1" s="31" t="str">
        <f>CONCATENATE(N711, IF('Input Sheet'!K713="",""," siderite in "))</f>
        <v/>
      </c>
    </row>
    <row r="712" spans="1:15" x14ac:dyDescent="0.35">
      <c r="A712" s="42" t="str">
        <f>IF('Input Sheet'!C714="","",CONCATENATE("Sample ", 'Input Sheet'!B714, "m: ", M712, G712, "% ", "Siltstone, ", O712, 'Input Sheet'!C714, "% ", I712, " Sandstone, ", K712, J712, " FLUOR in SST. ", "TG ", 'Input Sheet'!I714, "U"))</f>
        <v/>
      </c>
      <c r="B712" s="28" t="str">
        <f>IF('Input Sheet'!C714="","",CONCATENATE("Sample ", 'Input Sheet'!B714, "m: ", N712, H712, "% ", "Siltstone, ", P712, 'Input Sheet'!C714, "% ", J712, " Sandstone "))</f>
        <v/>
      </c>
      <c r="C712" s="28" t="str">
        <f>IF('Input Sheet'!C714="","",CONCATENATE("Sample ", 'Input Sheet'!B714, "m: ", M712,, K712, J712, " FLUOR in SST. ", "TG ", 'Input Sheet'!I714, "U"))</f>
        <v/>
      </c>
      <c r="G712" s="31" t="str">
        <f>IF('Input Sheet'!C714="","",100-'Input Sheet'!C714)</f>
        <v/>
      </c>
      <c r="H7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2" s="31" t="str">
        <f t="shared" si="11"/>
        <v/>
      </c>
      <c r="J7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2" s="31" t="str">
        <f>IF('Input Sheet'!F713=0, "NO",CONCATENATE('Input Sheet'!F713, IF('Input Sheet'!F713&gt;0,"% ","")))</f>
        <v>NO</v>
      </c>
      <c r="L7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2" s="31" t="str">
        <f>CONCATENATE(L712, IF('Input Sheet'!J714="",""," siderite in "))</f>
        <v/>
      </c>
      <c r="N7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2" s="31" t="str">
        <f>CONCATENATE(N712, IF('Input Sheet'!K714="",""," siderite in "))</f>
        <v/>
      </c>
    </row>
    <row r="713" spans="1:15" x14ac:dyDescent="0.35">
      <c r="A713" s="42" t="str">
        <f>IF('Input Sheet'!C715="","",CONCATENATE("Sample ", 'Input Sheet'!B715, "m: ", M713, G713, "% ", "Siltstone, ", O713, 'Input Sheet'!C715, "% ", I713, " Sandstone, ", K713, J713, " FLUOR in SST. ", "TG ", 'Input Sheet'!I715, "U"))</f>
        <v/>
      </c>
      <c r="B713" s="28" t="str">
        <f>IF('Input Sheet'!C715="","",CONCATENATE("Sample ", 'Input Sheet'!B715, "m: ", N713, H713, "% ", "Siltstone, ", P713, 'Input Sheet'!C715, "% ", J713, " Sandstone "))</f>
        <v/>
      </c>
      <c r="C713" s="28" t="str">
        <f>IF('Input Sheet'!C715="","",CONCATENATE("Sample ", 'Input Sheet'!B715, "m: ", M713,, K713, J713, " FLUOR in SST. ", "TG ", 'Input Sheet'!I715, "U"))</f>
        <v/>
      </c>
      <c r="G713" s="31" t="str">
        <f>IF('Input Sheet'!C715="","",100-'Input Sheet'!C715)</f>
        <v/>
      </c>
      <c r="H7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3" s="31" t="str">
        <f t="shared" si="11"/>
        <v/>
      </c>
      <c r="J7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3" s="31" t="str">
        <f>IF('Input Sheet'!F714=0, "NO",CONCATENATE('Input Sheet'!F714, IF('Input Sheet'!F714&gt;0,"% ","")))</f>
        <v>NO</v>
      </c>
      <c r="L7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3" s="31" t="str">
        <f>CONCATENATE(L713, IF('Input Sheet'!J715="",""," siderite in "))</f>
        <v/>
      </c>
      <c r="N7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3" s="31" t="str">
        <f>CONCATENATE(N713, IF('Input Sheet'!K715="",""," siderite in "))</f>
        <v/>
      </c>
    </row>
    <row r="714" spans="1:15" x14ac:dyDescent="0.35">
      <c r="A714" s="42" t="str">
        <f>IF('Input Sheet'!C716="","",CONCATENATE("Sample ", 'Input Sheet'!B716, "m: ", M714, G714, "% ", "Siltstone, ", O714, 'Input Sheet'!C716, "% ", I714, " Sandstone, ", K714, J714, " FLUOR in SST. ", "TG ", 'Input Sheet'!I716, "U"))</f>
        <v/>
      </c>
      <c r="B714" s="28" t="str">
        <f>IF('Input Sheet'!C716="","",CONCATENATE("Sample ", 'Input Sheet'!B716, "m: ", N714, H714, "% ", "Siltstone, ", P714, 'Input Sheet'!C716, "% ", J714, " Sandstone "))</f>
        <v/>
      </c>
      <c r="C714" s="28" t="str">
        <f>IF('Input Sheet'!C716="","",CONCATENATE("Sample ", 'Input Sheet'!B716, "m: ", M714,, K714, J714, " FLUOR in SST. ", "TG ", 'Input Sheet'!I716, "U"))</f>
        <v/>
      </c>
      <c r="G714" s="31" t="str">
        <f>IF('Input Sheet'!C716="","",100-'Input Sheet'!C716)</f>
        <v/>
      </c>
      <c r="H7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4" s="31" t="str">
        <f t="shared" si="11"/>
        <v/>
      </c>
      <c r="J7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4" s="31" t="str">
        <f>IF('Input Sheet'!F715=0, "NO",CONCATENATE('Input Sheet'!F715, IF('Input Sheet'!F715&gt;0,"% ","")))</f>
        <v>NO</v>
      </c>
      <c r="L7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4" s="31" t="str">
        <f>CONCATENATE(L714, IF('Input Sheet'!J716="",""," siderite in "))</f>
        <v/>
      </c>
      <c r="N7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4" s="31" t="str">
        <f>CONCATENATE(N714, IF('Input Sheet'!K716="",""," siderite in "))</f>
        <v/>
      </c>
    </row>
    <row r="715" spans="1:15" x14ac:dyDescent="0.35">
      <c r="A715" s="42" t="str">
        <f>IF('Input Sheet'!C717="","",CONCATENATE("Sample ", 'Input Sheet'!B717, "m: ", M715, G715, "% ", "Siltstone, ", O715, 'Input Sheet'!C717, "% ", I715, " Sandstone, ", K715, J715, " FLUOR in SST. ", "TG ", 'Input Sheet'!I717, "U"))</f>
        <v/>
      </c>
      <c r="B715" s="28" t="str">
        <f>IF('Input Sheet'!C717="","",CONCATENATE("Sample ", 'Input Sheet'!B717, "m: ", N715, H715, "% ", "Siltstone, ", P715, 'Input Sheet'!C717, "% ", J715, " Sandstone "))</f>
        <v/>
      </c>
      <c r="C715" s="28" t="str">
        <f>IF('Input Sheet'!C717="","",CONCATENATE("Sample ", 'Input Sheet'!B717, "m: ", M715,, K715, J715, " FLUOR in SST. ", "TG ", 'Input Sheet'!I717, "U"))</f>
        <v/>
      </c>
      <c r="G715" s="31" t="str">
        <f>IF('Input Sheet'!C717="","",100-'Input Sheet'!C717)</f>
        <v/>
      </c>
      <c r="H7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5" s="31" t="str">
        <f t="shared" si="11"/>
        <v/>
      </c>
      <c r="J7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5" s="31" t="str">
        <f>IF('Input Sheet'!F716=0, "NO",CONCATENATE('Input Sheet'!F716, IF('Input Sheet'!F716&gt;0,"% ","")))</f>
        <v>NO</v>
      </c>
      <c r="L7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5" s="31" t="str">
        <f>CONCATENATE(L715, IF('Input Sheet'!J717="",""," siderite in "))</f>
        <v/>
      </c>
      <c r="N7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5" s="31" t="str">
        <f>CONCATENATE(N715, IF('Input Sheet'!K717="",""," siderite in "))</f>
        <v/>
      </c>
    </row>
    <row r="716" spans="1:15" x14ac:dyDescent="0.35">
      <c r="A716" s="42" t="str">
        <f>IF('Input Sheet'!C718="","",CONCATENATE("Sample ", 'Input Sheet'!B718, "m: ", M716, G716, "% ", "Siltstone, ", O716, 'Input Sheet'!C718, "% ", I716, " Sandstone, ", K716, J716, " FLUOR in SST. ", "TG ", 'Input Sheet'!I718, "U"))</f>
        <v/>
      </c>
      <c r="B716" s="28" t="str">
        <f>IF('Input Sheet'!C718="","",CONCATENATE("Sample ", 'Input Sheet'!B718, "m: ", N716, H716, "% ", "Siltstone, ", P716, 'Input Sheet'!C718, "% ", J716, " Sandstone "))</f>
        <v/>
      </c>
      <c r="C716" s="28" t="str">
        <f>IF('Input Sheet'!C718="","",CONCATENATE("Sample ", 'Input Sheet'!B718, "m: ", M716,, K716, J716, " FLUOR in SST. ", "TG ", 'Input Sheet'!I718, "U"))</f>
        <v/>
      </c>
      <c r="G716" s="31" t="str">
        <f>IF('Input Sheet'!C718="","",100-'Input Sheet'!C718)</f>
        <v/>
      </c>
      <c r="H7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6" s="31" t="str">
        <f t="shared" si="11"/>
        <v/>
      </c>
      <c r="J7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6" s="31" t="str">
        <f>IF('Input Sheet'!F717=0, "NO",CONCATENATE('Input Sheet'!F717, IF('Input Sheet'!F717&gt;0,"% ","")))</f>
        <v>NO</v>
      </c>
      <c r="L7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6" s="31" t="str">
        <f>CONCATENATE(L716, IF('Input Sheet'!J718="",""," siderite in "))</f>
        <v/>
      </c>
      <c r="N7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6" s="31" t="str">
        <f>CONCATENATE(N716, IF('Input Sheet'!K718="",""," siderite in "))</f>
        <v/>
      </c>
    </row>
    <row r="717" spans="1:15" x14ac:dyDescent="0.35">
      <c r="A717" s="42" t="str">
        <f>IF('Input Sheet'!C719="","",CONCATENATE("Sample ", 'Input Sheet'!B719, "m: ", M717, G717, "% ", "Siltstone, ", O717, 'Input Sheet'!C719, "% ", I717, " Sandstone, ", K717, J717, " FLUOR in SST. ", "TG ", 'Input Sheet'!I719, "U"))</f>
        <v/>
      </c>
      <c r="B717" s="28" t="str">
        <f>IF('Input Sheet'!C719="","",CONCATENATE("Sample ", 'Input Sheet'!B719, "m: ", N717, H717, "% ", "Siltstone, ", P717, 'Input Sheet'!C719, "% ", J717, " Sandstone "))</f>
        <v/>
      </c>
      <c r="C717" s="28" t="str">
        <f>IF('Input Sheet'!C719="","",CONCATENATE("Sample ", 'Input Sheet'!B719, "m: ", M717,, K717, J717, " FLUOR in SST. ", "TG ", 'Input Sheet'!I719, "U"))</f>
        <v/>
      </c>
      <c r="G717" s="31" t="str">
        <f>IF('Input Sheet'!C719="","",100-'Input Sheet'!C719)</f>
        <v/>
      </c>
      <c r="H7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7" s="31" t="str">
        <f t="shared" si="11"/>
        <v/>
      </c>
      <c r="J7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7" s="31" t="str">
        <f>IF('Input Sheet'!F718=0, "NO",CONCATENATE('Input Sheet'!F718, IF('Input Sheet'!F718&gt;0,"% ","")))</f>
        <v>NO</v>
      </c>
      <c r="L7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7" s="31" t="str">
        <f>CONCATENATE(L717, IF('Input Sheet'!J719="",""," siderite in "))</f>
        <v/>
      </c>
      <c r="N7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7" s="31" t="str">
        <f>CONCATENATE(N717, IF('Input Sheet'!K719="",""," siderite in "))</f>
        <v/>
      </c>
    </row>
    <row r="718" spans="1:15" x14ac:dyDescent="0.35">
      <c r="A718" s="42" t="str">
        <f>IF('Input Sheet'!C720="","",CONCATENATE("Sample ", 'Input Sheet'!B720, "m: ", M718, G718, "% ", "Siltstone, ", O718, 'Input Sheet'!C720, "% ", I718, " Sandstone, ", K718, J718, " FLUOR in SST. ", "TG ", 'Input Sheet'!I720, "U"))</f>
        <v/>
      </c>
      <c r="B718" s="28" t="str">
        <f>IF('Input Sheet'!C720="","",CONCATENATE("Sample ", 'Input Sheet'!B720, "m: ", N718, H718, "% ", "Siltstone, ", P718, 'Input Sheet'!C720, "% ", J718, " Sandstone "))</f>
        <v/>
      </c>
      <c r="C718" s="28" t="str">
        <f>IF('Input Sheet'!C720="","",CONCATENATE("Sample ", 'Input Sheet'!B720, "m: ", M718,, K718, J718, " FLUOR in SST. ", "TG ", 'Input Sheet'!I720, "U"))</f>
        <v/>
      </c>
      <c r="G718" s="31" t="str">
        <f>IF('Input Sheet'!C720="","",100-'Input Sheet'!C720)</f>
        <v/>
      </c>
      <c r="H7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8" s="31" t="str">
        <f t="shared" si="11"/>
        <v/>
      </c>
      <c r="J7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8" s="31" t="str">
        <f>IF('Input Sheet'!F719=0, "NO",CONCATENATE('Input Sheet'!F719, IF('Input Sheet'!F719&gt;0,"% ","")))</f>
        <v>NO</v>
      </c>
      <c r="L7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8" s="31" t="str">
        <f>CONCATENATE(L718, IF('Input Sheet'!J720="",""," siderite in "))</f>
        <v/>
      </c>
      <c r="N7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8" s="31" t="str">
        <f>CONCATENATE(N718, IF('Input Sheet'!K720="",""," siderite in "))</f>
        <v/>
      </c>
    </row>
    <row r="719" spans="1:15" x14ac:dyDescent="0.35">
      <c r="A719" s="42" t="str">
        <f>IF('Input Sheet'!C721="","",CONCATENATE("Sample ", 'Input Sheet'!B721, "m: ", M719, G719, "% ", "Siltstone, ", O719, 'Input Sheet'!C721, "% ", I719, " Sandstone, ", K719, J719, " FLUOR in SST. ", "TG ", 'Input Sheet'!I721, "U"))</f>
        <v/>
      </c>
      <c r="B719" s="28" t="str">
        <f>IF('Input Sheet'!C721="","",CONCATENATE("Sample ", 'Input Sheet'!B721, "m: ", N719, H719, "% ", "Siltstone, ", P719, 'Input Sheet'!C721, "% ", J719, " Sandstone "))</f>
        <v/>
      </c>
      <c r="C719" s="28" t="str">
        <f>IF('Input Sheet'!C721="","",CONCATENATE("Sample ", 'Input Sheet'!B721, "m: ", M719,, K719, J719, " FLUOR in SST. ", "TG ", 'Input Sheet'!I721, "U"))</f>
        <v/>
      </c>
      <c r="G719" s="31" t="str">
        <f>IF('Input Sheet'!C721="","",100-'Input Sheet'!C721)</f>
        <v/>
      </c>
      <c r="H7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9" s="31" t="str">
        <f t="shared" si="11"/>
        <v/>
      </c>
      <c r="J7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9" s="31" t="str">
        <f>IF('Input Sheet'!F720=0, "NO",CONCATENATE('Input Sheet'!F720, IF('Input Sheet'!F720&gt;0,"% ","")))</f>
        <v>NO</v>
      </c>
      <c r="L7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9" s="31" t="str">
        <f>CONCATENATE(L719, IF('Input Sheet'!J721="",""," siderite in "))</f>
        <v/>
      </c>
      <c r="N7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9" s="31" t="str">
        <f>CONCATENATE(N719, IF('Input Sheet'!K721="",""," siderite in "))</f>
        <v/>
      </c>
    </row>
    <row r="720" spans="1:15" x14ac:dyDescent="0.35">
      <c r="A720" s="42" t="str">
        <f>IF('Input Sheet'!C722="","",CONCATENATE("Sample ", 'Input Sheet'!B722, "m: ", M720, G720, "% ", "Siltstone, ", O720, 'Input Sheet'!C722, "% ", I720, " Sandstone, ", K720, J720, " FLUOR in SST. ", "TG ", 'Input Sheet'!I722, "U"))</f>
        <v/>
      </c>
      <c r="B720" s="28" t="str">
        <f>IF('Input Sheet'!C722="","",CONCATENATE("Sample ", 'Input Sheet'!B722, "m: ", N720, H720, "% ", "Siltstone, ", P720, 'Input Sheet'!C722, "% ", J720, " Sandstone "))</f>
        <v/>
      </c>
      <c r="C720" s="28" t="str">
        <f>IF('Input Sheet'!C722="","",CONCATENATE("Sample ", 'Input Sheet'!B722, "m: ", M720,, K720, J720, " FLUOR in SST. ", "TG ", 'Input Sheet'!I722, "U"))</f>
        <v/>
      </c>
      <c r="G720" s="31" t="str">
        <f>IF('Input Sheet'!C722="","",100-'Input Sheet'!C722)</f>
        <v/>
      </c>
      <c r="H7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0" s="31" t="str">
        <f t="shared" si="11"/>
        <v/>
      </c>
      <c r="J7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0" s="31" t="str">
        <f>IF('Input Sheet'!F721=0, "NO",CONCATENATE('Input Sheet'!F721, IF('Input Sheet'!F721&gt;0,"% ","")))</f>
        <v>NO</v>
      </c>
      <c r="L7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0" s="31" t="str">
        <f>CONCATENATE(L720, IF('Input Sheet'!J722="",""," siderite in "))</f>
        <v/>
      </c>
      <c r="N7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0" s="31" t="str">
        <f>CONCATENATE(N720, IF('Input Sheet'!K722="",""," siderite in "))</f>
        <v/>
      </c>
    </row>
    <row r="721" spans="1:15" x14ac:dyDescent="0.35">
      <c r="A721" s="42" t="str">
        <f>IF('Input Sheet'!C723="","",CONCATENATE("Sample ", 'Input Sheet'!B723, "m: ", M721, G721, "% ", "Siltstone, ", O721, 'Input Sheet'!C723, "% ", I721, " Sandstone, ", K721, J721, " FLUOR in SST. ", "TG ", 'Input Sheet'!I723, "U"))</f>
        <v/>
      </c>
      <c r="B721" s="28" t="str">
        <f>IF('Input Sheet'!C723="","",CONCATENATE("Sample ", 'Input Sheet'!B723, "m: ", N721, H721, "% ", "Siltstone, ", P721, 'Input Sheet'!C723, "% ", J721, " Sandstone "))</f>
        <v/>
      </c>
      <c r="C721" s="28" t="str">
        <f>IF('Input Sheet'!C723="","",CONCATENATE("Sample ", 'Input Sheet'!B723, "m: ", M721,, K721, J721, " FLUOR in SST. ", "TG ", 'Input Sheet'!I723, "U"))</f>
        <v/>
      </c>
      <c r="G721" s="31" t="str">
        <f>IF('Input Sheet'!C723="","",100-'Input Sheet'!C723)</f>
        <v/>
      </c>
      <c r="H7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1" s="31" t="str">
        <f t="shared" si="11"/>
        <v/>
      </c>
      <c r="J7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1" s="31" t="str">
        <f>IF('Input Sheet'!F722=0, "NO",CONCATENATE('Input Sheet'!F722, IF('Input Sheet'!F722&gt;0,"% ","")))</f>
        <v>NO</v>
      </c>
      <c r="L7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1" s="31" t="str">
        <f>CONCATENATE(L721, IF('Input Sheet'!J723="",""," siderite in "))</f>
        <v/>
      </c>
      <c r="N7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1" s="31" t="str">
        <f>CONCATENATE(N721, IF('Input Sheet'!K723="",""," siderite in "))</f>
        <v/>
      </c>
    </row>
    <row r="722" spans="1:15" x14ac:dyDescent="0.35">
      <c r="A722" s="42" t="str">
        <f>IF('Input Sheet'!C724="","",CONCATENATE("Sample ", 'Input Sheet'!B724, "m: ", M722, G722, "% ", "Siltstone, ", O722, 'Input Sheet'!C724, "% ", I722, " Sandstone, ", K722, J722, " FLUOR in SST. ", "TG ", 'Input Sheet'!I724, "U"))</f>
        <v/>
      </c>
      <c r="B722" s="28" t="str">
        <f>IF('Input Sheet'!C724="","",CONCATENATE("Sample ", 'Input Sheet'!B724, "m: ", N722, H722, "% ", "Siltstone, ", P722, 'Input Sheet'!C724, "% ", J722, " Sandstone "))</f>
        <v/>
      </c>
      <c r="C722" s="28" t="str">
        <f>IF('Input Sheet'!C724="","",CONCATENATE("Sample ", 'Input Sheet'!B724, "m: ", M722,, K722, J722, " FLUOR in SST. ", "TG ", 'Input Sheet'!I724, "U"))</f>
        <v/>
      </c>
      <c r="G722" s="31" t="str">
        <f>IF('Input Sheet'!C724="","",100-'Input Sheet'!C724)</f>
        <v/>
      </c>
      <c r="H7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2" s="31" t="str">
        <f t="shared" si="11"/>
        <v/>
      </c>
      <c r="J7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2" s="31" t="str">
        <f>IF('Input Sheet'!F723=0, "NO",CONCATENATE('Input Sheet'!F723, IF('Input Sheet'!F723&gt;0,"% ","")))</f>
        <v>NO</v>
      </c>
      <c r="L7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2" s="31" t="str">
        <f>CONCATENATE(L722, IF('Input Sheet'!J724="",""," siderite in "))</f>
        <v/>
      </c>
      <c r="N7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2" s="31" t="str">
        <f>CONCATENATE(N722, IF('Input Sheet'!K724="",""," siderite in "))</f>
        <v/>
      </c>
    </row>
    <row r="723" spans="1:15" x14ac:dyDescent="0.35">
      <c r="A723" s="42" t="str">
        <f>IF('Input Sheet'!C725="","",CONCATENATE("Sample ", 'Input Sheet'!B725, "m: ", M723, G723, "% ", "Siltstone, ", O723, 'Input Sheet'!C725, "% ", I723, " Sandstone, ", K723, J723, " FLUOR in SST. ", "TG ", 'Input Sheet'!I725, "U"))</f>
        <v/>
      </c>
      <c r="B723" s="28" t="str">
        <f>IF('Input Sheet'!C725="","",CONCATENATE("Sample ", 'Input Sheet'!B725, "m: ", N723, H723, "% ", "Siltstone, ", P723, 'Input Sheet'!C725, "% ", J723, " Sandstone "))</f>
        <v/>
      </c>
      <c r="C723" s="28" t="str">
        <f>IF('Input Sheet'!C725="","",CONCATENATE("Sample ", 'Input Sheet'!B725, "m: ", M723,, K723, J723, " FLUOR in SST. ", "TG ", 'Input Sheet'!I725, "U"))</f>
        <v/>
      </c>
      <c r="G723" s="31" t="str">
        <f>IF('Input Sheet'!C725="","",100-'Input Sheet'!C725)</f>
        <v/>
      </c>
      <c r="H7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3" s="31" t="str">
        <f t="shared" si="11"/>
        <v/>
      </c>
      <c r="J7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3" s="31" t="str">
        <f>IF('Input Sheet'!F724=0, "NO",CONCATENATE('Input Sheet'!F724, IF('Input Sheet'!F724&gt;0,"% ","")))</f>
        <v>NO</v>
      </c>
      <c r="L7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3" s="31" t="str">
        <f>CONCATENATE(L723, IF('Input Sheet'!J725="",""," siderite in "))</f>
        <v/>
      </c>
      <c r="N7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3" s="31" t="str">
        <f>CONCATENATE(N723, IF('Input Sheet'!K725="",""," siderite in "))</f>
        <v/>
      </c>
    </row>
    <row r="724" spans="1:15" x14ac:dyDescent="0.35">
      <c r="A724" s="42" t="str">
        <f>IF('Input Sheet'!C726="","",CONCATENATE("Sample ", 'Input Sheet'!B726, "m: ", M724, G724, "% ", "Siltstone, ", O724, 'Input Sheet'!C726, "% ", I724, " Sandstone, ", K724, J724, " FLUOR in SST. ", "TG ", 'Input Sheet'!I726, "U"))</f>
        <v/>
      </c>
      <c r="B724" s="28" t="str">
        <f>IF('Input Sheet'!C726="","",CONCATENATE("Sample ", 'Input Sheet'!B726, "m: ", N724, H724, "% ", "Siltstone, ", P724, 'Input Sheet'!C726, "% ", J724, " Sandstone "))</f>
        <v/>
      </c>
      <c r="C724" s="28" t="str">
        <f>IF('Input Sheet'!C726="","",CONCATENATE("Sample ", 'Input Sheet'!B726, "m: ", M724,, K724, J724, " FLUOR in SST. ", "TG ", 'Input Sheet'!I726, "U"))</f>
        <v/>
      </c>
      <c r="G724" s="31" t="str">
        <f>IF('Input Sheet'!C726="","",100-'Input Sheet'!C726)</f>
        <v/>
      </c>
      <c r="H7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4" s="31" t="str">
        <f t="shared" si="11"/>
        <v/>
      </c>
      <c r="J7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4" s="31" t="str">
        <f>IF('Input Sheet'!F725=0, "NO",CONCATENATE('Input Sheet'!F725, IF('Input Sheet'!F725&gt;0,"% ","")))</f>
        <v>NO</v>
      </c>
      <c r="L7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4" s="31" t="str">
        <f>CONCATENATE(L724, IF('Input Sheet'!J726="",""," siderite in "))</f>
        <v/>
      </c>
      <c r="N7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4" s="31" t="str">
        <f>CONCATENATE(N724, IF('Input Sheet'!K726="",""," siderite in "))</f>
        <v/>
      </c>
    </row>
    <row r="725" spans="1:15" x14ac:dyDescent="0.35">
      <c r="A725" s="42" t="str">
        <f>IF('Input Sheet'!C727="","",CONCATENATE("Sample ", 'Input Sheet'!B727, "m: ", M725, G725, "% ", "Siltstone, ", O725, 'Input Sheet'!C727, "% ", I725, " Sandstone, ", K725, J725, " FLUOR in SST. ", "TG ", 'Input Sheet'!I727, "U"))</f>
        <v/>
      </c>
      <c r="B725" s="28" t="str">
        <f>IF('Input Sheet'!C727="","",CONCATENATE("Sample ", 'Input Sheet'!B727, "m: ", N725, H725, "% ", "Siltstone, ", P725, 'Input Sheet'!C727, "% ", J725, " Sandstone "))</f>
        <v/>
      </c>
      <c r="C725" s="28" t="str">
        <f>IF('Input Sheet'!C727="","",CONCATENATE("Sample ", 'Input Sheet'!B727, "m: ", M725,, K725, J725, " FLUOR in SST. ", "TG ", 'Input Sheet'!I727, "U"))</f>
        <v/>
      </c>
      <c r="G725" s="31" t="str">
        <f>IF('Input Sheet'!C727="","",100-'Input Sheet'!C727)</f>
        <v/>
      </c>
      <c r="H7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5" s="31" t="str">
        <f t="shared" si="11"/>
        <v/>
      </c>
      <c r="J7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5" s="31" t="str">
        <f>IF('Input Sheet'!F726=0, "NO",CONCATENATE('Input Sheet'!F726, IF('Input Sheet'!F726&gt;0,"% ","")))</f>
        <v>NO</v>
      </c>
      <c r="L7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5" s="31" t="str">
        <f>CONCATENATE(L725, IF('Input Sheet'!J727="",""," siderite in "))</f>
        <v/>
      </c>
      <c r="N7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5" s="31" t="str">
        <f>CONCATENATE(N725, IF('Input Sheet'!K727="",""," siderite in "))</f>
        <v/>
      </c>
    </row>
    <row r="726" spans="1:15" x14ac:dyDescent="0.35">
      <c r="A726" s="42" t="str">
        <f>IF('Input Sheet'!C728="","",CONCATENATE("Sample ", 'Input Sheet'!B728, "m: ", M726, G726, "% ", "Siltstone, ", O726, 'Input Sheet'!C728, "% ", I726, " Sandstone, ", K726, J726, " FLUOR in SST. ", "TG ", 'Input Sheet'!I728, "U"))</f>
        <v/>
      </c>
      <c r="B726" s="28" t="str">
        <f>IF('Input Sheet'!C728="","",CONCATENATE("Sample ", 'Input Sheet'!B728, "m: ", N726, H726, "% ", "Siltstone, ", P726, 'Input Sheet'!C728, "% ", J726, " Sandstone "))</f>
        <v/>
      </c>
      <c r="C726" s="28" t="str">
        <f>IF('Input Sheet'!C728="","",CONCATENATE("Sample ", 'Input Sheet'!B728, "m: ", M726,, K726, J726, " FLUOR in SST. ", "TG ", 'Input Sheet'!I728, "U"))</f>
        <v/>
      </c>
      <c r="G726" s="31" t="str">
        <f>IF('Input Sheet'!C728="","",100-'Input Sheet'!C728)</f>
        <v/>
      </c>
      <c r="H7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6" s="31" t="str">
        <f t="shared" si="11"/>
        <v/>
      </c>
      <c r="J7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6" s="31" t="str">
        <f>IF('Input Sheet'!F727=0, "NO",CONCATENATE('Input Sheet'!F727, IF('Input Sheet'!F727&gt;0,"% ","")))</f>
        <v>NO</v>
      </c>
      <c r="L7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6" s="31" t="str">
        <f>CONCATENATE(L726, IF('Input Sheet'!J728="",""," siderite in "))</f>
        <v/>
      </c>
      <c r="N7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6" s="31" t="str">
        <f>CONCATENATE(N726, IF('Input Sheet'!K728="",""," siderite in "))</f>
        <v/>
      </c>
    </row>
    <row r="727" spans="1:15" x14ac:dyDescent="0.35">
      <c r="A727" s="42" t="str">
        <f>IF('Input Sheet'!C729="","",CONCATENATE("Sample ", 'Input Sheet'!B729, "m: ", M727, G727, "% ", "Siltstone, ", O727, 'Input Sheet'!C729, "% ", I727, " Sandstone, ", K727, J727, " FLUOR in SST. ", "TG ", 'Input Sheet'!I729, "U"))</f>
        <v/>
      </c>
      <c r="B727" s="28" t="str">
        <f>IF('Input Sheet'!C729="","",CONCATENATE("Sample ", 'Input Sheet'!B729, "m: ", N727, H727, "% ", "Siltstone, ", P727, 'Input Sheet'!C729, "% ", J727, " Sandstone "))</f>
        <v/>
      </c>
      <c r="C727" s="28" t="str">
        <f>IF('Input Sheet'!C729="","",CONCATENATE("Sample ", 'Input Sheet'!B729, "m: ", M727,, K727, J727, " FLUOR in SST. ", "TG ", 'Input Sheet'!I729, "U"))</f>
        <v/>
      </c>
      <c r="G727" s="31" t="str">
        <f>IF('Input Sheet'!C729="","",100-'Input Sheet'!C729)</f>
        <v/>
      </c>
      <c r="H7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7" s="31" t="str">
        <f t="shared" si="11"/>
        <v/>
      </c>
      <c r="J7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7" s="31" t="str">
        <f>IF('Input Sheet'!F728=0, "NO",CONCATENATE('Input Sheet'!F728, IF('Input Sheet'!F728&gt;0,"% ","")))</f>
        <v>NO</v>
      </c>
      <c r="L7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7" s="31" t="str">
        <f>CONCATENATE(L727, IF('Input Sheet'!J729="",""," siderite in "))</f>
        <v/>
      </c>
      <c r="N7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7" s="31" t="str">
        <f>CONCATENATE(N727, IF('Input Sheet'!K729="",""," siderite in "))</f>
        <v/>
      </c>
    </row>
    <row r="728" spans="1:15" x14ac:dyDescent="0.35">
      <c r="A728" s="42" t="str">
        <f>IF('Input Sheet'!C730="","",CONCATENATE("Sample ", 'Input Sheet'!B730, "m: ", M728, G728, "% ", "Siltstone, ", O728, 'Input Sheet'!C730, "% ", I728, " Sandstone, ", K728, J728, " FLUOR in SST. ", "TG ", 'Input Sheet'!I730, "U"))</f>
        <v/>
      </c>
      <c r="B728" s="28" t="str">
        <f>IF('Input Sheet'!C730="","",CONCATENATE("Sample ", 'Input Sheet'!B730, "m: ", N728, H728, "% ", "Siltstone, ", P728, 'Input Sheet'!C730, "% ", J728, " Sandstone "))</f>
        <v/>
      </c>
      <c r="C728" s="28" t="str">
        <f>IF('Input Sheet'!C730="","",CONCATENATE("Sample ", 'Input Sheet'!B730, "m: ", M728,, K728, J728, " FLUOR in SST. ", "TG ", 'Input Sheet'!I730, "U"))</f>
        <v/>
      </c>
      <c r="G728" s="31" t="str">
        <f>IF('Input Sheet'!C730="","",100-'Input Sheet'!C730)</f>
        <v/>
      </c>
      <c r="H7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8" s="31" t="str">
        <f t="shared" si="11"/>
        <v/>
      </c>
      <c r="J7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8" s="31" t="str">
        <f>IF('Input Sheet'!F729=0, "NO",CONCATENATE('Input Sheet'!F729, IF('Input Sheet'!F729&gt;0,"% ","")))</f>
        <v>NO</v>
      </c>
      <c r="L7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8" s="31" t="str">
        <f>CONCATENATE(L728, IF('Input Sheet'!J730="",""," siderite in "))</f>
        <v/>
      </c>
      <c r="N7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8" s="31" t="str">
        <f>CONCATENATE(N728, IF('Input Sheet'!K730="",""," siderite in "))</f>
        <v/>
      </c>
    </row>
    <row r="729" spans="1:15" x14ac:dyDescent="0.35">
      <c r="A729" s="42" t="str">
        <f>IF('Input Sheet'!C731="","",CONCATENATE("Sample ", 'Input Sheet'!B731, "m: ", M729, G729, "% ", "Siltstone, ", O729, 'Input Sheet'!C731, "% ", I729, " Sandstone, ", K729, J729, " FLUOR in SST. ", "TG ", 'Input Sheet'!I731, "U"))</f>
        <v/>
      </c>
      <c r="B729" s="28" t="str">
        <f>IF('Input Sheet'!C731="","",CONCATENATE("Sample ", 'Input Sheet'!B731, "m: ", N729, H729, "% ", "Siltstone, ", P729, 'Input Sheet'!C731, "% ", J729, " Sandstone "))</f>
        <v/>
      </c>
      <c r="C729" s="28" t="str">
        <f>IF('Input Sheet'!C731="","",CONCATENATE("Sample ", 'Input Sheet'!B731, "m: ", M729,, K729, J729, " FLUOR in SST. ", "TG ", 'Input Sheet'!I731, "U"))</f>
        <v/>
      </c>
      <c r="G729" s="31" t="str">
        <f>IF('Input Sheet'!C731="","",100-'Input Sheet'!C731)</f>
        <v/>
      </c>
      <c r="H7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9" s="31" t="str">
        <f t="shared" si="11"/>
        <v/>
      </c>
      <c r="J7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9" s="31" t="str">
        <f>IF('Input Sheet'!F730=0, "NO",CONCATENATE('Input Sheet'!F730, IF('Input Sheet'!F730&gt;0,"% ","")))</f>
        <v>NO</v>
      </c>
      <c r="L7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9" s="31" t="str">
        <f>CONCATENATE(L729, IF('Input Sheet'!J731="",""," siderite in "))</f>
        <v/>
      </c>
      <c r="N7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9" s="31" t="str">
        <f>CONCATENATE(N729, IF('Input Sheet'!K731="",""," siderite in "))</f>
        <v/>
      </c>
    </row>
    <row r="730" spans="1:15" x14ac:dyDescent="0.35">
      <c r="A730" s="42" t="str">
        <f>IF('Input Sheet'!C732="","",CONCATENATE("Sample ", 'Input Sheet'!B732, "m: ", M730, G730, "% ", "Siltstone, ", O730, 'Input Sheet'!C732, "% ", I730, " Sandstone, ", K730, J730, " FLUOR in SST. ", "TG ", 'Input Sheet'!I732, "U"))</f>
        <v/>
      </c>
      <c r="B730" s="28" t="str">
        <f>IF('Input Sheet'!C732="","",CONCATENATE("Sample ", 'Input Sheet'!B732, "m: ", N730, H730, "% ", "Siltstone, ", P730, 'Input Sheet'!C732, "% ", J730, " Sandstone "))</f>
        <v/>
      </c>
      <c r="C730" s="28" t="str">
        <f>IF('Input Sheet'!C732="","",CONCATENATE("Sample ", 'Input Sheet'!B732, "m: ", M730,, K730, J730, " FLUOR in SST. ", "TG ", 'Input Sheet'!I732, "U"))</f>
        <v/>
      </c>
      <c r="G730" s="31" t="str">
        <f>IF('Input Sheet'!C732="","",100-'Input Sheet'!C732)</f>
        <v/>
      </c>
      <c r="H7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0" s="31" t="str">
        <f t="shared" si="11"/>
        <v/>
      </c>
      <c r="J7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0" s="31" t="str">
        <f>IF('Input Sheet'!F731=0, "NO",CONCATENATE('Input Sheet'!F731, IF('Input Sheet'!F731&gt;0,"% ","")))</f>
        <v>NO</v>
      </c>
      <c r="L7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0" s="31" t="str">
        <f>CONCATENATE(L730, IF('Input Sheet'!J732="",""," siderite in "))</f>
        <v/>
      </c>
      <c r="N7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0" s="31" t="str">
        <f>CONCATENATE(N730, IF('Input Sheet'!K732="",""," siderite in "))</f>
        <v/>
      </c>
    </row>
    <row r="731" spans="1:15" x14ac:dyDescent="0.35">
      <c r="A731" s="42" t="str">
        <f>IF('Input Sheet'!C733="","",CONCATENATE("Sample ", 'Input Sheet'!B733, "m: ", M731, G731, "% ", "Siltstone, ", O731, 'Input Sheet'!C733, "% ", I731, " Sandstone, ", K731, J731, " FLUOR in SST. ", "TG ", 'Input Sheet'!I733, "U"))</f>
        <v/>
      </c>
      <c r="B731" s="28" t="str">
        <f>IF('Input Sheet'!C733="","",CONCATENATE("Sample ", 'Input Sheet'!B733, "m: ", N731, H731, "% ", "Siltstone, ", P731, 'Input Sheet'!C733, "% ", J731, " Sandstone "))</f>
        <v/>
      </c>
      <c r="C731" s="28" t="str">
        <f>IF('Input Sheet'!C733="","",CONCATENATE("Sample ", 'Input Sheet'!B733, "m: ", M731,, K731, J731, " FLUOR in SST. ", "TG ", 'Input Sheet'!I733, "U"))</f>
        <v/>
      </c>
      <c r="G731" s="31" t="str">
        <f>IF('Input Sheet'!C733="","",100-'Input Sheet'!C733)</f>
        <v/>
      </c>
      <c r="H7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1" s="31" t="str">
        <f t="shared" si="11"/>
        <v/>
      </c>
      <c r="J7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1" s="31" t="str">
        <f>IF('Input Sheet'!F732=0, "NO",CONCATENATE('Input Sheet'!F732, IF('Input Sheet'!F732&gt;0,"% ","")))</f>
        <v>NO</v>
      </c>
      <c r="L7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1" s="31" t="str">
        <f>CONCATENATE(L731, IF('Input Sheet'!J733="",""," siderite in "))</f>
        <v/>
      </c>
      <c r="N7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1" s="31" t="str">
        <f>CONCATENATE(N731, IF('Input Sheet'!K733="",""," siderite in "))</f>
        <v/>
      </c>
    </row>
    <row r="732" spans="1:15" x14ac:dyDescent="0.35">
      <c r="A732" s="42" t="str">
        <f>IF('Input Sheet'!C734="","",CONCATENATE("Sample ", 'Input Sheet'!B734, "m: ", M732, G732, "% ", "Siltstone, ", O732, 'Input Sheet'!C734, "% ", I732, " Sandstone, ", K732, J732, " FLUOR in SST. ", "TG ", 'Input Sheet'!I734, "U"))</f>
        <v/>
      </c>
      <c r="B732" s="28" t="str">
        <f>IF('Input Sheet'!C734="","",CONCATENATE("Sample ", 'Input Sheet'!B734, "m: ", N732, H732, "% ", "Siltstone, ", P732, 'Input Sheet'!C734, "% ", J732, " Sandstone "))</f>
        <v/>
      </c>
      <c r="C732" s="28" t="str">
        <f>IF('Input Sheet'!C734="","",CONCATENATE("Sample ", 'Input Sheet'!B734, "m: ", M732,, K732, J732, " FLUOR in SST. ", "TG ", 'Input Sheet'!I734, "U"))</f>
        <v/>
      </c>
      <c r="G732" s="31" t="str">
        <f>IF('Input Sheet'!C734="","",100-'Input Sheet'!C734)</f>
        <v/>
      </c>
      <c r="H7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2" s="31" t="str">
        <f t="shared" si="11"/>
        <v/>
      </c>
      <c r="J7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2" s="31" t="str">
        <f>IF('Input Sheet'!F733=0, "NO",CONCATENATE('Input Sheet'!F733, IF('Input Sheet'!F733&gt;0,"% ","")))</f>
        <v>NO</v>
      </c>
      <c r="L7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2" s="31" t="str">
        <f>CONCATENATE(L732, IF('Input Sheet'!J734="",""," siderite in "))</f>
        <v/>
      </c>
      <c r="N7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2" s="31" t="str">
        <f>CONCATENATE(N732, IF('Input Sheet'!K734="",""," siderite in "))</f>
        <v/>
      </c>
    </row>
    <row r="733" spans="1:15" x14ac:dyDescent="0.35">
      <c r="A733" s="42" t="str">
        <f>IF('Input Sheet'!C735="","",CONCATENATE("Sample ", 'Input Sheet'!B735, "m: ", M733, G733, "% ", "Siltstone, ", O733, 'Input Sheet'!C735, "% ", I733, " Sandstone, ", K733, J733, " FLUOR in SST. ", "TG ", 'Input Sheet'!I735, "U"))</f>
        <v/>
      </c>
      <c r="B733" s="28" t="str">
        <f>IF('Input Sheet'!C735="","",CONCATENATE("Sample ", 'Input Sheet'!B735, "m: ", N733, H733, "% ", "Siltstone, ", P733, 'Input Sheet'!C735, "% ", J733, " Sandstone "))</f>
        <v/>
      </c>
      <c r="C733" s="28" t="str">
        <f>IF('Input Sheet'!C735="","",CONCATENATE("Sample ", 'Input Sheet'!B735, "m: ", M733,, K733, J733, " FLUOR in SST. ", "TG ", 'Input Sheet'!I735, "U"))</f>
        <v/>
      </c>
      <c r="G733" s="31" t="str">
        <f>IF('Input Sheet'!C735="","",100-'Input Sheet'!C735)</f>
        <v/>
      </c>
      <c r="H7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3" s="31" t="str">
        <f t="shared" si="11"/>
        <v/>
      </c>
      <c r="J7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3" s="31" t="str">
        <f>IF('Input Sheet'!F734=0, "NO",CONCATENATE('Input Sheet'!F734, IF('Input Sheet'!F734&gt;0,"% ","")))</f>
        <v>NO</v>
      </c>
      <c r="L7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3" s="31" t="str">
        <f>CONCATENATE(L733, IF('Input Sheet'!J735="",""," siderite in "))</f>
        <v/>
      </c>
      <c r="N7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3" s="31" t="str">
        <f>CONCATENATE(N733, IF('Input Sheet'!K735="",""," siderite in "))</f>
        <v/>
      </c>
    </row>
    <row r="734" spans="1:15" x14ac:dyDescent="0.35">
      <c r="A734" s="42" t="str">
        <f>IF('Input Sheet'!C736="","",CONCATENATE("Sample ", 'Input Sheet'!B736, "m: ", M734, G734, "% ", "Siltstone, ", O734, 'Input Sheet'!C736, "% ", I734, " Sandstone, ", K734, J734, " FLUOR in SST. ", "TG ", 'Input Sheet'!I736, "U"))</f>
        <v/>
      </c>
      <c r="B734" s="28" t="str">
        <f>IF('Input Sheet'!C736="","",CONCATENATE("Sample ", 'Input Sheet'!B736, "m: ", N734, H734, "% ", "Siltstone, ", P734, 'Input Sheet'!C736, "% ", J734, " Sandstone "))</f>
        <v/>
      </c>
      <c r="C734" s="28" t="str">
        <f>IF('Input Sheet'!C736="","",CONCATENATE("Sample ", 'Input Sheet'!B736, "m: ", M734,, K734, J734, " FLUOR in SST. ", "TG ", 'Input Sheet'!I736, "U"))</f>
        <v/>
      </c>
      <c r="G734" s="31" t="str">
        <f>IF('Input Sheet'!C736="","",100-'Input Sheet'!C736)</f>
        <v/>
      </c>
      <c r="H7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4" s="31" t="str">
        <f t="shared" si="11"/>
        <v/>
      </c>
      <c r="J7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4" s="31" t="str">
        <f>IF('Input Sheet'!F735=0, "NO",CONCATENATE('Input Sheet'!F735, IF('Input Sheet'!F735&gt;0,"% ","")))</f>
        <v>NO</v>
      </c>
      <c r="L7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4" s="31" t="str">
        <f>CONCATENATE(L734, IF('Input Sheet'!J736="",""," siderite in "))</f>
        <v/>
      </c>
      <c r="N7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4" s="31" t="str">
        <f>CONCATENATE(N734, IF('Input Sheet'!K736="",""," siderite in "))</f>
        <v/>
      </c>
    </row>
    <row r="735" spans="1:15" x14ac:dyDescent="0.35">
      <c r="A735" s="42" t="str">
        <f>IF('Input Sheet'!C737="","",CONCATENATE("Sample ", 'Input Sheet'!B737, "m: ", M735, G735, "% ", "Siltstone, ", O735, 'Input Sheet'!C737, "% ", I735, " Sandstone, ", K735, J735, " FLUOR in SST. ", "TG ", 'Input Sheet'!I737, "U"))</f>
        <v/>
      </c>
      <c r="B735" s="28" t="str">
        <f>IF('Input Sheet'!C737="","",CONCATENATE("Sample ", 'Input Sheet'!B737, "m: ", N735, H735, "% ", "Siltstone, ", P735, 'Input Sheet'!C737, "% ", J735, " Sandstone "))</f>
        <v/>
      </c>
      <c r="C735" s="28" t="str">
        <f>IF('Input Sheet'!C737="","",CONCATENATE("Sample ", 'Input Sheet'!B737, "m: ", M735,, K735, J735, " FLUOR in SST. ", "TG ", 'Input Sheet'!I737, "U"))</f>
        <v/>
      </c>
      <c r="G735" s="31" t="str">
        <f>IF('Input Sheet'!C737="","",100-'Input Sheet'!C737)</f>
        <v/>
      </c>
      <c r="H7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5" s="31" t="str">
        <f t="shared" si="11"/>
        <v/>
      </c>
      <c r="J7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5" s="31" t="str">
        <f>IF('Input Sheet'!F736=0, "NO",CONCATENATE('Input Sheet'!F736, IF('Input Sheet'!F736&gt;0,"% ","")))</f>
        <v>NO</v>
      </c>
      <c r="L7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5" s="31" t="str">
        <f>CONCATENATE(L735, IF('Input Sheet'!J737="",""," siderite in "))</f>
        <v/>
      </c>
      <c r="N7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5" s="31" t="str">
        <f>CONCATENATE(N735, IF('Input Sheet'!K737="",""," siderite in "))</f>
        <v/>
      </c>
    </row>
    <row r="736" spans="1:15" x14ac:dyDescent="0.35">
      <c r="A736" s="42" t="str">
        <f>IF('Input Sheet'!C738="","",CONCATENATE("Sample ", 'Input Sheet'!B738, "m: ", M736, G736, "% ", "Siltstone, ", O736, 'Input Sheet'!C738, "% ", I736, " Sandstone, ", K736, J736, " FLUOR in SST. ", "TG ", 'Input Sheet'!I738, "U"))</f>
        <v/>
      </c>
      <c r="B736" s="28" t="str">
        <f>IF('Input Sheet'!C738="","",CONCATENATE("Sample ", 'Input Sheet'!B738, "m: ", N736, H736, "% ", "Siltstone, ", P736, 'Input Sheet'!C738, "% ", J736, " Sandstone "))</f>
        <v/>
      </c>
      <c r="C736" s="28" t="str">
        <f>IF('Input Sheet'!C738="","",CONCATENATE("Sample ", 'Input Sheet'!B738, "m: ", M736,, K736, J736, " FLUOR in SST. ", "TG ", 'Input Sheet'!I738, "U"))</f>
        <v/>
      </c>
      <c r="G736" s="31" t="str">
        <f>IF('Input Sheet'!C738="","",100-'Input Sheet'!C738)</f>
        <v/>
      </c>
      <c r="H7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6" s="31" t="str">
        <f t="shared" si="11"/>
        <v/>
      </c>
      <c r="J7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6" s="31" t="str">
        <f>IF('Input Sheet'!F737=0, "NO",CONCATENATE('Input Sheet'!F737, IF('Input Sheet'!F737&gt;0,"% ","")))</f>
        <v>NO</v>
      </c>
      <c r="L7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6" s="31" t="str">
        <f>CONCATENATE(L736, IF('Input Sheet'!J738="",""," siderite in "))</f>
        <v/>
      </c>
      <c r="N7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6" s="31" t="str">
        <f>CONCATENATE(N736, IF('Input Sheet'!K738="",""," siderite in "))</f>
        <v/>
      </c>
    </row>
    <row r="737" spans="1:15" x14ac:dyDescent="0.35">
      <c r="A737" s="42" t="str">
        <f>IF('Input Sheet'!C739="","",CONCATENATE("Sample ", 'Input Sheet'!B739, "m: ", M737, G737, "% ", "Siltstone, ", O737, 'Input Sheet'!C739, "% ", I737, " Sandstone, ", K737, J737, " FLUOR in SST. ", "TG ", 'Input Sheet'!I739, "U"))</f>
        <v/>
      </c>
      <c r="B737" s="28" t="str">
        <f>IF('Input Sheet'!C739="","",CONCATENATE("Sample ", 'Input Sheet'!B739, "m: ", N737, H737, "% ", "Siltstone, ", P737, 'Input Sheet'!C739, "% ", J737, " Sandstone "))</f>
        <v/>
      </c>
      <c r="C737" s="28" t="str">
        <f>IF('Input Sheet'!C739="","",CONCATENATE("Sample ", 'Input Sheet'!B739, "m: ", M737,, K737, J737, " FLUOR in SST. ", "TG ", 'Input Sheet'!I739, "U"))</f>
        <v/>
      </c>
      <c r="G737" s="31" t="str">
        <f>IF('Input Sheet'!C739="","",100-'Input Sheet'!C739)</f>
        <v/>
      </c>
      <c r="H7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7" s="31" t="str">
        <f t="shared" si="11"/>
        <v/>
      </c>
      <c r="J7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7" s="31" t="str">
        <f>IF('Input Sheet'!F738=0, "NO",CONCATENATE('Input Sheet'!F738, IF('Input Sheet'!F738&gt;0,"% ","")))</f>
        <v>NO</v>
      </c>
      <c r="L7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7" s="31" t="str">
        <f>CONCATENATE(L737, IF('Input Sheet'!J739="",""," siderite in "))</f>
        <v/>
      </c>
      <c r="N7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7" s="31" t="str">
        <f>CONCATENATE(N737, IF('Input Sheet'!K739="",""," siderite in "))</f>
        <v/>
      </c>
    </row>
    <row r="738" spans="1:15" x14ac:dyDescent="0.35">
      <c r="A738" s="42" t="str">
        <f>IF('Input Sheet'!C740="","",CONCATENATE("Sample ", 'Input Sheet'!B740, "m: ", M738, G738, "% ", "Siltstone, ", O738, 'Input Sheet'!C740, "% ", I738, " Sandstone, ", K738, J738, " FLUOR in SST. ", "TG ", 'Input Sheet'!I740, "U"))</f>
        <v/>
      </c>
      <c r="B738" s="28" t="str">
        <f>IF('Input Sheet'!C740="","",CONCATENATE("Sample ", 'Input Sheet'!B740, "m: ", N738, H738, "% ", "Siltstone, ", P738, 'Input Sheet'!C740, "% ", J738, " Sandstone "))</f>
        <v/>
      </c>
      <c r="C738" s="28" t="str">
        <f>IF('Input Sheet'!C740="","",CONCATENATE("Sample ", 'Input Sheet'!B740, "m: ", M738,, K738, J738, " FLUOR in SST. ", "TG ", 'Input Sheet'!I740, "U"))</f>
        <v/>
      </c>
      <c r="G738" s="31" t="str">
        <f>IF('Input Sheet'!C740="","",100-'Input Sheet'!C740)</f>
        <v/>
      </c>
      <c r="H7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8" s="31" t="str">
        <f t="shared" si="11"/>
        <v/>
      </c>
      <c r="J7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8" s="31" t="str">
        <f>IF('Input Sheet'!F739=0, "NO",CONCATENATE('Input Sheet'!F739, IF('Input Sheet'!F739&gt;0,"% ","")))</f>
        <v>NO</v>
      </c>
      <c r="L7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8" s="31" t="str">
        <f>CONCATENATE(L738, IF('Input Sheet'!J740="",""," siderite in "))</f>
        <v/>
      </c>
      <c r="N7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8" s="31" t="str">
        <f>CONCATENATE(N738, IF('Input Sheet'!K740="",""," siderite in "))</f>
        <v/>
      </c>
    </row>
    <row r="739" spans="1:15" x14ac:dyDescent="0.35">
      <c r="A739" s="42" t="str">
        <f>IF('Input Sheet'!C741="","",CONCATENATE("Sample ", 'Input Sheet'!B741, "m: ", M739, G739, "% ", "Siltstone, ", O739, 'Input Sheet'!C741, "% ", I739, " Sandstone, ", K739, J739, " FLUOR in SST. ", "TG ", 'Input Sheet'!I741, "U"))</f>
        <v/>
      </c>
      <c r="B739" s="28" t="str">
        <f>IF('Input Sheet'!C741="","",CONCATENATE("Sample ", 'Input Sheet'!B741, "m: ", N739, H739, "% ", "Siltstone, ", P739, 'Input Sheet'!C741, "% ", J739, " Sandstone "))</f>
        <v/>
      </c>
      <c r="C739" s="28" t="str">
        <f>IF('Input Sheet'!C741="","",CONCATENATE("Sample ", 'Input Sheet'!B741, "m: ", M739,, K739, J739, " FLUOR in SST. ", "TG ", 'Input Sheet'!I741, "U"))</f>
        <v/>
      </c>
      <c r="G739" s="31" t="str">
        <f>IF('Input Sheet'!C741="","",100-'Input Sheet'!C741)</f>
        <v/>
      </c>
      <c r="H7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9" s="31" t="str">
        <f t="shared" si="11"/>
        <v/>
      </c>
      <c r="J7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9" s="31" t="str">
        <f>IF('Input Sheet'!F740=0, "NO",CONCATENATE('Input Sheet'!F740, IF('Input Sheet'!F740&gt;0,"% ","")))</f>
        <v>NO</v>
      </c>
      <c r="L7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9" s="31" t="str">
        <f>CONCATENATE(L739, IF('Input Sheet'!J741="",""," siderite in "))</f>
        <v/>
      </c>
      <c r="N7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9" s="31" t="str">
        <f>CONCATENATE(N739, IF('Input Sheet'!K741="",""," siderite in "))</f>
        <v/>
      </c>
    </row>
    <row r="740" spans="1:15" x14ac:dyDescent="0.35">
      <c r="A740" s="42" t="str">
        <f>IF('Input Sheet'!C742="","",CONCATENATE("Sample ", 'Input Sheet'!B742, "m: ", M740, G740, "% ", "Siltstone, ", O740, 'Input Sheet'!C742, "% ", I740, " Sandstone, ", K740, J740, " FLUOR in SST. ", "TG ", 'Input Sheet'!I742, "U"))</f>
        <v/>
      </c>
      <c r="B740" s="28" t="str">
        <f>IF('Input Sheet'!C742="","",CONCATENATE("Sample ", 'Input Sheet'!B742, "m: ", N740, H740, "% ", "Siltstone, ", P740, 'Input Sheet'!C742, "% ", J740, " Sandstone "))</f>
        <v/>
      </c>
      <c r="C740" s="28" t="str">
        <f>IF('Input Sheet'!C742="","",CONCATENATE("Sample ", 'Input Sheet'!B742, "m: ", M740,, K740, J740, " FLUOR in SST. ", "TG ", 'Input Sheet'!I742, "U"))</f>
        <v/>
      </c>
      <c r="G740" s="31" t="str">
        <f>IF('Input Sheet'!C742="","",100-'Input Sheet'!C742)</f>
        <v/>
      </c>
      <c r="H7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0" s="31" t="str">
        <f t="shared" si="11"/>
        <v/>
      </c>
      <c r="J7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0" s="31" t="str">
        <f>IF('Input Sheet'!F741=0, "NO",CONCATENATE('Input Sheet'!F741, IF('Input Sheet'!F741&gt;0,"% ","")))</f>
        <v>NO</v>
      </c>
      <c r="L7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0" s="31" t="str">
        <f>CONCATENATE(L740, IF('Input Sheet'!J742="",""," siderite in "))</f>
        <v/>
      </c>
      <c r="N7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0" s="31" t="str">
        <f>CONCATENATE(N740, IF('Input Sheet'!K742="",""," siderite in "))</f>
        <v/>
      </c>
    </row>
    <row r="741" spans="1:15" x14ac:dyDescent="0.35">
      <c r="A741" s="42" t="str">
        <f>IF('Input Sheet'!C743="","",CONCATENATE("Sample ", 'Input Sheet'!B743, "m: ", M741, G741, "% ", "Siltstone, ", O741, 'Input Sheet'!C743, "% ", I741, " Sandstone, ", K741, J741, " FLUOR in SST. ", "TG ", 'Input Sheet'!I743, "U"))</f>
        <v/>
      </c>
      <c r="B741" s="28" t="str">
        <f>IF('Input Sheet'!C743="","",CONCATENATE("Sample ", 'Input Sheet'!B743, "m: ", N741, H741, "% ", "Siltstone, ", P741, 'Input Sheet'!C743, "% ", J741, " Sandstone "))</f>
        <v/>
      </c>
      <c r="C741" s="28" t="str">
        <f>IF('Input Sheet'!C743="","",CONCATENATE("Sample ", 'Input Sheet'!B743, "m: ", M741,, K741, J741, " FLUOR in SST. ", "TG ", 'Input Sheet'!I743, "U"))</f>
        <v/>
      </c>
      <c r="G741" s="31" t="str">
        <f>IF('Input Sheet'!C743="","",100-'Input Sheet'!C743)</f>
        <v/>
      </c>
      <c r="H7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1" s="31" t="str">
        <f t="shared" si="11"/>
        <v/>
      </c>
      <c r="J7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1" s="31" t="str">
        <f>IF('Input Sheet'!F742=0, "NO",CONCATENATE('Input Sheet'!F742, IF('Input Sheet'!F742&gt;0,"% ","")))</f>
        <v>NO</v>
      </c>
      <c r="L7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1" s="31" t="str">
        <f>CONCATENATE(L741, IF('Input Sheet'!J743="",""," siderite in "))</f>
        <v/>
      </c>
      <c r="N7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1" s="31" t="str">
        <f>CONCATENATE(N741, IF('Input Sheet'!K743="",""," siderite in "))</f>
        <v/>
      </c>
    </row>
    <row r="742" spans="1:15" x14ac:dyDescent="0.35">
      <c r="A742" s="42" t="str">
        <f>IF('Input Sheet'!C744="","",CONCATENATE("Sample ", 'Input Sheet'!B744, "m: ", M742, G742, "% ", "Siltstone, ", O742, 'Input Sheet'!C744, "% ", I742, " Sandstone, ", K742, J742, " FLUOR in SST. ", "TG ", 'Input Sheet'!I744, "U"))</f>
        <v/>
      </c>
      <c r="B742" s="28" t="str">
        <f>IF('Input Sheet'!C744="","",CONCATENATE("Sample ", 'Input Sheet'!B744, "m: ", N742, H742, "% ", "Siltstone, ", P742, 'Input Sheet'!C744, "% ", J742, " Sandstone "))</f>
        <v/>
      </c>
      <c r="C742" s="28" t="str">
        <f>IF('Input Sheet'!C744="","",CONCATENATE("Sample ", 'Input Sheet'!B744, "m: ", M742,, K742, J742, " FLUOR in SST. ", "TG ", 'Input Sheet'!I744, "U"))</f>
        <v/>
      </c>
      <c r="G742" s="31" t="str">
        <f>IF('Input Sheet'!C744="","",100-'Input Sheet'!C744)</f>
        <v/>
      </c>
      <c r="H7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2" s="31" t="str">
        <f t="shared" si="11"/>
        <v/>
      </c>
      <c r="J7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2" s="31" t="str">
        <f>IF('Input Sheet'!F743=0, "NO",CONCATENATE('Input Sheet'!F743, IF('Input Sheet'!F743&gt;0,"% ","")))</f>
        <v>NO</v>
      </c>
      <c r="L7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2" s="31" t="str">
        <f>CONCATENATE(L742, IF('Input Sheet'!J744="",""," siderite in "))</f>
        <v/>
      </c>
      <c r="N7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2" s="31" t="str">
        <f>CONCATENATE(N742, IF('Input Sheet'!K744="",""," siderite in "))</f>
        <v/>
      </c>
    </row>
    <row r="743" spans="1:15" x14ac:dyDescent="0.35">
      <c r="A743" s="42" t="str">
        <f>IF('Input Sheet'!C745="","",CONCATENATE("Sample ", 'Input Sheet'!B745, "m: ", M743, G743, "% ", "Siltstone, ", O743, 'Input Sheet'!C745, "% ", I743, " Sandstone, ", K743, J743, " FLUOR in SST. ", "TG ", 'Input Sheet'!I745, "U"))</f>
        <v/>
      </c>
      <c r="B743" s="28" t="str">
        <f>IF('Input Sheet'!C745="","",CONCATENATE("Sample ", 'Input Sheet'!B745, "m: ", N743, H743, "% ", "Siltstone, ", P743, 'Input Sheet'!C745, "% ", J743, " Sandstone "))</f>
        <v/>
      </c>
      <c r="C743" s="28" t="str">
        <f>IF('Input Sheet'!C745="","",CONCATENATE("Sample ", 'Input Sheet'!B745, "m: ", M743,, K743, J743, " FLUOR in SST. ", "TG ", 'Input Sheet'!I745, "U"))</f>
        <v/>
      </c>
      <c r="G743" s="31" t="str">
        <f>IF('Input Sheet'!C745="","",100-'Input Sheet'!C745)</f>
        <v/>
      </c>
      <c r="H7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3" s="31" t="str">
        <f t="shared" si="11"/>
        <v/>
      </c>
      <c r="J7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3" s="31" t="str">
        <f>IF('Input Sheet'!F744=0, "NO",CONCATENATE('Input Sheet'!F744, IF('Input Sheet'!F744&gt;0,"% ","")))</f>
        <v>NO</v>
      </c>
      <c r="L7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3" s="31" t="str">
        <f>CONCATENATE(L743, IF('Input Sheet'!J745="",""," siderite in "))</f>
        <v/>
      </c>
      <c r="N7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3" s="31" t="str">
        <f>CONCATENATE(N743, IF('Input Sheet'!K745="",""," siderite in "))</f>
        <v/>
      </c>
    </row>
    <row r="744" spans="1:15" x14ac:dyDescent="0.35">
      <c r="A744" s="42" t="str">
        <f>IF('Input Sheet'!C746="","",CONCATENATE("Sample ", 'Input Sheet'!B746, "m: ", M744, G744, "% ", "Siltstone, ", O744, 'Input Sheet'!C746, "% ", I744, " Sandstone, ", K744, J744, " FLUOR in SST. ", "TG ", 'Input Sheet'!I746, "U"))</f>
        <v/>
      </c>
      <c r="B744" s="28" t="str">
        <f>IF('Input Sheet'!C746="","",CONCATENATE("Sample ", 'Input Sheet'!B746, "m: ", N744, H744, "% ", "Siltstone, ", P744, 'Input Sheet'!C746, "% ", J744, " Sandstone "))</f>
        <v/>
      </c>
      <c r="C744" s="28" t="str">
        <f>IF('Input Sheet'!C746="","",CONCATENATE("Sample ", 'Input Sheet'!B746, "m: ", M744,, K744, J744, " FLUOR in SST. ", "TG ", 'Input Sheet'!I746, "U"))</f>
        <v/>
      </c>
      <c r="G744" s="31" t="str">
        <f>IF('Input Sheet'!C746="","",100-'Input Sheet'!C746)</f>
        <v/>
      </c>
      <c r="H7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4" s="31" t="str">
        <f t="shared" si="11"/>
        <v/>
      </c>
      <c r="J7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4" s="31" t="str">
        <f>IF('Input Sheet'!F745=0, "NO",CONCATENATE('Input Sheet'!F745, IF('Input Sheet'!F745&gt;0,"% ","")))</f>
        <v>NO</v>
      </c>
      <c r="L7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4" s="31" t="str">
        <f>CONCATENATE(L744, IF('Input Sheet'!J746="",""," siderite in "))</f>
        <v/>
      </c>
      <c r="N7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4" s="31" t="str">
        <f>CONCATENATE(N744, IF('Input Sheet'!K746="",""," siderite in "))</f>
        <v/>
      </c>
    </row>
    <row r="745" spans="1:15" x14ac:dyDescent="0.35">
      <c r="A745" s="42" t="str">
        <f>IF('Input Sheet'!C747="","",CONCATENATE("Sample ", 'Input Sheet'!B747, "m: ", M745, G745, "% ", "Siltstone, ", O745, 'Input Sheet'!C747, "% ", I745, " Sandstone, ", K745, J745, " FLUOR in SST. ", "TG ", 'Input Sheet'!I747, "U"))</f>
        <v/>
      </c>
      <c r="B745" s="28" t="str">
        <f>IF('Input Sheet'!C747="","",CONCATENATE("Sample ", 'Input Sheet'!B747, "m: ", N745, H745, "% ", "Siltstone, ", P745, 'Input Sheet'!C747, "% ", J745, " Sandstone "))</f>
        <v/>
      </c>
      <c r="C745" s="28" t="str">
        <f>IF('Input Sheet'!C747="","",CONCATENATE("Sample ", 'Input Sheet'!B747, "m: ", M745,, K745, J745, " FLUOR in SST. ", "TG ", 'Input Sheet'!I747, "U"))</f>
        <v/>
      </c>
      <c r="G745" s="31" t="str">
        <f>IF('Input Sheet'!C747="","",100-'Input Sheet'!C747)</f>
        <v/>
      </c>
      <c r="H7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5" s="31" t="str">
        <f t="shared" si="11"/>
        <v/>
      </c>
      <c r="J7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5" s="31" t="str">
        <f>IF('Input Sheet'!F746=0, "NO",CONCATENATE('Input Sheet'!F746, IF('Input Sheet'!F746&gt;0,"% ","")))</f>
        <v>NO</v>
      </c>
      <c r="L7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5" s="31" t="str">
        <f>CONCATENATE(L745, IF('Input Sheet'!J747="",""," siderite in "))</f>
        <v/>
      </c>
      <c r="N7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5" s="31" t="str">
        <f>CONCATENATE(N745, IF('Input Sheet'!K747="",""," siderite in "))</f>
        <v/>
      </c>
    </row>
    <row r="746" spans="1:15" x14ac:dyDescent="0.35">
      <c r="A746" s="42" t="str">
        <f>IF('Input Sheet'!C748="","",CONCATENATE("Sample ", 'Input Sheet'!B748, "m: ", M746, G746, "% ", "Siltstone, ", O746, 'Input Sheet'!C748, "% ", I746, " Sandstone, ", K746, J746, " FLUOR in SST. ", "TG ", 'Input Sheet'!I748, "U"))</f>
        <v/>
      </c>
      <c r="B746" s="28" t="str">
        <f>IF('Input Sheet'!C748="","",CONCATENATE("Sample ", 'Input Sheet'!B748, "m: ", N746, H746, "% ", "Siltstone, ", P746, 'Input Sheet'!C748, "% ", J746, " Sandstone "))</f>
        <v/>
      </c>
      <c r="C746" s="28" t="str">
        <f>IF('Input Sheet'!C748="","",CONCATENATE("Sample ", 'Input Sheet'!B748, "m: ", M746,, K746, J746, " FLUOR in SST. ", "TG ", 'Input Sheet'!I748, "U"))</f>
        <v/>
      </c>
      <c r="G746" s="31" t="str">
        <f>IF('Input Sheet'!C748="","",100-'Input Sheet'!C748)</f>
        <v/>
      </c>
      <c r="H7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6" s="31" t="str">
        <f t="shared" si="11"/>
        <v/>
      </c>
      <c r="J7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6" s="31" t="str">
        <f>IF('Input Sheet'!F747=0, "NO",CONCATENATE('Input Sheet'!F747, IF('Input Sheet'!F747&gt;0,"% ","")))</f>
        <v>NO</v>
      </c>
      <c r="L7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6" s="31" t="str">
        <f>CONCATENATE(L746, IF('Input Sheet'!J748="",""," siderite in "))</f>
        <v/>
      </c>
      <c r="N7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6" s="31" t="str">
        <f>CONCATENATE(N746, IF('Input Sheet'!K748="",""," siderite in "))</f>
        <v/>
      </c>
    </row>
    <row r="747" spans="1:15" x14ac:dyDescent="0.35">
      <c r="A747" s="42" t="str">
        <f>IF('Input Sheet'!C749="","",CONCATENATE("Sample ", 'Input Sheet'!B749, "m: ", M747, G747, "% ", "Siltstone, ", O747, 'Input Sheet'!C749, "% ", I747, " Sandstone, ", K747, J747, " FLUOR in SST. ", "TG ", 'Input Sheet'!I749, "U"))</f>
        <v/>
      </c>
      <c r="B747" s="28" t="str">
        <f>IF('Input Sheet'!C749="","",CONCATENATE("Sample ", 'Input Sheet'!B749, "m: ", N747, H747, "% ", "Siltstone, ", P747, 'Input Sheet'!C749, "% ", J747, " Sandstone "))</f>
        <v/>
      </c>
      <c r="C747" s="28" t="str">
        <f>IF('Input Sheet'!C749="","",CONCATENATE("Sample ", 'Input Sheet'!B749, "m: ", M747,, K747, J747, " FLUOR in SST. ", "TG ", 'Input Sheet'!I749, "U"))</f>
        <v/>
      </c>
      <c r="G747" s="31" t="str">
        <f>IF('Input Sheet'!C749="","",100-'Input Sheet'!C749)</f>
        <v/>
      </c>
      <c r="H7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7" s="31" t="str">
        <f t="shared" si="11"/>
        <v/>
      </c>
      <c r="J7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7" s="31" t="str">
        <f>IF('Input Sheet'!F748=0, "NO",CONCATENATE('Input Sheet'!F748, IF('Input Sheet'!F748&gt;0,"% ","")))</f>
        <v>NO</v>
      </c>
      <c r="L7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7" s="31" t="str">
        <f>CONCATENATE(L747, IF('Input Sheet'!J749="",""," siderite in "))</f>
        <v/>
      </c>
      <c r="N7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7" s="31" t="str">
        <f>CONCATENATE(N747, IF('Input Sheet'!K749="",""," siderite in "))</f>
        <v/>
      </c>
    </row>
    <row r="748" spans="1:15" x14ac:dyDescent="0.35">
      <c r="A748" s="42" t="str">
        <f>IF('Input Sheet'!C750="","",CONCATENATE("Sample ", 'Input Sheet'!B750, "m: ", M748, G748, "% ", "Siltstone, ", O748, 'Input Sheet'!C750, "% ", I748, " Sandstone, ", K748, J748, " FLUOR in SST. ", "TG ", 'Input Sheet'!I750, "U"))</f>
        <v/>
      </c>
      <c r="B748" s="28" t="str">
        <f>IF('Input Sheet'!C750="","",CONCATENATE("Sample ", 'Input Sheet'!B750, "m: ", N748, H748, "% ", "Siltstone, ", P748, 'Input Sheet'!C750, "% ", J748, " Sandstone "))</f>
        <v/>
      </c>
      <c r="C748" s="28" t="str">
        <f>IF('Input Sheet'!C750="","",CONCATENATE("Sample ", 'Input Sheet'!B750, "m: ", M748,, K748, J748, " FLUOR in SST. ", "TG ", 'Input Sheet'!I750, "U"))</f>
        <v/>
      </c>
      <c r="G748" s="31" t="str">
        <f>IF('Input Sheet'!C750="","",100-'Input Sheet'!C750)</f>
        <v/>
      </c>
      <c r="H7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8" s="31" t="str">
        <f t="shared" si="11"/>
        <v/>
      </c>
      <c r="J7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8" s="31" t="str">
        <f>IF('Input Sheet'!F749=0, "NO",CONCATENATE('Input Sheet'!F749, IF('Input Sheet'!F749&gt;0,"% ","")))</f>
        <v>NO</v>
      </c>
      <c r="L7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8" s="31" t="str">
        <f>CONCATENATE(L748, IF('Input Sheet'!J750="",""," siderite in "))</f>
        <v/>
      </c>
      <c r="N7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8" s="31" t="str">
        <f>CONCATENATE(N748, IF('Input Sheet'!K750="",""," siderite in "))</f>
        <v/>
      </c>
    </row>
    <row r="749" spans="1:15" x14ac:dyDescent="0.35">
      <c r="A749" s="42" t="str">
        <f>IF('Input Sheet'!C751="","",CONCATENATE("Sample ", 'Input Sheet'!B751, "m: ", M749, G749, "% ", "Siltstone, ", O749, 'Input Sheet'!C751, "% ", I749, " Sandstone, ", K749, J749, " FLUOR in SST. ", "TG ", 'Input Sheet'!I751, "U"))</f>
        <v/>
      </c>
      <c r="B749" s="28" t="str">
        <f>IF('Input Sheet'!C751="","",CONCATENATE("Sample ", 'Input Sheet'!B751, "m: ", N749, H749, "% ", "Siltstone, ", P749, 'Input Sheet'!C751, "% ", J749, " Sandstone "))</f>
        <v/>
      </c>
      <c r="C749" s="28" t="str">
        <f>IF('Input Sheet'!C751="","",CONCATENATE("Sample ", 'Input Sheet'!B751, "m: ", M749,, K749, J749, " FLUOR in SST. ", "TG ", 'Input Sheet'!I751, "U"))</f>
        <v/>
      </c>
      <c r="G749" s="31" t="str">
        <f>IF('Input Sheet'!C751="","",100-'Input Sheet'!C751)</f>
        <v/>
      </c>
      <c r="H7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9" s="31" t="str">
        <f t="shared" si="11"/>
        <v/>
      </c>
      <c r="J7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9" s="31" t="str">
        <f>IF('Input Sheet'!F750=0, "NO",CONCATENATE('Input Sheet'!F750, IF('Input Sheet'!F750&gt;0,"% ","")))</f>
        <v>NO</v>
      </c>
      <c r="L7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9" s="31" t="str">
        <f>CONCATENATE(L749, IF('Input Sheet'!J751="",""," siderite in "))</f>
        <v/>
      </c>
      <c r="N7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9" s="31" t="str">
        <f>CONCATENATE(N749, IF('Input Sheet'!K751="",""," siderite in "))</f>
        <v/>
      </c>
    </row>
    <row r="750" spans="1:15" x14ac:dyDescent="0.35">
      <c r="A750" s="42" t="str">
        <f>IF('Input Sheet'!C752="","",CONCATENATE("Sample ", 'Input Sheet'!B752, "m: ", M750, G750, "% ", "Siltstone, ", O750, 'Input Sheet'!C752, "% ", I750, " Sandstone, ", K750, J750, " FLUOR in SST. ", "TG ", 'Input Sheet'!I752, "U"))</f>
        <v/>
      </c>
      <c r="B750" s="28" t="str">
        <f>IF('Input Sheet'!C752="","",CONCATENATE("Sample ", 'Input Sheet'!B752, "m: ", N750, H750, "% ", "Siltstone, ", P750, 'Input Sheet'!C752, "% ", J750, " Sandstone "))</f>
        <v/>
      </c>
      <c r="C750" s="28" t="str">
        <f>IF('Input Sheet'!C752="","",CONCATENATE("Sample ", 'Input Sheet'!B752, "m: ", M750,, K750, J750, " FLUOR in SST. ", "TG ", 'Input Sheet'!I752, "U"))</f>
        <v/>
      </c>
      <c r="G750" s="31" t="str">
        <f>IF('Input Sheet'!C752="","",100-'Input Sheet'!C752)</f>
        <v/>
      </c>
      <c r="H7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0" s="31" t="str">
        <f t="shared" si="11"/>
        <v/>
      </c>
      <c r="J7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0" s="31" t="str">
        <f>IF('Input Sheet'!F751=0, "NO",CONCATENATE('Input Sheet'!F751, IF('Input Sheet'!F751&gt;0,"% ","")))</f>
        <v>NO</v>
      </c>
      <c r="L7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0" s="31" t="str">
        <f>CONCATENATE(L750, IF('Input Sheet'!J752="",""," siderite in "))</f>
        <v/>
      </c>
      <c r="N7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0" s="31" t="str">
        <f>CONCATENATE(N750, IF('Input Sheet'!K752="",""," siderite in "))</f>
        <v/>
      </c>
    </row>
    <row r="751" spans="1:15" x14ac:dyDescent="0.35">
      <c r="A751" s="42" t="str">
        <f>IF('Input Sheet'!C753="","",CONCATENATE("Sample ", 'Input Sheet'!B753, "m: ", M751, G751, "% ", "Siltstone, ", O751, 'Input Sheet'!C753, "% ", I751, " Sandstone, ", K751, J751, " FLUOR in SST. ", "TG ", 'Input Sheet'!I753, "U"))</f>
        <v/>
      </c>
      <c r="B751" s="28" t="str">
        <f>IF('Input Sheet'!C753="","",CONCATENATE("Sample ", 'Input Sheet'!B753, "m: ", N751, H751, "% ", "Siltstone, ", P751, 'Input Sheet'!C753, "% ", J751, " Sandstone "))</f>
        <v/>
      </c>
      <c r="C751" s="28" t="str">
        <f>IF('Input Sheet'!C753="","",CONCATENATE("Sample ", 'Input Sheet'!B753, "m: ", M751,, K751, J751, " FLUOR in SST. ", "TG ", 'Input Sheet'!I753, "U"))</f>
        <v/>
      </c>
      <c r="G751" s="31" t="str">
        <f>IF('Input Sheet'!C753="","",100-'Input Sheet'!C753)</f>
        <v/>
      </c>
      <c r="H7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1" s="31" t="str">
        <f t="shared" si="11"/>
        <v/>
      </c>
      <c r="J7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1" s="31" t="str">
        <f>IF('Input Sheet'!F752=0, "NO",CONCATENATE('Input Sheet'!F752, IF('Input Sheet'!F752&gt;0,"% ","")))</f>
        <v>NO</v>
      </c>
      <c r="L7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1" s="31" t="str">
        <f>CONCATENATE(L751, IF('Input Sheet'!J753="",""," siderite in "))</f>
        <v/>
      </c>
      <c r="N7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1" s="31" t="str">
        <f>CONCATENATE(N751, IF('Input Sheet'!K753="",""," siderite in "))</f>
        <v/>
      </c>
    </row>
    <row r="752" spans="1:15" x14ac:dyDescent="0.35">
      <c r="A752" s="42" t="str">
        <f>IF('Input Sheet'!C754="","",CONCATENATE("Sample ", 'Input Sheet'!B754, "m: ", M752, G752, "% ", "Siltstone, ", O752, 'Input Sheet'!C754, "% ", I752, " Sandstone, ", K752, J752, " FLUOR in SST. ", "TG ", 'Input Sheet'!I754, "U"))</f>
        <v/>
      </c>
      <c r="B752" s="28" t="str">
        <f>IF('Input Sheet'!C754="","",CONCATENATE("Sample ", 'Input Sheet'!B754, "m: ", N752, H752, "% ", "Siltstone, ", P752, 'Input Sheet'!C754, "% ", J752, " Sandstone "))</f>
        <v/>
      </c>
      <c r="C752" s="28" t="str">
        <f>IF('Input Sheet'!C754="","",CONCATENATE("Sample ", 'Input Sheet'!B754, "m: ", M752,, K752, J752, " FLUOR in SST. ", "TG ", 'Input Sheet'!I754, "U"))</f>
        <v/>
      </c>
      <c r="G752" s="31" t="str">
        <f>IF('Input Sheet'!C754="","",100-'Input Sheet'!C754)</f>
        <v/>
      </c>
      <c r="H7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2" s="31" t="str">
        <f t="shared" si="11"/>
        <v/>
      </c>
      <c r="J7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2" s="31" t="str">
        <f>IF('Input Sheet'!F753=0, "NO",CONCATENATE('Input Sheet'!F753, IF('Input Sheet'!F753&gt;0,"% ","")))</f>
        <v>NO</v>
      </c>
      <c r="L7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2" s="31" t="str">
        <f>CONCATENATE(L752, IF('Input Sheet'!J754="",""," siderite in "))</f>
        <v/>
      </c>
      <c r="N7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2" s="31" t="str">
        <f>CONCATENATE(N752, IF('Input Sheet'!K754="",""," siderite in "))</f>
        <v/>
      </c>
    </row>
    <row r="753" spans="1:15" x14ac:dyDescent="0.35">
      <c r="A753" s="42" t="str">
        <f>IF('Input Sheet'!C755="","",CONCATENATE("Sample ", 'Input Sheet'!B755, "m: ", M753, G753, "% ", "Siltstone, ", O753, 'Input Sheet'!C755, "% ", I753, " Sandstone, ", K753, J753, " FLUOR in SST. ", "TG ", 'Input Sheet'!I755, "U"))</f>
        <v/>
      </c>
      <c r="B753" s="28" t="str">
        <f>IF('Input Sheet'!C755="","",CONCATENATE("Sample ", 'Input Sheet'!B755, "m: ", N753, H753, "% ", "Siltstone, ", P753, 'Input Sheet'!C755, "% ", J753, " Sandstone "))</f>
        <v/>
      </c>
      <c r="C753" s="28" t="str">
        <f>IF('Input Sheet'!C755="","",CONCATENATE("Sample ", 'Input Sheet'!B755, "m: ", M753,, K753, J753, " FLUOR in SST. ", "TG ", 'Input Sheet'!I755, "U"))</f>
        <v/>
      </c>
      <c r="G753" s="31" t="str">
        <f>IF('Input Sheet'!C755="","",100-'Input Sheet'!C755)</f>
        <v/>
      </c>
      <c r="H7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3" s="31" t="str">
        <f t="shared" si="11"/>
        <v/>
      </c>
      <c r="J7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3" s="31" t="str">
        <f>IF('Input Sheet'!F754=0, "NO",CONCATENATE('Input Sheet'!F754, IF('Input Sheet'!F754&gt;0,"% ","")))</f>
        <v>NO</v>
      </c>
      <c r="L7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3" s="31" t="str">
        <f>CONCATENATE(L753, IF('Input Sheet'!J755="",""," siderite in "))</f>
        <v/>
      </c>
      <c r="N7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3" s="31" t="str">
        <f>CONCATENATE(N753, IF('Input Sheet'!K755="",""," siderite in "))</f>
        <v/>
      </c>
    </row>
    <row r="754" spans="1:15" x14ac:dyDescent="0.35">
      <c r="A754" s="42" t="str">
        <f>IF('Input Sheet'!C756="","",CONCATENATE("Sample ", 'Input Sheet'!B756, "m: ", M754, G754, "% ", "Siltstone, ", O754, 'Input Sheet'!C756, "% ", I754, " Sandstone, ", K754, J754, " FLUOR in SST. ", "TG ", 'Input Sheet'!I756, "U"))</f>
        <v/>
      </c>
      <c r="B754" s="28" t="str">
        <f>IF('Input Sheet'!C756="","",CONCATENATE("Sample ", 'Input Sheet'!B756, "m: ", N754, H754, "% ", "Siltstone, ", P754, 'Input Sheet'!C756, "% ", J754, " Sandstone "))</f>
        <v/>
      </c>
      <c r="C754" s="28" t="str">
        <f>IF('Input Sheet'!C756="","",CONCATENATE("Sample ", 'Input Sheet'!B756, "m: ", M754,, K754, J754, " FLUOR in SST. ", "TG ", 'Input Sheet'!I756, "U"))</f>
        <v/>
      </c>
      <c r="G754" s="31" t="str">
        <f>IF('Input Sheet'!C756="","",100-'Input Sheet'!C756)</f>
        <v/>
      </c>
      <c r="H7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4" s="31" t="str">
        <f t="shared" si="11"/>
        <v/>
      </c>
      <c r="J7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4" s="31" t="str">
        <f>IF('Input Sheet'!F755=0, "NO",CONCATENATE('Input Sheet'!F755, IF('Input Sheet'!F755&gt;0,"% ","")))</f>
        <v>NO</v>
      </c>
      <c r="L7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4" s="31" t="str">
        <f>CONCATENATE(L754, IF('Input Sheet'!J756="",""," siderite in "))</f>
        <v/>
      </c>
      <c r="N7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4" s="31" t="str">
        <f>CONCATENATE(N754, IF('Input Sheet'!K756="",""," siderite in "))</f>
        <v/>
      </c>
    </row>
    <row r="755" spans="1:15" x14ac:dyDescent="0.35">
      <c r="A755" s="42" t="str">
        <f>IF('Input Sheet'!C757="","",CONCATENATE("Sample ", 'Input Sheet'!B757, "m: ", M755, G755, "% ", "Siltstone, ", O755, 'Input Sheet'!C757, "% ", I755, " Sandstone, ", K755, J755, " FLUOR in SST. ", "TG ", 'Input Sheet'!I757, "U"))</f>
        <v/>
      </c>
      <c r="B755" s="28" t="str">
        <f>IF('Input Sheet'!C757="","",CONCATENATE("Sample ", 'Input Sheet'!B757, "m: ", N755, H755, "% ", "Siltstone, ", P755, 'Input Sheet'!C757, "% ", J755, " Sandstone "))</f>
        <v/>
      </c>
      <c r="C755" s="28" t="str">
        <f>IF('Input Sheet'!C757="","",CONCATENATE("Sample ", 'Input Sheet'!B757, "m: ", M755,, K755, J755, " FLUOR in SST. ", "TG ", 'Input Sheet'!I757, "U"))</f>
        <v/>
      </c>
      <c r="G755" s="31" t="str">
        <f>IF('Input Sheet'!C757="","",100-'Input Sheet'!C757)</f>
        <v/>
      </c>
      <c r="H7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5" s="31" t="str">
        <f t="shared" si="11"/>
        <v/>
      </c>
      <c r="J7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5" s="31" t="str">
        <f>IF('Input Sheet'!F756=0, "NO",CONCATENATE('Input Sheet'!F756, IF('Input Sheet'!F756&gt;0,"% ","")))</f>
        <v>NO</v>
      </c>
      <c r="L7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5" s="31" t="str">
        <f>CONCATENATE(L755, IF('Input Sheet'!J757="",""," siderite in "))</f>
        <v/>
      </c>
      <c r="N7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5" s="31" t="str">
        <f>CONCATENATE(N755, IF('Input Sheet'!K757="",""," siderite in "))</f>
        <v/>
      </c>
    </row>
    <row r="756" spans="1:15" x14ac:dyDescent="0.35">
      <c r="A756" s="42" t="str">
        <f>IF('Input Sheet'!C758="","",CONCATENATE("Sample ", 'Input Sheet'!B758, "m: ", M756, G756, "% ", "Siltstone, ", O756, 'Input Sheet'!C758, "% ", I756, " Sandstone, ", K756, J756, " FLUOR in SST. ", "TG ", 'Input Sheet'!I758, "U"))</f>
        <v/>
      </c>
      <c r="B756" s="28" t="str">
        <f>IF('Input Sheet'!C758="","",CONCATENATE("Sample ", 'Input Sheet'!B758, "m: ", N756, H756, "% ", "Siltstone, ", P756, 'Input Sheet'!C758, "% ", J756, " Sandstone "))</f>
        <v/>
      </c>
      <c r="C756" s="28" t="str">
        <f>IF('Input Sheet'!C758="","",CONCATENATE("Sample ", 'Input Sheet'!B758, "m: ", M756,, K756, J756, " FLUOR in SST. ", "TG ", 'Input Sheet'!I758, "U"))</f>
        <v/>
      </c>
      <c r="G756" s="31" t="str">
        <f>IF('Input Sheet'!C758="","",100-'Input Sheet'!C758)</f>
        <v/>
      </c>
      <c r="H7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6" s="31" t="str">
        <f t="shared" si="11"/>
        <v/>
      </c>
      <c r="J7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6" s="31" t="str">
        <f>IF('Input Sheet'!F757=0, "NO",CONCATENATE('Input Sheet'!F757, IF('Input Sheet'!F757&gt;0,"% ","")))</f>
        <v>NO</v>
      </c>
      <c r="L7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6" s="31" t="str">
        <f>CONCATENATE(L756, IF('Input Sheet'!J758="",""," siderite in "))</f>
        <v/>
      </c>
      <c r="N7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6" s="31" t="str">
        <f>CONCATENATE(N756, IF('Input Sheet'!K758="",""," siderite in "))</f>
        <v/>
      </c>
    </row>
    <row r="757" spans="1:15" x14ac:dyDescent="0.35">
      <c r="A757" s="42" t="str">
        <f>IF('Input Sheet'!C759="","",CONCATENATE("Sample ", 'Input Sheet'!B759, "m: ", M757, G757, "% ", "Siltstone, ", O757, 'Input Sheet'!C759, "% ", I757, " Sandstone, ", K757, J757, " FLUOR in SST. ", "TG ", 'Input Sheet'!I759, "U"))</f>
        <v/>
      </c>
      <c r="B757" s="28" t="str">
        <f>IF('Input Sheet'!C759="","",CONCATENATE("Sample ", 'Input Sheet'!B759, "m: ", N757, H757, "% ", "Siltstone, ", P757, 'Input Sheet'!C759, "% ", J757, " Sandstone "))</f>
        <v/>
      </c>
      <c r="C757" s="28" t="str">
        <f>IF('Input Sheet'!C759="","",CONCATENATE("Sample ", 'Input Sheet'!B759, "m: ", M757,, K757, J757, " FLUOR in SST. ", "TG ", 'Input Sheet'!I759, "U"))</f>
        <v/>
      </c>
      <c r="G757" s="31" t="str">
        <f>IF('Input Sheet'!C759="","",100-'Input Sheet'!C759)</f>
        <v/>
      </c>
      <c r="H7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7" s="31" t="str">
        <f t="shared" si="11"/>
        <v/>
      </c>
      <c r="J7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7" s="31" t="str">
        <f>IF('Input Sheet'!F758=0, "NO",CONCATENATE('Input Sheet'!F758, IF('Input Sheet'!F758&gt;0,"% ","")))</f>
        <v>NO</v>
      </c>
      <c r="L7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7" s="31" t="str">
        <f>CONCATENATE(L757, IF('Input Sheet'!J759="",""," siderite in "))</f>
        <v/>
      </c>
      <c r="N7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7" s="31" t="str">
        <f>CONCATENATE(N757, IF('Input Sheet'!K759="",""," siderite in "))</f>
        <v/>
      </c>
    </row>
    <row r="758" spans="1:15" x14ac:dyDescent="0.35">
      <c r="A758" s="42" t="str">
        <f>IF('Input Sheet'!C760="","",CONCATENATE("Sample ", 'Input Sheet'!B760, "m: ", M758, G758, "% ", "Siltstone, ", O758, 'Input Sheet'!C760, "% ", I758, " Sandstone, ", K758, J758, " FLUOR in SST. ", "TG ", 'Input Sheet'!I760, "U"))</f>
        <v/>
      </c>
      <c r="B758" s="28" t="str">
        <f>IF('Input Sheet'!C760="","",CONCATENATE("Sample ", 'Input Sheet'!B760, "m: ", N758, H758, "% ", "Siltstone, ", P758, 'Input Sheet'!C760, "% ", J758, " Sandstone "))</f>
        <v/>
      </c>
      <c r="C758" s="28" t="str">
        <f>IF('Input Sheet'!C760="","",CONCATENATE("Sample ", 'Input Sheet'!B760, "m: ", M758,, K758, J758, " FLUOR in SST. ", "TG ", 'Input Sheet'!I760, "U"))</f>
        <v/>
      </c>
      <c r="G758" s="31" t="str">
        <f>IF('Input Sheet'!C760="","",100-'Input Sheet'!C760)</f>
        <v/>
      </c>
      <c r="H7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8" s="31" t="str">
        <f t="shared" si="11"/>
        <v/>
      </c>
      <c r="J7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8" s="31" t="str">
        <f>IF('Input Sheet'!F759=0, "NO",CONCATENATE('Input Sheet'!F759, IF('Input Sheet'!F759&gt;0,"% ","")))</f>
        <v>NO</v>
      </c>
      <c r="L7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8" s="31" t="str">
        <f>CONCATENATE(L758, IF('Input Sheet'!J760="",""," siderite in "))</f>
        <v/>
      </c>
      <c r="N7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8" s="31" t="str">
        <f>CONCATENATE(N758, IF('Input Sheet'!K760="",""," siderite in "))</f>
        <v/>
      </c>
    </row>
    <row r="759" spans="1:15" x14ac:dyDescent="0.35">
      <c r="A759" s="42" t="str">
        <f>IF('Input Sheet'!C761="","",CONCATENATE("Sample ", 'Input Sheet'!B761, "m: ", M759, G759, "% ", "Siltstone, ", O759, 'Input Sheet'!C761, "% ", I759, " Sandstone, ", K759, J759, " FLUOR in SST. ", "TG ", 'Input Sheet'!I761, "U"))</f>
        <v/>
      </c>
      <c r="B759" s="28" t="str">
        <f>IF('Input Sheet'!C761="","",CONCATENATE("Sample ", 'Input Sheet'!B761, "m: ", N759, H759, "% ", "Siltstone, ", P759, 'Input Sheet'!C761, "% ", J759, " Sandstone "))</f>
        <v/>
      </c>
      <c r="C759" s="28" t="str">
        <f>IF('Input Sheet'!C761="","",CONCATENATE("Sample ", 'Input Sheet'!B761, "m: ", M759,, K759, J759, " FLUOR in SST. ", "TG ", 'Input Sheet'!I761, "U"))</f>
        <v/>
      </c>
      <c r="G759" s="31" t="str">
        <f>IF('Input Sheet'!C761="","",100-'Input Sheet'!C761)</f>
        <v/>
      </c>
      <c r="H7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9" s="31" t="str">
        <f t="shared" si="11"/>
        <v/>
      </c>
      <c r="J7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9" s="31" t="str">
        <f>IF('Input Sheet'!F760=0, "NO",CONCATENATE('Input Sheet'!F760, IF('Input Sheet'!F760&gt;0,"% ","")))</f>
        <v>NO</v>
      </c>
      <c r="L7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9" s="31" t="str">
        <f>CONCATENATE(L759, IF('Input Sheet'!J761="",""," siderite in "))</f>
        <v/>
      </c>
      <c r="N7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9" s="31" t="str">
        <f>CONCATENATE(N759, IF('Input Sheet'!K761="",""," siderite in "))</f>
        <v/>
      </c>
    </row>
    <row r="760" spans="1:15" x14ac:dyDescent="0.35">
      <c r="A760" s="42" t="str">
        <f>IF('Input Sheet'!C762="","",CONCATENATE("Sample ", 'Input Sheet'!B762, "m: ", M760, G760, "% ", "Siltstone, ", O760, 'Input Sheet'!C762, "% ", I760, " Sandstone, ", K760, J760, " FLUOR in SST. ", "TG ", 'Input Sheet'!I762, "U"))</f>
        <v/>
      </c>
      <c r="B760" s="28" t="str">
        <f>IF('Input Sheet'!C762="","",CONCATENATE("Sample ", 'Input Sheet'!B762, "m: ", N760, H760, "% ", "Siltstone, ", P760, 'Input Sheet'!C762, "% ", J760, " Sandstone "))</f>
        <v/>
      </c>
      <c r="C760" s="28" t="str">
        <f>IF('Input Sheet'!C762="","",CONCATENATE("Sample ", 'Input Sheet'!B762, "m: ", M760,, K760, J760, " FLUOR in SST. ", "TG ", 'Input Sheet'!I762, "U"))</f>
        <v/>
      </c>
      <c r="G760" s="31" t="str">
        <f>IF('Input Sheet'!C762="","",100-'Input Sheet'!C762)</f>
        <v/>
      </c>
      <c r="H7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0" s="31" t="str">
        <f t="shared" si="11"/>
        <v/>
      </c>
      <c r="J7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0" s="31" t="str">
        <f>IF('Input Sheet'!F761=0, "NO",CONCATENATE('Input Sheet'!F761, IF('Input Sheet'!F761&gt;0,"% ","")))</f>
        <v>NO</v>
      </c>
      <c r="L7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0" s="31" t="str">
        <f>CONCATENATE(L760, IF('Input Sheet'!J762="",""," siderite in "))</f>
        <v/>
      </c>
      <c r="N7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0" s="31" t="str">
        <f>CONCATENATE(N760, IF('Input Sheet'!K762="",""," siderite in "))</f>
        <v/>
      </c>
    </row>
    <row r="761" spans="1:15" x14ac:dyDescent="0.35">
      <c r="A761" s="42" t="str">
        <f>IF('Input Sheet'!C763="","",CONCATENATE("Sample ", 'Input Sheet'!B763, "m: ", M761, G761, "% ", "Siltstone, ", O761, 'Input Sheet'!C763, "% ", I761, " Sandstone, ", K761, J761, " FLUOR in SST. ", "TG ", 'Input Sheet'!I763, "U"))</f>
        <v/>
      </c>
      <c r="B761" s="28" t="str">
        <f>IF('Input Sheet'!C763="","",CONCATENATE("Sample ", 'Input Sheet'!B763, "m: ", N761, H761, "% ", "Siltstone, ", P761, 'Input Sheet'!C763, "% ", J761, " Sandstone "))</f>
        <v/>
      </c>
      <c r="C761" s="28" t="str">
        <f>IF('Input Sheet'!C763="","",CONCATENATE("Sample ", 'Input Sheet'!B763, "m: ", M761,, K761, J761, " FLUOR in SST. ", "TG ", 'Input Sheet'!I763, "U"))</f>
        <v/>
      </c>
      <c r="G761" s="31" t="str">
        <f>IF('Input Sheet'!C763="","",100-'Input Sheet'!C763)</f>
        <v/>
      </c>
      <c r="H7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1" s="31" t="str">
        <f t="shared" si="11"/>
        <v/>
      </c>
      <c r="J7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1" s="31" t="str">
        <f>IF('Input Sheet'!F762=0, "NO",CONCATENATE('Input Sheet'!F762, IF('Input Sheet'!F762&gt;0,"% ","")))</f>
        <v>NO</v>
      </c>
      <c r="L7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1" s="31" t="str">
        <f>CONCATENATE(L761, IF('Input Sheet'!J763="",""," siderite in "))</f>
        <v/>
      </c>
      <c r="N7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1" s="31" t="str">
        <f>CONCATENATE(N761, IF('Input Sheet'!K763="",""," siderite in "))</f>
        <v/>
      </c>
    </row>
    <row r="762" spans="1:15" x14ac:dyDescent="0.35">
      <c r="A762" s="42" t="str">
        <f>IF('Input Sheet'!C764="","",CONCATENATE("Sample ", 'Input Sheet'!B764, "m: ", M762, G762, "% ", "Siltstone, ", O762, 'Input Sheet'!C764, "% ", I762, " Sandstone, ", K762, J762, " FLUOR in SST. ", "TG ", 'Input Sheet'!I764, "U"))</f>
        <v/>
      </c>
      <c r="B762" s="28" t="str">
        <f>IF('Input Sheet'!C764="","",CONCATENATE("Sample ", 'Input Sheet'!B764, "m: ", N762, H762, "% ", "Siltstone, ", P762, 'Input Sheet'!C764, "% ", J762, " Sandstone "))</f>
        <v/>
      </c>
      <c r="C762" s="28" t="str">
        <f>IF('Input Sheet'!C764="","",CONCATENATE("Sample ", 'Input Sheet'!B764, "m: ", M762,, K762, J762, " FLUOR in SST. ", "TG ", 'Input Sheet'!I764, "U"))</f>
        <v/>
      </c>
      <c r="G762" s="31" t="str">
        <f>IF('Input Sheet'!C764="","",100-'Input Sheet'!C764)</f>
        <v/>
      </c>
      <c r="H7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2" s="31" t="str">
        <f t="shared" si="11"/>
        <v/>
      </c>
      <c r="J7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2" s="31" t="str">
        <f>IF('Input Sheet'!F763=0, "NO",CONCATENATE('Input Sheet'!F763, IF('Input Sheet'!F763&gt;0,"% ","")))</f>
        <v>NO</v>
      </c>
      <c r="L7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2" s="31" t="str">
        <f>CONCATENATE(L762, IF('Input Sheet'!J764="",""," siderite in "))</f>
        <v/>
      </c>
      <c r="N7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2" s="31" t="str">
        <f>CONCATENATE(N762, IF('Input Sheet'!K764="",""," siderite in "))</f>
        <v/>
      </c>
    </row>
    <row r="763" spans="1:15" x14ac:dyDescent="0.35">
      <c r="A763" s="42" t="str">
        <f>IF('Input Sheet'!C765="","",CONCATENATE("Sample ", 'Input Sheet'!B765, "m: ", M763, G763, "% ", "Siltstone, ", O763, 'Input Sheet'!C765, "% ", I763, " Sandstone, ", K763, J763, " FLUOR in SST. ", "TG ", 'Input Sheet'!I765, "U"))</f>
        <v/>
      </c>
      <c r="B763" s="28" t="str">
        <f>IF('Input Sheet'!C765="","",CONCATENATE("Sample ", 'Input Sheet'!B765, "m: ", N763, H763, "% ", "Siltstone, ", P763, 'Input Sheet'!C765, "% ", J763, " Sandstone "))</f>
        <v/>
      </c>
      <c r="C763" s="28" t="str">
        <f>IF('Input Sheet'!C765="","",CONCATENATE("Sample ", 'Input Sheet'!B765, "m: ", M763,, K763, J763, " FLUOR in SST. ", "TG ", 'Input Sheet'!I765, "U"))</f>
        <v/>
      </c>
      <c r="G763" s="31" t="str">
        <f>IF('Input Sheet'!C765="","",100-'Input Sheet'!C765)</f>
        <v/>
      </c>
      <c r="H7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3" s="31" t="str">
        <f t="shared" si="11"/>
        <v/>
      </c>
      <c r="J7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3" s="31" t="str">
        <f>IF('Input Sheet'!F764=0, "NO",CONCATENATE('Input Sheet'!F764, IF('Input Sheet'!F764&gt;0,"% ","")))</f>
        <v>NO</v>
      </c>
      <c r="L7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3" s="31" t="str">
        <f>CONCATENATE(L763, IF('Input Sheet'!J765="",""," siderite in "))</f>
        <v/>
      </c>
      <c r="N7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3" s="31" t="str">
        <f>CONCATENATE(N763, IF('Input Sheet'!K765="",""," siderite in "))</f>
        <v/>
      </c>
    </row>
    <row r="764" spans="1:15" x14ac:dyDescent="0.35">
      <c r="A764" s="42" t="str">
        <f>IF('Input Sheet'!C766="","",CONCATENATE("Sample ", 'Input Sheet'!B766, "m: ", M764, G764, "% ", "Siltstone, ", O764, 'Input Sheet'!C766, "% ", I764, " Sandstone, ", K764, J764, " FLUOR in SST. ", "TG ", 'Input Sheet'!I766, "U"))</f>
        <v/>
      </c>
      <c r="B764" s="28" t="str">
        <f>IF('Input Sheet'!C766="","",CONCATENATE("Sample ", 'Input Sheet'!B766, "m: ", N764, H764, "% ", "Siltstone, ", P764, 'Input Sheet'!C766, "% ", J764, " Sandstone "))</f>
        <v/>
      </c>
      <c r="C764" s="28" t="str">
        <f>IF('Input Sheet'!C766="","",CONCATENATE("Sample ", 'Input Sheet'!B766, "m: ", M764,, K764, J764, " FLUOR in SST. ", "TG ", 'Input Sheet'!I766, "U"))</f>
        <v/>
      </c>
      <c r="G764" s="31" t="str">
        <f>IF('Input Sheet'!C766="","",100-'Input Sheet'!C766)</f>
        <v/>
      </c>
      <c r="H7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4" s="31" t="str">
        <f t="shared" si="11"/>
        <v/>
      </c>
      <c r="J7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4" s="31" t="str">
        <f>IF('Input Sheet'!F765=0, "NO",CONCATENATE('Input Sheet'!F765, IF('Input Sheet'!F765&gt;0,"% ","")))</f>
        <v>NO</v>
      </c>
      <c r="L7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4" s="31" t="str">
        <f>CONCATENATE(L764, IF('Input Sheet'!J766="",""," siderite in "))</f>
        <v/>
      </c>
      <c r="N7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4" s="31" t="str">
        <f>CONCATENATE(N764, IF('Input Sheet'!K766="",""," siderite in "))</f>
        <v/>
      </c>
    </row>
    <row r="765" spans="1:15" x14ac:dyDescent="0.35">
      <c r="A765" s="42" t="str">
        <f>IF('Input Sheet'!C767="","",CONCATENATE("Sample ", 'Input Sheet'!B767, "m: ", M765, G765, "% ", "Siltstone, ", O765, 'Input Sheet'!C767, "% ", I765, " Sandstone, ", K765, J765, " FLUOR in SST. ", "TG ", 'Input Sheet'!I767, "U"))</f>
        <v/>
      </c>
      <c r="B765" s="28" t="str">
        <f>IF('Input Sheet'!C767="","",CONCATENATE("Sample ", 'Input Sheet'!B767, "m: ", N765, H765, "% ", "Siltstone, ", P765, 'Input Sheet'!C767, "% ", J765, " Sandstone "))</f>
        <v/>
      </c>
      <c r="C765" s="28" t="str">
        <f>IF('Input Sheet'!C767="","",CONCATENATE("Sample ", 'Input Sheet'!B767, "m: ", M765,, K765, J765, " FLUOR in SST. ", "TG ", 'Input Sheet'!I767, "U"))</f>
        <v/>
      </c>
      <c r="G765" s="31" t="str">
        <f>IF('Input Sheet'!C767="","",100-'Input Sheet'!C767)</f>
        <v/>
      </c>
      <c r="H7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5" s="31" t="str">
        <f t="shared" si="11"/>
        <v/>
      </c>
      <c r="J7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5" s="31" t="str">
        <f>IF('Input Sheet'!F766=0, "NO",CONCATENATE('Input Sheet'!F766, IF('Input Sheet'!F766&gt;0,"% ","")))</f>
        <v>NO</v>
      </c>
      <c r="L7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5" s="31" t="str">
        <f>CONCATENATE(L765, IF('Input Sheet'!J767="",""," siderite in "))</f>
        <v/>
      </c>
      <c r="N7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5" s="31" t="str">
        <f>CONCATENATE(N765, IF('Input Sheet'!K767="",""," siderite in "))</f>
        <v/>
      </c>
    </row>
    <row r="766" spans="1:15" x14ac:dyDescent="0.35">
      <c r="A766" s="42" t="str">
        <f>IF('Input Sheet'!C768="","",CONCATENATE("Sample ", 'Input Sheet'!B768, "m: ", M766, G766, "% ", "Siltstone, ", O766, 'Input Sheet'!C768, "% ", I766, " Sandstone, ", K766, J766, " FLUOR in SST. ", "TG ", 'Input Sheet'!I768, "U"))</f>
        <v/>
      </c>
      <c r="B766" s="28" t="str">
        <f>IF('Input Sheet'!C768="","",CONCATENATE("Sample ", 'Input Sheet'!B768, "m: ", N766, H766, "% ", "Siltstone, ", P766, 'Input Sheet'!C768, "% ", J766, " Sandstone "))</f>
        <v/>
      </c>
      <c r="C766" s="28" t="str">
        <f>IF('Input Sheet'!C768="","",CONCATENATE("Sample ", 'Input Sheet'!B768, "m: ", M766,, K766, J766, " FLUOR in SST. ", "TG ", 'Input Sheet'!I768, "U"))</f>
        <v/>
      </c>
      <c r="G766" s="31" t="str">
        <f>IF('Input Sheet'!C768="","",100-'Input Sheet'!C768)</f>
        <v/>
      </c>
      <c r="H7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6" s="31" t="str">
        <f t="shared" si="11"/>
        <v/>
      </c>
      <c r="J7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6" s="31" t="str">
        <f>IF('Input Sheet'!F767=0, "NO",CONCATENATE('Input Sheet'!F767, IF('Input Sheet'!F767&gt;0,"% ","")))</f>
        <v>NO</v>
      </c>
      <c r="L7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6" s="31" t="str">
        <f>CONCATENATE(L766, IF('Input Sheet'!J768="",""," siderite in "))</f>
        <v/>
      </c>
      <c r="N7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6" s="31" t="str">
        <f>CONCATENATE(N766, IF('Input Sheet'!K768="",""," siderite in "))</f>
        <v/>
      </c>
    </row>
    <row r="767" spans="1:15" x14ac:dyDescent="0.35">
      <c r="A767" s="42" t="str">
        <f>IF('Input Sheet'!C769="","",CONCATENATE("Sample ", 'Input Sheet'!B769, "m: ", M767, G767, "% ", "Siltstone, ", O767, 'Input Sheet'!C769, "% ", I767, " Sandstone, ", K767, J767, " FLUOR in SST. ", "TG ", 'Input Sheet'!I769, "U"))</f>
        <v/>
      </c>
      <c r="B767" s="28" t="str">
        <f>IF('Input Sheet'!C769="","",CONCATENATE("Sample ", 'Input Sheet'!B769, "m: ", N767, H767, "% ", "Siltstone, ", P767, 'Input Sheet'!C769, "% ", J767, " Sandstone "))</f>
        <v/>
      </c>
      <c r="C767" s="28" t="str">
        <f>IF('Input Sheet'!C769="","",CONCATENATE("Sample ", 'Input Sheet'!B769, "m: ", M767,, K767, J767, " FLUOR in SST. ", "TG ", 'Input Sheet'!I769, "U"))</f>
        <v/>
      </c>
      <c r="G767" s="31" t="str">
        <f>IF('Input Sheet'!C769="","",100-'Input Sheet'!C769)</f>
        <v/>
      </c>
      <c r="H7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7" s="31" t="str">
        <f t="shared" si="11"/>
        <v/>
      </c>
      <c r="J7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7" s="31" t="str">
        <f>IF('Input Sheet'!F768=0, "NO",CONCATENATE('Input Sheet'!F768, IF('Input Sheet'!F768&gt;0,"% ","")))</f>
        <v>NO</v>
      </c>
      <c r="L7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7" s="31" t="str">
        <f>CONCATENATE(L767, IF('Input Sheet'!J769="",""," siderite in "))</f>
        <v/>
      </c>
      <c r="N7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7" s="31" t="str">
        <f>CONCATENATE(N767, IF('Input Sheet'!K769="",""," siderite in "))</f>
        <v/>
      </c>
    </row>
    <row r="768" spans="1:15" x14ac:dyDescent="0.35">
      <c r="A768" s="42" t="str">
        <f>IF('Input Sheet'!C770="","",CONCATENATE("Sample ", 'Input Sheet'!B770, "m: ", M768, G768, "% ", "Siltstone, ", O768, 'Input Sheet'!C770, "% ", I768, " Sandstone, ", K768, J768, " FLUOR in SST. ", "TG ", 'Input Sheet'!I770, "U"))</f>
        <v/>
      </c>
      <c r="B768" s="28" t="str">
        <f>IF('Input Sheet'!C770="","",CONCATENATE("Sample ", 'Input Sheet'!B770, "m: ", N768, H768, "% ", "Siltstone, ", P768, 'Input Sheet'!C770, "% ", J768, " Sandstone "))</f>
        <v/>
      </c>
      <c r="C768" s="28" t="str">
        <f>IF('Input Sheet'!C770="","",CONCATENATE("Sample ", 'Input Sheet'!B770, "m: ", M768,, K768, J768, " FLUOR in SST. ", "TG ", 'Input Sheet'!I770, "U"))</f>
        <v/>
      </c>
      <c r="G768" s="31" t="str">
        <f>IF('Input Sheet'!C770="","",100-'Input Sheet'!C770)</f>
        <v/>
      </c>
      <c r="H7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8" s="31" t="str">
        <f t="shared" si="11"/>
        <v/>
      </c>
      <c r="J7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8" s="31" t="str">
        <f>IF('Input Sheet'!F769=0, "NO",CONCATENATE('Input Sheet'!F769, IF('Input Sheet'!F769&gt;0,"% ","")))</f>
        <v>NO</v>
      </c>
      <c r="L7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8" s="31" t="str">
        <f>CONCATENATE(L768, IF('Input Sheet'!J770="",""," siderite in "))</f>
        <v/>
      </c>
      <c r="N7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8" s="31" t="str">
        <f>CONCATENATE(N768, IF('Input Sheet'!K770="",""," siderite in "))</f>
        <v/>
      </c>
    </row>
    <row r="769" spans="1:15" x14ac:dyDescent="0.35">
      <c r="A769" s="42" t="str">
        <f>IF('Input Sheet'!C771="","",CONCATENATE("Sample ", 'Input Sheet'!B771, "m: ", M769, G769, "% ", "Siltstone, ", O769, 'Input Sheet'!C771, "% ", I769, " Sandstone, ", K769, J769, " FLUOR in SST. ", "TG ", 'Input Sheet'!I771, "U"))</f>
        <v/>
      </c>
      <c r="B769" s="28" t="str">
        <f>IF('Input Sheet'!C771="","",CONCATENATE("Sample ", 'Input Sheet'!B771, "m: ", N769, H769, "% ", "Siltstone, ", P769, 'Input Sheet'!C771, "% ", J769, " Sandstone "))</f>
        <v/>
      </c>
      <c r="C769" s="28" t="str">
        <f>IF('Input Sheet'!C771="","",CONCATENATE("Sample ", 'Input Sheet'!B771, "m: ", M769,, K769, J769, " FLUOR in SST. ", "TG ", 'Input Sheet'!I771, "U"))</f>
        <v/>
      </c>
      <c r="G769" s="31" t="str">
        <f>IF('Input Sheet'!C771="","",100-'Input Sheet'!C771)</f>
        <v/>
      </c>
      <c r="H7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9" s="31" t="str">
        <f t="shared" si="11"/>
        <v/>
      </c>
      <c r="J7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9" s="31" t="str">
        <f>IF('Input Sheet'!F770=0, "NO",CONCATENATE('Input Sheet'!F770, IF('Input Sheet'!F770&gt;0,"% ","")))</f>
        <v>NO</v>
      </c>
      <c r="L7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9" s="31" t="str">
        <f>CONCATENATE(L769, IF('Input Sheet'!J771="",""," siderite in "))</f>
        <v/>
      </c>
      <c r="N7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9" s="31" t="str">
        <f>CONCATENATE(N769, IF('Input Sheet'!K771="",""," siderite in "))</f>
        <v/>
      </c>
    </row>
    <row r="770" spans="1:15" x14ac:dyDescent="0.35">
      <c r="A770" s="42" t="str">
        <f>IF('Input Sheet'!C772="","",CONCATENATE("Sample ", 'Input Sheet'!B772, "m: ", M770, G770, "% ", "Siltstone, ", O770, 'Input Sheet'!C772, "% ", I770, " Sandstone, ", K770, J770, " FLUOR in SST. ", "TG ", 'Input Sheet'!I772, "U"))</f>
        <v/>
      </c>
      <c r="B770" s="28" t="str">
        <f>IF('Input Sheet'!C772="","",CONCATENATE("Sample ", 'Input Sheet'!B772, "m: ", N770, H770, "% ", "Siltstone, ", P770, 'Input Sheet'!C772, "% ", J770, " Sandstone "))</f>
        <v/>
      </c>
      <c r="C770" s="28" t="str">
        <f>IF('Input Sheet'!C772="","",CONCATENATE("Sample ", 'Input Sheet'!B772, "m: ", M770,, K770, J770, " FLUOR in SST. ", "TG ", 'Input Sheet'!I772, "U"))</f>
        <v/>
      </c>
      <c r="G770" s="31" t="str">
        <f>IF('Input Sheet'!C772="","",100-'Input Sheet'!C772)</f>
        <v/>
      </c>
      <c r="H7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0" s="31" t="str">
        <f t="shared" ref="I770:I833" si="12">SUBSTITUTE(H770, "veryfine", "very fine")</f>
        <v/>
      </c>
      <c r="J7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0" s="31" t="str">
        <f>IF('Input Sheet'!F771=0, "NO",CONCATENATE('Input Sheet'!F771, IF('Input Sheet'!F771&gt;0,"% ","")))</f>
        <v>NO</v>
      </c>
      <c r="L7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0" s="31" t="str">
        <f>CONCATENATE(L770, IF('Input Sheet'!J772="",""," siderite in "))</f>
        <v/>
      </c>
      <c r="N7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0" s="31" t="str">
        <f>CONCATENATE(N770, IF('Input Sheet'!K772="",""," siderite in "))</f>
        <v/>
      </c>
    </row>
    <row r="771" spans="1:15" x14ac:dyDescent="0.35">
      <c r="A771" s="42" t="str">
        <f>IF('Input Sheet'!C773="","",CONCATENATE("Sample ", 'Input Sheet'!B773, "m: ", M771, G771, "% ", "Siltstone, ", O771, 'Input Sheet'!C773, "% ", I771, " Sandstone, ", K771, J771, " FLUOR in SST. ", "TG ", 'Input Sheet'!I773, "U"))</f>
        <v/>
      </c>
      <c r="B771" s="28" t="str">
        <f>IF('Input Sheet'!C773="","",CONCATENATE("Sample ", 'Input Sheet'!B773, "m: ", N771, H771, "% ", "Siltstone, ", P771, 'Input Sheet'!C773, "% ", J771, " Sandstone "))</f>
        <v/>
      </c>
      <c r="C771" s="28" t="str">
        <f>IF('Input Sheet'!C773="","",CONCATENATE("Sample ", 'Input Sheet'!B773, "m: ", M771,, K771, J771, " FLUOR in SST. ", "TG ", 'Input Sheet'!I773, "U"))</f>
        <v/>
      </c>
      <c r="G771" s="31" t="str">
        <f>IF('Input Sheet'!C773="","",100-'Input Sheet'!C773)</f>
        <v/>
      </c>
      <c r="H7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1" s="31" t="str">
        <f t="shared" si="12"/>
        <v/>
      </c>
      <c r="J7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1" s="31" t="str">
        <f>IF('Input Sheet'!F772=0, "NO",CONCATENATE('Input Sheet'!F772, IF('Input Sheet'!F772&gt;0,"% ","")))</f>
        <v>NO</v>
      </c>
      <c r="L7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1" s="31" t="str">
        <f>CONCATENATE(L771, IF('Input Sheet'!J773="",""," siderite in "))</f>
        <v/>
      </c>
      <c r="N7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1" s="31" t="str">
        <f>CONCATENATE(N771, IF('Input Sheet'!K773="",""," siderite in "))</f>
        <v/>
      </c>
    </row>
    <row r="772" spans="1:15" x14ac:dyDescent="0.35">
      <c r="A772" s="42" t="str">
        <f>IF('Input Sheet'!C774="","",CONCATENATE("Sample ", 'Input Sheet'!B774, "m: ", M772, G772, "% ", "Siltstone, ", O772, 'Input Sheet'!C774, "% ", I772, " Sandstone, ", K772, J772, " FLUOR in SST. ", "TG ", 'Input Sheet'!I774, "U"))</f>
        <v/>
      </c>
      <c r="B772" s="28" t="str">
        <f>IF('Input Sheet'!C774="","",CONCATENATE("Sample ", 'Input Sheet'!B774, "m: ", N772, H772, "% ", "Siltstone, ", P772, 'Input Sheet'!C774, "% ", J772, " Sandstone "))</f>
        <v/>
      </c>
      <c r="C772" s="28" t="str">
        <f>IF('Input Sheet'!C774="","",CONCATENATE("Sample ", 'Input Sheet'!B774, "m: ", M772,, K772, J772, " FLUOR in SST. ", "TG ", 'Input Sheet'!I774, "U"))</f>
        <v/>
      </c>
      <c r="G772" s="31" t="str">
        <f>IF('Input Sheet'!C774="","",100-'Input Sheet'!C774)</f>
        <v/>
      </c>
      <c r="H7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2" s="31" t="str">
        <f t="shared" si="12"/>
        <v/>
      </c>
      <c r="J7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2" s="31" t="str">
        <f>IF('Input Sheet'!F773=0, "NO",CONCATENATE('Input Sheet'!F773, IF('Input Sheet'!F773&gt;0,"% ","")))</f>
        <v>NO</v>
      </c>
      <c r="L7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2" s="31" t="str">
        <f>CONCATENATE(L772, IF('Input Sheet'!J774="",""," siderite in "))</f>
        <v/>
      </c>
      <c r="N7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2" s="31" t="str">
        <f>CONCATENATE(N772, IF('Input Sheet'!K774="",""," siderite in "))</f>
        <v/>
      </c>
    </row>
    <row r="773" spans="1:15" x14ac:dyDescent="0.35">
      <c r="A773" s="42" t="str">
        <f>IF('Input Sheet'!C775="","",CONCATENATE("Sample ", 'Input Sheet'!B775, "m: ", M773, G773, "% ", "Siltstone, ", O773, 'Input Sheet'!C775, "% ", I773, " Sandstone, ", K773, J773, " FLUOR in SST. ", "TG ", 'Input Sheet'!I775, "U"))</f>
        <v/>
      </c>
      <c r="B773" s="28" t="str">
        <f>IF('Input Sheet'!C775="","",CONCATENATE("Sample ", 'Input Sheet'!B775, "m: ", N773, H773, "% ", "Siltstone, ", P773, 'Input Sheet'!C775, "% ", J773, " Sandstone "))</f>
        <v/>
      </c>
      <c r="C773" s="28" t="str">
        <f>IF('Input Sheet'!C775="","",CONCATENATE("Sample ", 'Input Sheet'!B775, "m: ", M773,, K773, J773, " FLUOR in SST. ", "TG ", 'Input Sheet'!I775, "U"))</f>
        <v/>
      </c>
      <c r="G773" s="31" t="str">
        <f>IF('Input Sheet'!C775="","",100-'Input Sheet'!C775)</f>
        <v/>
      </c>
      <c r="H7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3" s="31" t="str">
        <f t="shared" si="12"/>
        <v/>
      </c>
      <c r="J7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3" s="31" t="str">
        <f>IF('Input Sheet'!F774=0, "NO",CONCATENATE('Input Sheet'!F774, IF('Input Sheet'!F774&gt;0,"% ","")))</f>
        <v>NO</v>
      </c>
      <c r="L7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3" s="31" t="str">
        <f>CONCATENATE(L773, IF('Input Sheet'!J775="",""," siderite in "))</f>
        <v/>
      </c>
      <c r="N7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3" s="31" t="str">
        <f>CONCATENATE(N773, IF('Input Sheet'!K775="",""," siderite in "))</f>
        <v/>
      </c>
    </row>
    <row r="774" spans="1:15" x14ac:dyDescent="0.35">
      <c r="A774" s="42" t="str">
        <f>IF('Input Sheet'!C776="","",CONCATENATE("Sample ", 'Input Sheet'!B776, "m: ", M774, G774, "% ", "Siltstone, ", O774, 'Input Sheet'!C776, "% ", I774, " Sandstone, ", K774, J774, " FLUOR in SST. ", "TG ", 'Input Sheet'!I776, "U"))</f>
        <v/>
      </c>
      <c r="B774" s="28" t="str">
        <f>IF('Input Sheet'!C776="","",CONCATENATE("Sample ", 'Input Sheet'!B776, "m: ", N774, H774, "% ", "Siltstone, ", P774, 'Input Sheet'!C776, "% ", J774, " Sandstone "))</f>
        <v/>
      </c>
      <c r="C774" s="28" t="str">
        <f>IF('Input Sheet'!C776="","",CONCATENATE("Sample ", 'Input Sheet'!B776, "m: ", M774,, K774, J774, " FLUOR in SST. ", "TG ", 'Input Sheet'!I776, "U"))</f>
        <v/>
      </c>
      <c r="G774" s="31" t="str">
        <f>IF('Input Sheet'!C776="","",100-'Input Sheet'!C776)</f>
        <v/>
      </c>
      <c r="H7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4" s="31" t="str">
        <f t="shared" si="12"/>
        <v/>
      </c>
      <c r="J7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4" s="31" t="str">
        <f>IF('Input Sheet'!F775=0, "NO",CONCATENATE('Input Sheet'!F775, IF('Input Sheet'!F775&gt;0,"% ","")))</f>
        <v>NO</v>
      </c>
      <c r="L7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4" s="31" t="str">
        <f>CONCATENATE(L774, IF('Input Sheet'!J776="",""," siderite in "))</f>
        <v/>
      </c>
      <c r="N7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4" s="31" t="str">
        <f>CONCATENATE(N774, IF('Input Sheet'!K776="",""," siderite in "))</f>
        <v/>
      </c>
    </row>
    <row r="775" spans="1:15" x14ac:dyDescent="0.35">
      <c r="A775" s="42" t="str">
        <f>IF('Input Sheet'!C777="","",CONCATENATE("Sample ", 'Input Sheet'!B777, "m: ", M775, G775, "% ", "Siltstone, ", O775, 'Input Sheet'!C777, "% ", I775, " Sandstone, ", K775, J775, " FLUOR in SST. ", "TG ", 'Input Sheet'!I777, "U"))</f>
        <v/>
      </c>
      <c r="B775" s="28" t="str">
        <f>IF('Input Sheet'!C777="","",CONCATENATE("Sample ", 'Input Sheet'!B777, "m: ", N775, H775, "% ", "Siltstone, ", P775, 'Input Sheet'!C777, "% ", J775, " Sandstone "))</f>
        <v/>
      </c>
      <c r="C775" s="28" t="str">
        <f>IF('Input Sheet'!C777="","",CONCATENATE("Sample ", 'Input Sheet'!B777, "m: ", M775,, K775, J775, " FLUOR in SST. ", "TG ", 'Input Sheet'!I777, "U"))</f>
        <v/>
      </c>
      <c r="G775" s="31" t="str">
        <f>IF('Input Sheet'!C777="","",100-'Input Sheet'!C777)</f>
        <v/>
      </c>
      <c r="H7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5" s="31" t="str">
        <f t="shared" si="12"/>
        <v/>
      </c>
      <c r="J7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5" s="31" t="str">
        <f>IF('Input Sheet'!F776=0, "NO",CONCATENATE('Input Sheet'!F776, IF('Input Sheet'!F776&gt;0,"% ","")))</f>
        <v>NO</v>
      </c>
      <c r="L7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5" s="31" t="str">
        <f>CONCATENATE(L775, IF('Input Sheet'!J777="",""," siderite in "))</f>
        <v/>
      </c>
      <c r="N7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5" s="31" t="str">
        <f>CONCATENATE(N775, IF('Input Sheet'!K777="",""," siderite in "))</f>
        <v/>
      </c>
    </row>
    <row r="776" spans="1:15" x14ac:dyDescent="0.35">
      <c r="A776" s="42" t="str">
        <f>IF('Input Sheet'!C778="","",CONCATENATE("Sample ", 'Input Sheet'!B778, "m: ", M776, G776, "% ", "Siltstone, ", O776, 'Input Sheet'!C778, "% ", I776, " Sandstone, ", K776, J776, " FLUOR in SST. ", "TG ", 'Input Sheet'!I778, "U"))</f>
        <v/>
      </c>
      <c r="B776" s="28" t="str">
        <f>IF('Input Sheet'!C778="","",CONCATENATE("Sample ", 'Input Sheet'!B778, "m: ", N776, H776, "% ", "Siltstone, ", P776, 'Input Sheet'!C778, "% ", J776, " Sandstone "))</f>
        <v/>
      </c>
      <c r="C776" s="28" t="str">
        <f>IF('Input Sheet'!C778="","",CONCATENATE("Sample ", 'Input Sheet'!B778, "m: ", M776,, K776, J776, " FLUOR in SST. ", "TG ", 'Input Sheet'!I778, "U"))</f>
        <v/>
      </c>
      <c r="G776" s="31" t="str">
        <f>IF('Input Sheet'!C778="","",100-'Input Sheet'!C778)</f>
        <v/>
      </c>
      <c r="H7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6" s="31" t="str">
        <f t="shared" si="12"/>
        <v/>
      </c>
      <c r="J7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6" s="31" t="str">
        <f>IF('Input Sheet'!F777=0, "NO",CONCATENATE('Input Sheet'!F777, IF('Input Sheet'!F777&gt;0,"% ","")))</f>
        <v>NO</v>
      </c>
      <c r="L7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6" s="31" t="str">
        <f>CONCATENATE(L776, IF('Input Sheet'!J778="",""," siderite in "))</f>
        <v/>
      </c>
      <c r="N7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6" s="31" t="str">
        <f>CONCATENATE(N776, IF('Input Sheet'!K778="",""," siderite in "))</f>
        <v/>
      </c>
    </row>
    <row r="777" spans="1:15" x14ac:dyDescent="0.35">
      <c r="A777" s="42" t="str">
        <f>IF('Input Sheet'!C779="","",CONCATENATE("Sample ", 'Input Sheet'!B779, "m: ", M777, G777, "% ", "Siltstone, ", O777, 'Input Sheet'!C779, "% ", I777, " Sandstone, ", K777, J777, " FLUOR in SST. ", "TG ", 'Input Sheet'!I779, "U"))</f>
        <v/>
      </c>
      <c r="B777" s="28" t="str">
        <f>IF('Input Sheet'!C779="","",CONCATENATE("Sample ", 'Input Sheet'!B779, "m: ", N777, H777, "% ", "Siltstone, ", P777, 'Input Sheet'!C779, "% ", J777, " Sandstone "))</f>
        <v/>
      </c>
      <c r="C777" s="28" t="str">
        <f>IF('Input Sheet'!C779="","",CONCATENATE("Sample ", 'Input Sheet'!B779, "m: ", M777,, K777, J777, " FLUOR in SST. ", "TG ", 'Input Sheet'!I779, "U"))</f>
        <v/>
      </c>
      <c r="G777" s="31" t="str">
        <f>IF('Input Sheet'!C779="","",100-'Input Sheet'!C779)</f>
        <v/>
      </c>
      <c r="H7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7" s="31" t="str">
        <f t="shared" si="12"/>
        <v/>
      </c>
      <c r="J7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7" s="31" t="str">
        <f>IF('Input Sheet'!F778=0, "NO",CONCATENATE('Input Sheet'!F778, IF('Input Sheet'!F778&gt;0,"% ","")))</f>
        <v>NO</v>
      </c>
      <c r="L7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7" s="31" t="str">
        <f>CONCATENATE(L777, IF('Input Sheet'!J779="",""," siderite in "))</f>
        <v/>
      </c>
      <c r="N7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7" s="31" t="str">
        <f>CONCATENATE(N777, IF('Input Sheet'!K779="",""," siderite in "))</f>
        <v/>
      </c>
    </row>
    <row r="778" spans="1:15" x14ac:dyDescent="0.35">
      <c r="A778" s="42" t="str">
        <f>IF('Input Sheet'!C780="","",CONCATENATE("Sample ", 'Input Sheet'!B780, "m: ", M778, G778, "% ", "Siltstone, ", O778, 'Input Sheet'!C780, "% ", I778, " Sandstone, ", K778, J778, " FLUOR in SST. ", "TG ", 'Input Sheet'!I780, "U"))</f>
        <v/>
      </c>
      <c r="B778" s="28" t="str">
        <f>IF('Input Sheet'!C780="","",CONCATENATE("Sample ", 'Input Sheet'!B780, "m: ", N778, H778, "% ", "Siltstone, ", P778, 'Input Sheet'!C780, "% ", J778, " Sandstone "))</f>
        <v/>
      </c>
      <c r="C778" s="28" t="str">
        <f>IF('Input Sheet'!C780="","",CONCATENATE("Sample ", 'Input Sheet'!B780, "m: ", M778,, K778, J778, " FLUOR in SST. ", "TG ", 'Input Sheet'!I780, "U"))</f>
        <v/>
      </c>
      <c r="G778" s="31" t="str">
        <f>IF('Input Sheet'!C780="","",100-'Input Sheet'!C780)</f>
        <v/>
      </c>
      <c r="H7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8" s="31" t="str">
        <f t="shared" si="12"/>
        <v/>
      </c>
      <c r="J7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8" s="31" t="str">
        <f>IF('Input Sheet'!F779=0, "NO",CONCATENATE('Input Sheet'!F779, IF('Input Sheet'!F779&gt;0,"% ","")))</f>
        <v>NO</v>
      </c>
      <c r="L7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8" s="31" t="str">
        <f>CONCATENATE(L778, IF('Input Sheet'!J780="",""," siderite in "))</f>
        <v/>
      </c>
      <c r="N7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8" s="31" t="str">
        <f>CONCATENATE(N778, IF('Input Sheet'!K780="",""," siderite in "))</f>
        <v/>
      </c>
    </row>
    <row r="779" spans="1:15" x14ac:dyDescent="0.35">
      <c r="A779" s="42" t="str">
        <f>IF('Input Sheet'!C781="","",CONCATENATE("Sample ", 'Input Sheet'!B781, "m: ", M779, G779, "% ", "Siltstone, ", O779, 'Input Sheet'!C781, "% ", I779, " Sandstone, ", K779, J779, " FLUOR in SST. ", "TG ", 'Input Sheet'!I781, "U"))</f>
        <v/>
      </c>
      <c r="B779" s="28" t="str">
        <f>IF('Input Sheet'!C781="","",CONCATENATE("Sample ", 'Input Sheet'!B781, "m: ", N779, H779, "% ", "Siltstone, ", P779, 'Input Sheet'!C781, "% ", J779, " Sandstone "))</f>
        <v/>
      </c>
      <c r="C779" s="28" t="str">
        <f>IF('Input Sheet'!C781="","",CONCATENATE("Sample ", 'Input Sheet'!B781, "m: ", M779,, K779, J779, " FLUOR in SST. ", "TG ", 'Input Sheet'!I781, "U"))</f>
        <v/>
      </c>
      <c r="G779" s="31" t="str">
        <f>IF('Input Sheet'!C781="","",100-'Input Sheet'!C781)</f>
        <v/>
      </c>
      <c r="H7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9" s="31" t="str">
        <f t="shared" si="12"/>
        <v/>
      </c>
      <c r="J7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9" s="31" t="str">
        <f>IF('Input Sheet'!F780=0, "NO",CONCATENATE('Input Sheet'!F780, IF('Input Sheet'!F780&gt;0,"% ","")))</f>
        <v>NO</v>
      </c>
      <c r="L7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9" s="31" t="str">
        <f>CONCATENATE(L779, IF('Input Sheet'!J781="",""," siderite in "))</f>
        <v/>
      </c>
      <c r="N7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9" s="31" t="str">
        <f>CONCATENATE(N779, IF('Input Sheet'!K781="",""," siderite in "))</f>
        <v/>
      </c>
    </row>
    <row r="780" spans="1:15" x14ac:dyDescent="0.35">
      <c r="A780" s="42" t="str">
        <f>IF('Input Sheet'!C782="","",CONCATENATE("Sample ", 'Input Sheet'!B782, "m: ", M780, G780, "% ", "Siltstone, ", O780, 'Input Sheet'!C782, "% ", I780, " Sandstone, ", K780, J780, " FLUOR in SST. ", "TG ", 'Input Sheet'!I782, "U"))</f>
        <v/>
      </c>
      <c r="B780" s="28" t="str">
        <f>IF('Input Sheet'!C782="","",CONCATENATE("Sample ", 'Input Sheet'!B782, "m: ", N780, H780, "% ", "Siltstone, ", P780, 'Input Sheet'!C782, "% ", J780, " Sandstone "))</f>
        <v/>
      </c>
      <c r="C780" s="28" t="str">
        <f>IF('Input Sheet'!C782="","",CONCATENATE("Sample ", 'Input Sheet'!B782, "m: ", M780,, K780, J780, " FLUOR in SST. ", "TG ", 'Input Sheet'!I782, "U"))</f>
        <v/>
      </c>
      <c r="G780" s="31" t="str">
        <f>IF('Input Sheet'!C782="","",100-'Input Sheet'!C782)</f>
        <v/>
      </c>
      <c r="H7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0" s="31" t="str">
        <f t="shared" si="12"/>
        <v/>
      </c>
      <c r="J7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0" s="31" t="str">
        <f>IF('Input Sheet'!F781=0, "NO",CONCATENATE('Input Sheet'!F781, IF('Input Sheet'!F781&gt;0,"% ","")))</f>
        <v>NO</v>
      </c>
      <c r="L7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0" s="31" t="str">
        <f>CONCATENATE(L780, IF('Input Sheet'!J782="",""," siderite in "))</f>
        <v/>
      </c>
      <c r="N7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0" s="31" t="str">
        <f>CONCATENATE(N780, IF('Input Sheet'!K782="",""," siderite in "))</f>
        <v/>
      </c>
    </row>
    <row r="781" spans="1:15" x14ac:dyDescent="0.35">
      <c r="A781" s="42" t="str">
        <f>IF('Input Sheet'!C783="","",CONCATENATE("Sample ", 'Input Sheet'!B783, "m: ", M781, G781, "% ", "Siltstone, ", O781, 'Input Sheet'!C783, "% ", I781, " Sandstone, ", K781, J781, " FLUOR in SST. ", "TG ", 'Input Sheet'!I783, "U"))</f>
        <v/>
      </c>
      <c r="B781" s="28" t="str">
        <f>IF('Input Sheet'!C783="","",CONCATENATE("Sample ", 'Input Sheet'!B783, "m: ", N781, H781, "% ", "Siltstone, ", P781, 'Input Sheet'!C783, "% ", J781, " Sandstone "))</f>
        <v/>
      </c>
      <c r="C781" s="28" t="str">
        <f>IF('Input Sheet'!C783="","",CONCATENATE("Sample ", 'Input Sheet'!B783, "m: ", M781,, K781, J781, " FLUOR in SST. ", "TG ", 'Input Sheet'!I783, "U"))</f>
        <v/>
      </c>
      <c r="G781" s="31" t="str">
        <f>IF('Input Sheet'!C783="","",100-'Input Sheet'!C783)</f>
        <v/>
      </c>
      <c r="H7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1" s="31" t="str">
        <f t="shared" si="12"/>
        <v/>
      </c>
      <c r="J7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1" s="31" t="str">
        <f>IF('Input Sheet'!F782=0, "NO",CONCATENATE('Input Sheet'!F782, IF('Input Sheet'!F782&gt;0,"% ","")))</f>
        <v>NO</v>
      </c>
      <c r="L7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1" s="31" t="str">
        <f>CONCATENATE(L781, IF('Input Sheet'!J783="",""," siderite in "))</f>
        <v/>
      </c>
      <c r="N7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1" s="31" t="str">
        <f>CONCATENATE(N781, IF('Input Sheet'!K783="",""," siderite in "))</f>
        <v/>
      </c>
    </row>
    <row r="782" spans="1:15" x14ac:dyDescent="0.35">
      <c r="A782" s="42" t="str">
        <f>IF('Input Sheet'!C784="","",CONCATENATE("Sample ", 'Input Sheet'!B784, "m: ", M782, G782, "% ", "Siltstone, ", O782, 'Input Sheet'!C784, "% ", I782, " Sandstone, ", K782, J782, " FLUOR in SST. ", "TG ", 'Input Sheet'!I784, "U"))</f>
        <v/>
      </c>
      <c r="B782" s="28" t="str">
        <f>IF('Input Sheet'!C784="","",CONCATENATE("Sample ", 'Input Sheet'!B784, "m: ", N782, H782, "% ", "Siltstone, ", P782, 'Input Sheet'!C784, "% ", J782, " Sandstone "))</f>
        <v/>
      </c>
      <c r="C782" s="28" t="str">
        <f>IF('Input Sheet'!C784="","",CONCATENATE("Sample ", 'Input Sheet'!B784, "m: ", M782,, K782, J782, " FLUOR in SST. ", "TG ", 'Input Sheet'!I784, "U"))</f>
        <v/>
      </c>
      <c r="G782" s="31" t="str">
        <f>IF('Input Sheet'!C784="","",100-'Input Sheet'!C784)</f>
        <v/>
      </c>
      <c r="H7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2" s="31" t="str">
        <f t="shared" si="12"/>
        <v/>
      </c>
      <c r="J7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2" s="31" t="str">
        <f>IF('Input Sheet'!F783=0, "NO",CONCATENATE('Input Sheet'!F783, IF('Input Sheet'!F783&gt;0,"% ","")))</f>
        <v>NO</v>
      </c>
      <c r="L7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2" s="31" t="str">
        <f>CONCATENATE(L782, IF('Input Sheet'!J784="",""," siderite in "))</f>
        <v/>
      </c>
      <c r="N7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2" s="31" t="str">
        <f>CONCATENATE(N782, IF('Input Sheet'!K784="",""," siderite in "))</f>
        <v/>
      </c>
    </row>
    <row r="783" spans="1:15" x14ac:dyDescent="0.35">
      <c r="A783" s="42" t="str">
        <f>IF('Input Sheet'!C785="","",CONCATENATE("Sample ", 'Input Sheet'!B785, "m: ", M783, G783, "% ", "Siltstone, ", O783, 'Input Sheet'!C785, "% ", I783, " Sandstone, ", K783, J783, " FLUOR in SST. ", "TG ", 'Input Sheet'!I785, "U"))</f>
        <v/>
      </c>
      <c r="B783" s="28" t="str">
        <f>IF('Input Sheet'!C785="","",CONCATENATE("Sample ", 'Input Sheet'!B785, "m: ", N783, H783, "% ", "Siltstone, ", P783, 'Input Sheet'!C785, "% ", J783, " Sandstone "))</f>
        <v/>
      </c>
      <c r="C783" s="28" t="str">
        <f>IF('Input Sheet'!C785="","",CONCATENATE("Sample ", 'Input Sheet'!B785, "m: ", M783,, K783, J783, " FLUOR in SST. ", "TG ", 'Input Sheet'!I785, "U"))</f>
        <v/>
      </c>
      <c r="G783" s="31" t="str">
        <f>IF('Input Sheet'!C785="","",100-'Input Sheet'!C785)</f>
        <v/>
      </c>
      <c r="H7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3" s="31" t="str">
        <f t="shared" si="12"/>
        <v/>
      </c>
      <c r="J7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3" s="31" t="str">
        <f>IF('Input Sheet'!F784=0, "NO",CONCATENATE('Input Sheet'!F784, IF('Input Sheet'!F784&gt;0,"% ","")))</f>
        <v>NO</v>
      </c>
      <c r="L7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3" s="31" t="str">
        <f>CONCATENATE(L783, IF('Input Sheet'!J785="",""," siderite in "))</f>
        <v/>
      </c>
      <c r="N7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3" s="31" t="str">
        <f>CONCATENATE(N783, IF('Input Sheet'!K785="",""," siderite in "))</f>
        <v/>
      </c>
    </row>
    <row r="784" spans="1:15" x14ac:dyDescent="0.35">
      <c r="A784" s="42" t="str">
        <f>IF('Input Sheet'!C786="","",CONCATENATE("Sample ", 'Input Sheet'!B786, "m: ", M784, G784, "% ", "Siltstone, ", O784, 'Input Sheet'!C786, "% ", I784, " Sandstone, ", K784, J784, " FLUOR in SST. ", "TG ", 'Input Sheet'!I786, "U"))</f>
        <v/>
      </c>
      <c r="B784" s="28" t="str">
        <f>IF('Input Sheet'!C786="","",CONCATENATE("Sample ", 'Input Sheet'!B786, "m: ", N784, H784, "% ", "Siltstone, ", P784, 'Input Sheet'!C786, "% ", J784, " Sandstone "))</f>
        <v/>
      </c>
      <c r="C784" s="28" t="str">
        <f>IF('Input Sheet'!C786="","",CONCATENATE("Sample ", 'Input Sheet'!B786, "m: ", M784,, K784, J784, " FLUOR in SST. ", "TG ", 'Input Sheet'!I786, "U"))</f>
        <v/>
      </c>
      <c r="G784" s="31" t="str">
        <f>IF('Input Sheet'!C786="","",100-'Input Sheet'!C786)</f>
        <v/>
      </c>
      <c r="H7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4" s="31" t="str">
        <f t="shared" si="12"/>
        <v/>
      </c>
      <c r="J7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4" s="31" t="str">
        <f>IF('Input Sheet'!F785=0, "NO",CONCATENATE('Input Sheet'!F785, IF('Input Sheet'!F785&gt;0,"% ","")))</f>
        <v>NO</v>
      </c>
      <c r="L7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4" s="31" t="str">
        <f>CONCATENATE(L784, IF('Input Sheet'!J786="",""," siderite in "))</f>
        <v/>
      </c>
      <c r="N7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4" s="31" t="str">
        <f>CONCATENATE(N784, IF('Input Sheet'!K786="",""," siderite in "))</f>
        <v/>
      </c>
    </row>
    <row r="785" spans="1:15" x14ac:dyDescent="0.35">
      <c r="A785" s="42" t="str">
        <f>IF('Input Sheet'!C787="","",CONCATENATE("Sample ", 'Input Sheet'!B787, "m: ", M785, G785, "% ", "Siltstone, ", O785, 'Input Sheet'!C787, "% ", I785, " Sandstone, ", K785, J785, " FLUOR in SST. ", "TG ", 'Input Sheet'!I787, "U"))</f>
        <v/>
      </c>
      <c r="B785" s="28" t="str">
        <f>IF('Input Sheet'!C787="","",CONCATENATE("Sample ", 'Input Sheet'!B787, "m: ", N785, H785, "% ", "Siltstone, ", P785, 'Input Sheet'!C787, "% ", J785, " Sandstone "))</f>
        <v/>
      </c>
      <c r="C785" s="28" t="str">
        <f>IF('Input Sheet'!C787="","",CONCATENATE("Sample ", 'Input Sheet'!B787, "m: ", M785,, K785, J785, " FLUOR in SST. ", "TG ", 'Input Sheet'!I787, "U"))</f>
        <v/>
      </c>
      <c r="G785" s="31" t="str">
        <f>IF('Input Sheet'!C787="","",100-'Input Sheet'!C787)</f>
        <v/>
      </c>
      <c r="H7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5" s="31" t="str">
        <f t="shared" si="12"/>
        <v/>
      </c>
      <c r="J7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5" s="31" t="str">
        <f>IF('Input Sheet'!F786=0, "NO",CONCATENATE('Input Sheet'!F786, IF('Input Sheet'!F786&gt;0,"% ","")))</f>
        <v>NO</v>
      </c>
      <c r="L7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5" s="31" t="str">
        <f>CONCATENATE(L785, IF('Input Sheet'!J787="",""," siderite in "))</f>
        <v/>
      </c>
      <c r="N7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5" s="31" t="str">
        <f>CONCATENATE(N785, IF('Input Sheet'!K787="",""," siderite in "))</f>
        <v/>
      </c>
    </row>
    <row r="786" spans="1:15" x14ac:dyDescent="0.35">
      <c r="A786" s="42" t="str">
        <f>IF('Input Sheet'!C788="","",CONCATENATE("Sample ", 'Input Sheet'!B788, "m: ", M786, G786, "% ", "Siltstone, ", O786, 'Input Sheet'!C788, "% ", I786, " Sandstone, ", K786, J786, " FLUOR in SST. ", "TG ", 'Input Sheet'!I788, "U"))</f>
        <v/>
      </c>
      <c r="B786" s="28" t="str">
        <f>IF('Input Sheet'!C788="","",CONCATENATE("Sample ", 'Input Sheet'!B788, "m: ", N786, H786, "% ", "Siltstone, ", P786, 'Input Sheet'!C788, "% ", J786, " Sandstone "))</f>
        <v/>
      </c>
      <c r="C786" s="28" t="str">
        <f>IF('Input Sheet'!C788="","",CONCATENATE("Sample ", 'Input Sheet'!B788, "m: ", M786,, K786, J786, " FLUOR in SST. ", "TG ", 'Input Sheet'!I788, "U"))</f>
        <v/>
      </c>
      <c r="G786" s="31" t="str">
        <f>IF('Input Sheet'!C788="","",100-'Input Sheet'!C788)</f>
        <v/>
      </c>
      <c r="H7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6" s="31" t="str">
        <f t="shared" si="12"/>
        <v/>
      </c>
      <c r="J7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6" s="31" t="str">
        <f>IF('Input Sheet'!F787=0, "NO",CONCATENATE('Input Sheet'!F787, IF('Input Sheet'!F787&gt;0,"% ","")))</f>
        <v>NO</v>
      </c>
      <c r="L7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6" s="31" t="str">
        <f>CONCATENATE(L786, IF('Input Sheet'!J788="",""," siderite in "))</f>
        <v/>
      </c>
      <c r="N7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6" s="31" t="str">
        <f>CONCATENATE(N786, IF('Input Sheet'!K788="",""," siderite in "))</f>
        <v/>
      </c>
    </row>
    <row r="787" spans="1:15" x14ac:dyDescent="0.35">
      <c r="A787" s="42" t="str">
        <f>IF('Input Sheet'!C789="","",CONCATENATE("Sample ", 'Input Sheet'!B789, "m: ", M787, G787, "% ", "Siltstone, ", O787, 'Input Sheet'!C789, "% ", I787, " Sandstone, ", K787, J787, " FLUOR in SST. ", "TG ", 'Input Sheet'!I789, "U"))</f>
        <v/>
      </c>
      <c r="B787" s="28" t="str">
        <f>IF('Input Sheet'!C789="","",CONCATENATE("Sample ", 'Input Sheet'!B789, "m: ", N787, H787, "% ", "Siltstone, ", P787, 'Input Sheet'!C789, "% ", J787, " Sandstone "))</f>
        <v/>
      </c>
      <c r="C787" s="28" t="str">
        <f>IF('Input Sheet'!C789="","",CONCATENATE("Sample ", 'Input Sheet'!B789, "m: ", M787,, K787, J787, " FLUOR in SST. ", "TG ", 'Input Sheet'!I789, "U"))</f>
        <v/>
      </c>
      <c r="G787" s="31" t="str">
        <f>IF('Input Sheet'!C789="","",100-'Input Sheet'!C789)</f>
        <v/>
      </c>
      <c r="H7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7" s="31" t="str">
        <f t="shared" si="12"/>
        <v/>
      </c>
      <c r="J7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7" s="31" t="str">
        <f>IF('Input Sheet'!F788=0, "NO",CONCATENATE('Input Sheet'!F788, IF('Input Sheet'!F788&gt;0,"% ","")))</f>
        <v>NO</v>
      </c>
      <c r="L7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7" s="31" t="str">
        <f>CONCATENATE(L787, IF('Input Sheet'!J789="",""," siderite in "))</f>
        <v/>
      </c>
      <c r="N7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7" s="31" t="str">
        <f>CONCATENATE(N787, IF('Input Sheet'!K789="",""," siderite in "))</f>
        <v/>
      </c>
    </row>
    <row r="788" spans="1:15" x14ac:dyDescent="0.35">
      <c r="A788" s="42" t="str">
        <f>IF('Input Sheet'!C790="","",CONCATENATE("Sample ", 'Input Sheet'!B790, "m: ", M788, G788, "% ", "Siltstone, ", O788, 'Input Sheet'!C790, "% ", I788, " Sandstone, ", K788, J788, " FLUOR in SST. ", "TG ", 'Input Sheet'!I790, "U"))</f>
        <v/>
      </c>
      <c r="B788" s="28" t="str">
        <f>IF('Input Sheet'!C790="","",CONCATENATE("Sample ", 'Input Sheet'!B790, "m: ", N788, H788, "% ", "Siltstone, ", P788, 'Input Sheet'!C790, "% ", J788, " Sandstone "))</f>
        <v/>
      </c>
      <c r="C788" s="28" t="str">
        <f>IF('Input Sheet'!C790="","",CONCATENATE("Sample ", 'Input Sheet'!B790, "m: ", M788,, K788, J788, " FLUOR in SST. ", "TG ", 'Input Sheet'!I790, "U"))</f>
        <v/>
      </c>
      <c r="G788" s="31" t="str">
        <f>IF('Input Sheet'!C790="","",100-'Input Sheet'!C790)</f>
        <v/>
      </c>
      <c r="H7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8" s="31" t="str">
        <f t="shared" si="12"/>
        <v/>
      </c>
      <c r="J7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8" s="31" t="str">
        <f>IF('Input Sheet'!F789=0, "NO",CONCATENATE('Input Sheet'!F789, IF('Input Sheet'!F789&gt;0,"% ","")))</f>
        <v>NO</v>
      </c>
      <c r="L7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8" s="31" t="str">
        <f>CONCATENATE(L788, IF('Input Sheet'!J790="",""," siderite in "))</f>
        <v/>
      </c>
      <c r="N7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8" s="31" t="str">
        <f>CONCATENATE(N788, IF('Input Sheet'!K790="",""," siderite in "))</f>
        <v/>
      </c>
    </row>
    <row r="789" spans="1:15" x14ac:dyDescent="0.35">
      <c r="A789" s="42" t="str">
        <f>IF('Input Sheet'!C791="","",CONCATENATE("Sample ", 'Input Sheet'!B791, "m: ", M789, G789, "% ", "Siltstone, ", O789, 'Input Sheet'!C791, "% ", I789, " Sandstone, ", K789, J789, " FLUOR in SST. ", "TG ", 'Input Sheet'!I791, "U"))</f>
        <v/>
      </c>
      <c r="B789" s="28" t="str">
        <f>IF('Input Sheet'!C791="","",CONCATENATE("Sample ", 'Input Sheet'!B791, "m: ", N789, H789, "% ", "Siltstone, ", P789, 'Input Sheet'!C791, "% ", J789, " Sandstone "))</f>
        <v/>
      </c>
      <c r="C789" s="28" t="str">
        <f>IF('Input Sheet'!C791="","",CONCATENATE("Sample ", 'Input Sheet'!B791, "m: ", M789,, K789, J789, " FLUOR in SST. ", "TG ", 'Input Sheet'!I791, "U"))</f>
        <v/>
      </c>
      <c r="G789" s="31" t="str">
        <f>IF('Input Sheet'!C791="","",100-'Input Sheet'!C791)</f>
        <v/>
      </c>
      <c r="H7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9" s="31" t="str">
        <f t="shared" si="12"/>
        <v/>
      </c>
      <c r="J7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9" s="31" t="str">
        <f>IF('Input Sheet'!F790=0, "NO",CONCATENATE('Input Sheet'!F790, IF('Input Sheet'!F790&gt;0,"% ","")))</f>
        <v>NO</v>
      </c>
      <c r="L7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9" s="31" t="str">
        <f>CONCATENATE(L789, IF('Input Sheet'!J791="",""," siderite in "))</f>
        <v/>
      </c>
      <c r="N7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9" s="31" t="str">
        <f>CONCATENATE(N789, IF('Input Sheet'!K791="",""," siderite in "))</f>
        <v/>
      </c>
    </row>
    <row r="790" spans="1:15" x14ac:dyDescent="0.35">
      <c r="A790" s="42" t="str">
        <f>IF('Input Sheet'!C792="","",CONCATENATE("Sample ", 'Input Sheet'!B792, "m: ", M790, G790, "% ", "Siltstone, ", O790, 'Input Sheet'!C792, "% ", I790, " Sandstone, ", K790, J790, " FLUOR in SST. ", "TG ", 'Input Sheet'!I792, "U"))</f>
        <v/>
      </c>
      <c r="B790" s="28" t="str">
        <f>IF('Input Sheet'!C792="","",CONCATENATE("Sample ", 'Input Sheet'!B792, "m: ", N790, H790, "% ", "Siltstone, ", P790, 'Input Sheet'!C792, "% ", J790, " Sandstone "))</f>
        <v/>
      </c>
      <c r="C790" s="28" t="str">
        <f>IF('Input Sheet'!C792="","",CONCATENATE("Sample ", 'Input Sheet'!B792, "m: ", M790,, K790, J790, " FLUOR in SST. ", "TG ", 'Input Sheet'!I792, "U"))</f>
        <v/>
      </c>
      <c r="G790" s="31" t="str">
        <f>IF('Input Sheet'!C792="","",100-'Input Sheet'!C792)</f>
        <v/>
      </c>
      <c r="H7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0" s="31" t="str">
        <f t="shared" si="12"/>
        <v/>
      </c>
      <c r="J7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0" s="31" t="str">
        <f>IF('Input Sheet'!F791=0, "NO",CONCATENATE('Input Sheet'!F791, IF('Input Sheet'!F791&gt;0,"% ","")))</f>
        <v>NO</v>
      </c>
      <c r="L7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0" s="31" t="str">
        <f>CONCATENATE(L790, IF('Input Sheet'!J792="",""," siderite in "))</f>
        <v/>
      </c>
      <c r="N7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0" s="31" t="str">
        <f>CONCATENATE(N790, IF('Input Sheet'!K792="",""," siderite in "))</f>
        <v/>
      </c>
    </row>
    <row r="791" spans="1:15" x14ac:dyDescent="0.35">
      <c r="A791" s="42" t="str">
        <f>IF('Input Sheet'!C793="","",CONCATENATE("Sample ", 'Input Sheet'!B793, "m: ", M791, G791, "% ", "Siltstone, ", O791, 'Input Sheet'!C793, "% ", I791, " Sandstone, ", K791, J791, " FLUOR in SST. ", "TG ", 'Input Sheet'!I793, "U"))</f>
        <v/>
      </c>
      <c r="B791" s="28" t="str">
        <f>IF('Input Sheet'!C793="","",CONCATENATE("Sample ", 'Input Sheet'!B793, "m: ", N791, H791, "% ", "Siltstone, ", P791, 'Input Sheet'!C793, "% ", J791, " Sandstone "))</f>
        <v/>
      </c>
      <c r="C791" s="28" t="str">
        <f>IF('Input Sheet'!C793="","",CONCATENATE("Sample ", 'Input Sheet'!B793, "m: ", M791,, K791, J791, " FLUOR in SST. ", "TG ", 'Input Sheet'!I793, "U"))</f>
        <v/>
      </c>
      <c r="G791" s="31" t="str">
        <f>IF('Input Sheet'!C793="","",100-'Input Sheet'!C793)</f>
        <v/>
      </c>
      <c r="H7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1" s="31" t="str">
        <f t="shared" si="12"/>
        <v/>
      </c>
      <c r="J7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1" s="31" t="str">
        <f>IF('Input Sheet'!F792=0, "NO",CONCATENATE('Input Sheet'!F792, IF('Input Sheet'!F792&gt;0,"% ","")))</f>
        <v>NO</v>
      </c>
      <c r="L7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1" s="31" t="str">
        <f>CONCATENATE(L791, IF('Input Sheet'!J793="",""," siderite in "))</f>
        <v/>
      </c>
      <c r="N7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1" s="31" t="str">
        <f>CONCATENATE(N791, IF('Input Sheet'!K793="",""," siderite in "))</f>
        <v/>
      </c>
    </row>
    <row r="792" spans="1:15" x14ac:dyDescent="0.35">
      <c r="A792" s="42" t="str">
        <f>IF('Input Sheet'!C794="","",CONCATENATE("Sample ", 'Input Sheet'!B794, "m: ", M792, G792, "% ", "Siltstone, ", O792, 'Input Sheet'!C794, "% ", I792, " Sandstone, ", K792, J792, " FLUOR in SST. ", "TG ", 'Input Sheet'!I794, "U"))</f>
        <v/>
      </c>
      <c r="B792" s="28" t="str">
        <f>IF('Input Sheet'!C794="","",CONCATENATE("Sample ", 'Input Sheet'!B794, "m: ", N792, H792, "% ", "Siltstone, ", P792, 'Input Sheet'!C794, "% ", J792, " Sandstone "))</f>
        <v/>
      </c>
      <c r="C792" s="28" t="str">
        <f>IF('Input Sheet'!C794="","",CONCATENATE("Sample ", 'Input Sheet'!B794, "m: ", M792,, K792, J792, " FLUOR in SST. ", "TG ", 'Input Sheet'!I794, "U"))</f>
        <v/>
      </c>
      <c r="G792" s="31" t="str">
        <f>IF('Input Sheet'!C794="","",100-'Input Sheet'!C794)</f>
        <v/>
      </c>
      <c r="H7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2" s="31" t="str">
        <f t="shared" si="12"/>
        <v/>
      </c>
      <c r="J7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2" s="31" t="str">
        <f>IF('Input Sheet'!F793=0, "NO",CONCATENATE('Input Sheet'!F793, IF('Input Sheet'!F793&gt;0,"% ","")))</f>
        <v>NO</v>
      </c>
      <c r="L7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2" s="31" t="str">
        <f>CONCATENATE(L792, IF('Input Sheet'!J794="",""," siderite in "))</f>
        <v/>
      </c>
      <c r="N7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2" s="31" t="str">
        <f>CONCATENATE(N792, IF('Input Sheet'!K794="",""," siderite in "))</f>
        <v/>
      </c>
    </row>
    <row r="793" spans="1:15" x14ac:dyDescent="0.35">
      <c r="A793" s="42" t="str">
        <f>IF('Input Sheet'!C795="","",CONCATENATE("Sample ", 'Input Sheet'!B795, "m: ", M793, G793, "% ", "Siltstone, ", O793, 'Input Sheet'!C795, "% ", I793, " Sandstone, ", K793, J793, " FLUOR in SST. ", "TG ", 'Input Sheet'!I795, "U"))</f>
        <v/>
      </c>
      <c r="B793" s="28" t="str">
        <f>IF('Input Sheet'!C795="","",CONCATENATE("Sample ", 'Input Sheet'!B795, "m: ", N793, H793, "% ", "Siltstone, ", P793, 'Input Sheet'!C795, "% ", J793, " Sandstone "))</f>
        <v/>
      </c>
      <c r="C793" s="28" t="str">
        <f>IF('Input Sheet'!C795="","",CONCATENATE("Sample ", 'Input Sheet'!B795, "m: ", M793,, K793, J793, " FLUOR in SST. ", "TG ", 'Input Sheet'!I795, "U"))</f>
        <v/>
      </c>
      <c r="G793" s="31" t="str">
        <f>IF('Input Sheet'!C795="","",100-'Input Sheet'!C795)</f>
        <v/>
      </c>
      <c r="H7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3" s="31" t="str">
        <f t="shared" si="12"/>
        <v/>
      </c>
      <c r="J7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3" s="31" t="str">
        <f>IF('Input Sheet'!F794=0, "NO",CONCATENATE('Input Sheet'!F794, IF('Input Sheet'!F794&gt;0,"% ","")))</f>
        <v>NO</v>
      </c>
      <c r="L7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3" s="31" t="str">
        <f>CONCATENATE(L793, IF('Input Sheet'!J795="",""," siderite in "))</f>
        <v/>
      </c>
      <c r="N7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3" s="31" t="str">
        <f>CONCATENATE(N793, IF('Input Sheet'!K795="",""," siderite in "))</f>
        <v/>
      </c>
    </row>
    <row r="794" spans="1:15" x14ac:dyDescent="0.35">
      <c r="A794" s="42" t="str">
        <f>IF('Input Sheet'!C796="","",CONCATENATE("Sample ", 'Input Sheet'!B796, "m: ", M794, G794, "% ", "Siltstone, ", O794, 'Input Sheet'!C796, "% ", I794, " Sandstone, ", K794, J794, " FLUOR in SST. ", "TG ", 'Input Sheet'!I796, "U"))</f>
        <v/>
      </c>
      <c r="B794" s="28" t="str">
        <f>IF('Input Sheet'!C796="","",CONCATENATE("Sample ", 'Input Sheet'!B796, "m: ", N794, H794, "% ", "Siltstone, ", P794, 'Input Sheet'!C796, "% ", J794, " Sandstone "))</f>
        <v/>
      </c>
      <c r="C794" s="28" t="str">
        <f>IF('Input Sheet'!C796="","",CONCATENATE("Sample ", 'Input Sheet'!B796, "m: ", M794,, K794, J794, " FLUOR in SST. ", "TG ", 'Input Sheet'!I796, "U"))</f>
        <v/>
      </c>
      <c r="G794" s="31" t="str">
        <f>IF('Input Sheet'!C796="","",100-'Input Sheet'!C796)</f>
        <v/>
      </c>
      <c r="H7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4" s="31" t="str">
        <f t="shared" si="12"/>
        <v/>
      </c>
      <c r="J7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4" s="31" t="str">
        <f>IF('Input Sheet'!F795=0, "NO",CONCATENATE('Input Sheet'!F795, IF('Input Sheet'!F795&gt;0,"% ","")))</f>
        <v>NO</v>
      </c>
      <c r="L7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4" s="31" t="str">
        <f>CONCATENATE(L794, IF('Input Sheet'!J796="",""," siderite in "))</f>
        <v/>
      </c>
      <c r="N7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4" s="31" t="str">
        <f>CONCATENATE(N794, IF('Input Sheet'!K796="",""," siderite in "))</f>
        <v/>
      </c>
    </row>
    <row r="795" spans="1:15" x14ac:dyDescent="0.35">
      <c r="A795" s="42" t="str">
        <f>IF('Input Sheet'!C797="","",CONCATENATE("Sample ", 'Input Sheet'!B797, "m: ", M795, G795, "% ", "Siltstone, ", O795, 'Input Sheet'!C797, "% ", I795, " Sandstone, ", K795, J795, " FLUOR in SST. ", "TG ", 'Input Sheet'!I797, "U"))</f>
        <v/>
      </c>
      <c r="B795" s="28" t="str">
        <f>IF('Input Sheet'!C797="","",CONCATENATE("Sample ", 'Input Sheet'!B797, "m: ", N795, H795, "% ", "Siltstone, ", P795, 'Input Sheet'!C797, "% ", J795, " Sandstone "))</f>
        <v/>
      </c>
      <c r="C795" s="28" t="str">
        <f>IF('Input Sheet'!C797="","",CONCATENATE("Sample ", 'Input Sheet'!B797, "m: ", M795,, K795, J795, " FLUOR in SST. ", "TG ", 'Input Sheet'!I797, "U"))</f>
        <v/>
      </c>
      <c r="G795" s="31" t="str">
        <f>IF('Input Sheet'!C797="","",100-'Input Sheet'!C797)</f>
        <v/>
      </c>
      <c r="H7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5" s="31" t="str">
        <f t="shared" si="12"/>
        <v/>
      </c>
      <c r="J7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5" s="31" t="str">
        <f>IF('Input Sheet'!F796=0, "NO",CONCATENATE('Input Sheet'!F796, IF('Input Sheet'!F796&gt;0,"% ","")))</f>
        <v>NO</v>
      </c>
      <c r="L7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5" s="31" t="str">
        <f>CONCATENATE(L795, IF('Input Sheet'!J797="",""," siderite in "))</f>
        <v/>
      </c>
      <c r="N7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5" s="31" t="str">
        <f>CONCATENATE(N795, IF('Input Sheet'!K797="",""," siderite in "))</f>
        <v/>
      </c>
    </row>
    <row r="796" spans="1:15" x14ac:dyDescent="0.35">
      <c r="A796" s="42" t="str">
        <f>IF('Input Sheet'!C798="","",CONCATENATE("Sample ", 'Input Sheet'!B798, "m: ", M796, G796, "% ", "Siltstone, ", O796, 'Input Sheet'!C798, "% ", I796, " Sandstone, ", K796, J796, " FLUOR in SST. ", "TG ", 'Input Sheet'!I798, "U"))</f>
        <v/>
      </c>
      <c r="B796" s="28" t="str">
        <f>IF('Input Sheet'!C798="","",CONCATENATE("Sample ", 'Input Sheet'!B798, "m: ", N796, H796, "% ", "Siltstone, ", P796, 'Input Sheet'!C798, "% ", J796, " Sandstone "))</f>
        <v/>
      </c>
      <c r="C796" s="28" t="str">
        <f>IF('Input Sheet'!C798="","",CONCATENATE("Sample ", 'Input Sheet'!B798, "m: ", M796,, K796, J796, " FLUOR in SST. ", "TG ", 'Input Sheet'!I798, "U"))</f>
        <v/>
      </c>
      <c r="G796" s="31" t="str">
        <f>IF('Input Sheet'!C798="","",100-'Input Sheet'!C798)</f>
        <v/>
      </c>
      <c r="H7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6" s="31" t="str">
        <f t="shared" si="12"/>
        <v/>
      </c>
      <c r="J7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6" s="31" t="str">
        <f>IF('Input Sheet'!F797=0, "NO",CONCATENATE('Input Sheet'!F797, IF('Input Sheet'!F797&gt;0,"% ","")))</f>
        <v>NO</v>
      </c>
      <c r="L7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6" s="31" t="str">
        <f>CONCATENATE(L796, IF('Input Sheet'!J798="",""," siderite in "))</f>
        <v/>
      </c>
      <c r="N7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6" s="31" t="str">
        <f>CONCATENATE(N796, IF('Input Sheet'!K798="",""," siderite in "))</f>
        <v/>
      </c>
    </row>
    <row r="797" spans="1:15" x14ac:dyDescent="0.35">
      <c r="A797" s="42" t="str">
        <f>IF('Input Sheet'!C799="","",CONCATENATE("Sample ", 'Input Sheet'!B799, "m: ", M797, G797, "% ", "Siltstone, ", O797, 'Input Sheet'!C799, "% ", I797, " Sandstone, ", K797, J797, " FLUOR in SST. ", "TG ", 'Input Sheet'!I799, "U"))</f>
        <v/>
      </c>
      <c r="B797" s="28" t="str">
        <f>IF('Input Sheet'!C799="","",CONCATENATE("Sample ", 'Input Sheet'!B799, "m: ", N797, H797, "% ", "Siltstone, ", P797, 'Input Sheet'!C799, "% ", J797, " Sandstone "))</f>
        <v/>
      </c>
      <c r="C797" s="28" t="str">
        <f>IF('Input Sheet'!C799="","",CONCATENATE("Sample ", 'Input Sheet'!B799, "m: ", M797,, K797, J797, " FLUOR in SST. ", "TG ", 'Input Sheet'!I799, "U"))</f>
        <v/>
      </c>
      <c r="G797" s="31" t="str">
        <f>IF('Input Sheet'!C799="","",100-'Input Sheet'!C799)</f>
        <v/>
      </c>
      <c r="H7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7" s="31" t="str">
        <f t="shared" si="12"/>
        <v/>
      </c>
      <c r="J7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7" s="31" t="str">
        <f>IF('Input Sheet'!F798=0, "NO",CONCATENATE('Input Sheet'!F798, IF('Input Sheet'!F798&gt;0,"% ","")))</f>
        <v>NO</v>
      </c>
      <c r="L7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7" s="31" t="str">
        <f>CONCATENATE(L797, IF('Input Sheet'!J799="",""," siderite in "))</f>
        <v/>
      </c>
      <c r="N7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7" s="31" t="str">
        <f>CONCATENATE(N797, IF('Input Sheet'!K799="",""," siderite in "))</f>
        <v/>
      </c>
    </row>
    <row r="798" spans="1:15" x14ac:dyDescent="0.35">
      <c r="A798" s="42" t="str">
        <f>IF('Input Sheet'!C800="","",CONCATENATE("Sample ", 'Input Sheet'!B800, "m: ", M798, G798, "% ", "Siltstone, ", O798, 'Input Sheet'!C800, "% ", I798, " Sandstone, ", K798, J798, " FLUOR in SST. ", "TG ", 'Input Sheet'!I800, "U"))</f>
        <v/>
      </c>
      <c r="B798" s="28" t="str">
        <f>IF('Input Sheet'!C800="","",CONCATENATE("Sample ", 'Input Sheet'!B800, "m: ", N798, H798, "% ", "Siltstone, ", P798, 'Input Sheet'!C800, "% ", J798, " Sandstone "))</f>
        <v/>
      </c>
      <c r="C798" s="28" t="str">
        <f>IF('Input Sheet'!C800="","",CONCATENATE("Sample ", 'Input Sheet'!B800, "m: ", M798,, K798, J798, " FLUOR in SST. ", "TG ", 'Input Sheet'!I800, "U"))</f>
        <v/>
      </c>
      <c r="G798" s="31" t="str">
        <f>IF('Input Sheet'!C800="","",100-'Input Sheet'!C800)</f>
        <v/>
      </c>
      <c r="H7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8" s="31" t="str">
        <f t="shared" si="12"/>
        <v/>
      </c>
      <c r="J7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8" s="31" t="str">
        <f>IF('Input Sheet'!F799=0, "NO",CONCATENATE('Input Sheet'!F799, IF('Input Sheet'!F799&gt;0,"% ","")))</f>
        <v>NO</v>
      </c>
      <c r="L7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8" s="31" t="str">
        <f>CONCATENATE(L798, IF('Input Sheet'!J800="",""," siderite in "))</f>
        <v/>
      </c>
      <c r="N7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8" s="31" t="str">
        <f>CONCATENATE(N798, IF('Input Sheet'!K800="",""," siderite in "))</f>
        <v/>
      </c>
    </row>
    <row r="799" spans="1:15" x14ac:dyDescent="0.35">
      <c r="A799" s="42" t="str">
        <f>IF('Input Sheet'!C801="","",CONCATENATE("Sample ", 'Input Sheet'!B801, "m: ", M799, G799, "% ", "Siltstone, ", O799, 'Input Sheet'!C801, "% ", I799, " Sandstone, ", K799, J799, " FLUOR in SST. ", "TG ", 'Input Sheet'!I801, "U"))</f>
        <v/>
      </c>
      <c r="B799" s="28" t="str">
        <f>IF('Input Sheet'!C801="","",CONCATENATE("Sample ", 'Input Sheet'!B801, "m: ", N799, H799, "% ", "Siltstone, ", P799, 'Input Sheet'!C801, "% ", J799, " Sandstone "))</f>
        <v/>
      </c>
      <c r="C799" s="28" t="str">
        <f>IF('Input Sheet'!C801="","",CONCATENATE("Sample ", 'Input Sheet'!B801, "m: ", M799,, K799, J799, " FLUOR in SST. ", "TG ", 'Input Sheet'!I801, "U"))</f>
        <v/>
      </c>
      <c r="G799" s="31" t="str">
        <f>IF('Input Sheet'!C801="","",100-'Input Sheet'!C801)</f>
        <v/>
      </c>
      <c r="H7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9" s="31" t="str">
        <f t="shared" si="12"/>
        <v/>
      </c>
      <c r="J7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9" s="31" t="str">
        <f>IF('Input Sheet'!F800=0, "NO",CONCATENATE('Input Sheet'!F800, IF('Input Sheet'!F800&gt;0,"% ","")))</f>
        <v>NO</v>
      </c>
      <c r="L7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9" s="31" t="str">
        <f>CONCATENATE(L799, IF('Input Sheet'!J801="",""," siderite in "))</f>
        <v/>
      </c>
      <c r="N7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9" s="31" t="str">
        <f>CONCATENATE(N799, IF('Input Sheet'!K801="",""," siderite in "))</f>
        <v/>
      </c>
    </row>
    <row r="800" spans="1:15" x14ac:dyDescent="0.35">
      <c r="A800" s="42" t="str">
        <f>IF('Input Sheet'!C802="","",CONCATENATE("Sample ", 'Input Sheet'!B802, "m: ", M800, G800, "% ", "Siltstone, ", O800, 'Input Sheet'!C802, "% ", I800, " Sandstone, ", K800, J800, " FLUOR in SST. ", "TG ", 'Input Sheet'!I802, "U"))</f>
        <v/>
      </c>
      <c r="B800" s="28" t="str">
        <f>IF('Input Sheet'!C802="","",CONCATENATE("Sample ", 'Input Sheet'!B802, "m: ", N800, H800, "% ", "Siltstone, ", P800, 'Input Sheet'!C802, "% ", J800, " Sandstone "))</f>
        <v/>
      </c>
      <c r="C800" s="28" t="str">
        <f>IF('Input Sheet'!C802="","",CONCATENATE("Sample ", 'Input Sheet'!B802, "m: ", M800,, K800, J800, " FLUOR in SST. ", "TG ", 'Input Sheet'!I802, "U"))</f>
        <v/>
      </c>
      <c r="G800" s="31" t="str">
        <f>IF('Input Sheet'!C802="","",100-'Input Sheet'!C802)</f>
        <v/>
      </c>
      <c r="H8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0" s="31" t="str">
        <f t="shared" si="12"/>
        <v/>
      </c>
      <c r="J8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0" s="31" t="str">
        <f>IF('Input Sheet'!F801=0, "NO",CONCATENATE('Input Sheet'!F801, IF('Input Sheet'!F801&gt;0,"% ","")))</f>
        <v>NO</v>
      </c>
      <c r="L8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0" s="31" t="str">
        <f>CONCATENATE(L800, IF('Input Sheet'!J802="",""," siderite in "))</f>
        <v/>
      </c>
      <c r="N8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0" s="31" t="str">
        <f>CONCATENATE(N800, IF('Input Sheet'!K802="",""," siderite in "))</f>
        <v/>
      </c>
    </row>
    <row r="801" spans="1:15" x14ac:dyDescent="0.35">
      <c r="A801" s="42" t="str">
        <f>IF('Input Sheet'!C803="","",CONCATENATE("Sample ", 'Input Sheet'!B803, "m: ", M801, G801, "% ", "Siltstone, ", O801, 'Input Sheet'!C803, "% ", I801, " Sandstone, ", K801, J801, " FLUOR in SST. ", "TG ", 'Input Sheet'!I803, "U"))</f>
        <v/>
      </c>
      <c r="B801" s="28" t="str">
        <f>IF('Input Sheet'!C803="","",CONCATENATE("Sample ", 'Input Sheet'!B803, "m: ", N801, H801, "% ", "Siltstone, ", P801, 'Input Sheet'!C803, "% ", J801, " Sandstone "))</f>
        <v/>
      </c>
      <c r="C801" s="28" t="str">
        <f>IF('Input Sheet'!C803="","",CONCATENATE("Sample ", 'Input Sheet'!B803, "m: ", M801,, K801, J801, " FLUOR in SST. ", "TG ", 'Input Sheet'!I803, "U"))</f>
        <v/>
      </c>
      <c r="G801" s="31" t="str">
        <f>IF('Input Sheet'!C803="","",100-'Input Sheet'!C803)</f>
        <v/>
      </c>
      <c r="H8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1" s="31" t="str">
        <f t="shared" si="12"/>
        <v/>
      </c>
      <c r="J8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1" s="31" t="str">
        <f>IF('Input Sheet'!F802=0, "NO",CONCATENATE('Input Sheet'!F802, IF('Input Sheet'!F802&gt;0,"% ","")))</f>
        <v>NO</v>
      </c>
      <c r="L8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1" s="31" t="str">
        <f>CONCATENATE(L801, IF('Input Sheet'!J803="",""," siderite in "))</f>
        <v/>
      </c>
      <c r="N8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1" s="31" t="str">
        <f>CONCATENATE(N801, IF('Input Sheet'!K803="",""," siderite in "))</f>
        <v/>
      </c>
    </row>
    <row r="802" spans="1:15" x14ac:dyDescent="0.35">
      <c r="A802" s="42" t="str">
        <f>IF('Input Sheet'!C804="","",CONCATENATE("Sample ", 'Input Sheet'!B804, "m: ", M802, G802, "% ", "Siltstone, ", O802, 'Input Sheet'!C804, "% ", I802, " Sandstone, ", K802, J802, " FLUOR in SST. ", "TG ", 'Input Sheet'!I804, "U"))</f>
        <v/>
      </c>
      <c r="B802" s="28" t="str">
        <f>IF('Input Sheet'!C804="","",CONCATENATE("Sample ", 'Input Sheet'!B804, "m: ", N802, H802, "% ", "Siltstone, ", P802, 'Input Sheet'!C804, "% ", J802, " Sandstone "))</f>
        <v/>
      </c>
      <c r="C802" s="28" t="str">
        <f>IF('Input Sheet'!C804="","",CONCATENATE("Sample ", 'Input Sheet'!B804, "m: ", M802,, K802, J802, " FLUOR in SST. ", "TG ", 'Input Sheet'!I804, "U"))</f>
        <v/>
      </c>
      <c r="G802" s="31" t="str">
        <f>IF('Input Sheet'!C804="","",100-'Input Sheet'!C804)</f>
        <v/>
      </c>
      <c r="H8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2" s="31" t="str">
        <f t="shared" si="12"/>
        <v/>
      </c>
      <c r="J8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2" s="31" t="str">
        <f>IF('Input Sheet'!F803=0, "NO",CONCATENATE('Input Sheet'!F803, IF('Input Sheet'!F803&gt;0,"% ","")))</f>
        <v>NO</v>
      </c>
      <c r="L8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2" s="31" t="str">
        <f>CONCATENATE(L802, IF('Input Sheet'!J804="",""," siderite in "))</f>
        <v/>
      </c>
      <c r="N8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2" s="31" t="str">
        <f>CONCATENATE(N802, IF('Input Sheet'!K804="",""," siderite in "))</f>
        <v/>
      </c>
    </row>
    <row r="803" spans="1:15" x14ac:dyDescent="0.35">
      <c r="A803" s="42" t="str">
        <f>IF('Input Sheet'!C805="","",CONCATENATE("Sample ", 'Input Sheet'!B805, "m: ", M803, G803, "% ", "Siltstone, ", O803, 'Input Sheet'!C805, "% ", I803, " Sandstone, ", K803, J803, " FLUOR in SST. ", "TG ", 'Input Sheet'!I805, "U"))</f>
        <v/>
      </c>
      <c r="B803" s="28" t="str">
        <f>IF('Input Sheet'!C805="","",CONCATENATE("Sample ", 'Input Sheet'!B805, "m: ", N803, H803, "% ", "Siltstone, ", P803, 'Input Sheet'!C805, "% ", J803, " Sandstone "))</f>
        <v/>
      </c>
      <c r="C803" s="28" t="str">
        <f>IF('Input Sheet'!C805="","",CONCATENATE("Sample ", 'Input Sheet'!B805, "m: ", M803,, K803, J803, " FLUOR in SST. ", "TG ", 'Input Sheet'!I805, "U"))</f>
        <v/>
      </c>
      <c r="G803" s="31" t="str">
        <f>IF('Input Sheet'!C805="","",100-'Input Sheet'!C805)</f>
        <v/>
      </c>
      <c r="H8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3" s="31" t="str">
        <f t="shared" si="12"/>
        <v/>
      </c>
      <c r="J8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3" s="31" t="str">
        <f>IF('Input Sheet'!F804=0, "NO",CONCATENATE('Input Sheet'!F804, IF('Input Sheet'!F804&gt;0,"% ","")))</f>
        <v>NO</v>
      </c>
      <c r="L8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3" s="31" t="str">
        <f>CONCATENATE(L803, IF('Input Sheet'!J805="",""," siderite in "))</f>
        <v/>
      </c>
      <c r="N8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3" s="31" t="str">
        <f>CONCATENATE(N803, IF('Input Sheet'!K805="",""," siderite in "))</f>
        <v/>
      </c>
    </row>
    <row r="804" spans="1:15" x14ac:dyDescent="0.35">
      <c r="A804" s="42" t="str">
        <f>IF('Input Sheet'!C806="","",CONCATENATE("Sample ", 'Input Sheet'!B806, "m: ", M804, G804, "% ", "Siltstone, ", O804, 'Input Sheet'!C806, "% ", I804, " Sandstone, ", K804, J804, " FLUOR in SST. ", "TG ", 'Input Sheet'!I806, "U"))</f>
        <v/>
      </c>
      <c r="B804" s="28" t="str">
        <f>IF('Input Sheet'!C806="","",CONCATENATE("Sample ", 'Input Sheet'!B806, "m: ", N804, H804, "% ", "Siltstone, ", P804, 'Input Sheet'!C806, "% ", J804, " Sandstone "))</f>
        <v/>
      </c>
      <c r="C804" s="28" t="str">
        <f>IF('Input Sheet'!C806="","",CONCATENATE("Sample ", 'Input Sheet'!B806, "m: ", M804,, K804, J804, " FLUOR in SST. ", "TG ", 'Input Sheet'!I806, "U"))</f>
        <v/>
      </c>
      <c r="G804" s="31" t="str">
        <f>IF('Input Sheet'!C806="","",100-'Input Sheet'!C806)</f>
        <v/>
      </c>
      <c r="H8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4" s="31" t="str">
        <f t="shared" si="12"/>
        <v/>
      </c>
      <c r="J8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4" s="31" t="str">
        <f>IF('Input Sheet'!F805=0, "NO",CONCATENATE('Input Sheet'!F805, IF('Input Sheet'!F805&gt;0,"% ","")))</f>
        <v>NO</v>
      </c>
      <c r="L8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4" s="31" t="str">
        <f>CONCATENATE(L804, IF('Input Sheet'!J806="",""," siderite in "))</f>
        <v/>
      </c>
      <c r="N8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4" s="31" t="str">
        <f>CONCATENATE(N804, IF('Input Sheet'!K806="",""," siderite in "))</f>
        <v/>
      </c>
    </row>
    <row r="805" spans="1:15" x14ac:dyDescent="0.35">
      <c r="A805" s="42" t="str">
        <f>IF('Input Sheet'!C807="","",CONCATENATE("Sample ", 'Input Sheet'!B807, "m: ", M805, G805, "% ", "Siltstone, ", O805, 'Input Sheet'!C807, "% ", I805, " Sandstone, ", K805, J805, " FLUOR in SST. ", "TG ", 'Input Sheet'!I807, "U"))</f>
        <v/>
      </c>
      <c r="B805" s="28" t="str">
        <f>IF('Input Sheet'!C807="","",CONCATENATE("Sample ", 'Input Sheet'!B807, "m: ", N805, H805, "% ", "Siltstone, ", P805, 'Input Sheet'!C807, "% ", J805, " Sandstone "))</f>
        <v/>
      </c>
      <c r="C805" s="28" t="str">
        <f>IF('Input Sheet'!C807="","",CONCATENATE("Sample ", 'Input Sheet'!B807, "m: ", M805,, K805, J805, " FLUOR in SST. ", "TG ", 'Input Sheet'!I807, "U"))</f>
        <v/>
      </c>
      <c r="G805" s="31" t="str">
        <f>IF('Input Sheet'!C807="","",100-'Input Sheet'!C807)</f>
        <v/>
      </c>
      <c r="H8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5" s="31" t="str">
        <f t="shared" si="12"/>
        <v/>
      </c>
      <c r="J8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5" s="31" t="str">
        <f>IF('Input Sheet'!F806=0, "NO",CONCATENATE('Input Sheet'!F806, IF('Input Sheet'!F806&gt;0,"% ","")))</f>
        <v>NO</v>
      </c>
      <c r="L8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5" s="31" t="str">
        <f>CONCATENATE(L805, IF('Input Sheet'!J807="",""," siderite in "))</f>
        <v/>
      </c>
      <c r="N8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5" s="31" t="str">
        <f>CONCATENATE(N805, IF('Input Sheet'!K807="",""," siderite in "))</f>
        <v/>
      </c>
    </row>
    <row r="806" spans="1:15" x14ac:dyDescent="0.35">
      <c r="A806" s="42" t="str">
        <f>IF('Input Sheet'!C808="","",CONCATENATE("Sample ", 'Input Sheet'!B808, "m: ", M806, G806, "% ", "Siltstone, ", O806, 'Input Sheet'!C808, "% ", I806, " Sandstone, ", K806, J806, " FLUOR in SST. ", "TG ", 'Input Sheet'!I808, "U"))</f>
        <v/>
      </c>
      <c r="B806" s="28" t="str">
        <f>IF('Input Sheet'!C808="","",CONCATENATE("Sample ", 'Input Sheet'!B808, "m: ", N806, H806, "% ", "Siltstone, ", P806, 'Input Sheet'!C808, "% ", J806, " Sandstone "))</f>
        <v/>
      </c>
      <c r="C806" s="28" t="str">
        <f>IF('Input Sheet'!C808="","",CONCATENATE("Sample ", 'Input Sheet'!B808, "m: ", M806,, K806, J806, " FLUOR in SST. ", "TG ", 'Input Sheet'!I808, "U"))</f>
        <v/>
      </c>
      <c r="G806" s="31" t="str">
        <f>IF('Input Sheet'!C808="","",100-'Input Sheet'!C808)</f>
        <v/>
      </c>
      <c r="H8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6" s="31" t="str">
        <f t="shared" si="12"/>
        <v/>
      </c>
      <c r="J8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6" s="31" t="str">
        <f>IF('Input Sheet'!F807=0, "NO",CONCATENATE('Input Sheet'!F807, IF('Input Sheet'!F807&gt;0,"% ","")))</f>
        <v>NO</v>
      </c>
      <c r="L8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6" s="31" t="str">
        <f>CONCATENATE(L806, IF('Input Sheet'!J808="",""," siderite in "))</f>
        <v/>
      </c>
      <c r="N8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6" s="31" t="str">
        <f>CONCATENATE(N806, IF('Input Sheet'!K808="",""," siderite in "))</f>
        <v/>
      </c>
    </row>
    <row r="807" spans="1:15" x14ac:dyDescent="0.35">
      <c r="A807" s="42" t="str">
        <f>IF('Input Sheet'!C809="","",CONCATENATE("Sample ", 'Input Sheet'!B809, "m: ", M807, G807, "% ", "Siltstone, ", O807, 'Input Sheet'!C809, "% ", I807, " Sandstone, ", K807, J807, " FLUOR in SST. ", "TG ", 'Input Sheet'!I809, "U"))</f>
        <v/>
      </c>
      <c r="B807" s="28" t="str">
        <f>IF('Input Sheet'!C809="","",CONCATENATE("Sample ", 'Input Sheet'!B809, "m: ", N807, H807, "% ", "Siltstone, ", P807, 'Input Sheet'!C809, "% ", J807, " Sandstone "))</f>
        <v/>
      </c>
      <c r="C807" s="28" t="str">
        <f>IF('Input Sheet'!C809="","",CONCATENATE("Sample ", 'Input Sheet'!B809, "m: ", M807,, K807, J807, " FLUOR in SST. ", "TG ", 'Input Sheet'!I809, "U"))</f>
        <v/>
      </c>
      <c r="G807" s="31" t="str">
        <f>IF('Input Sheet'!C809="","",100-'Input Sheet'!C809)</f>
        <v/>
      </c>
      <c r="H8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7" s="31" t="str">
        <f t="shared" si="12"/>
        <v/>
      </c>
      <c r="J8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7" s="31" t="str">
        <f>IF('Input Sheet'!F808=0, "NO",CONCATENATE('Input Sheet'!F808, IF('Input Sheet'!F808&gt;0,"% ","")))</f>
        <v>NO</v>
      </c>
      <c r="L8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7" s="31" t="str">
        <f>CONCATENATE(L807, IF('Input Sheet'!J809="",""," siderite in "))</f>
        <v/>
      </c>
      <c r="N8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7" s="31" t="str">
        <f>CONCATENATE(N807, IF('Input Sheet'!K809="",""," siderite in "))</f>
        <v/>
      </c>
    </row>
    <row r="808" spans="1:15" x14ac:dyDescent="0.35">
      <c r="A808" s="42" t="str">
        <f>IF('Input Sheet'!C810="","",CONCATENATE("Sample ", 'Input Sheet'!B810, "m: ", M808, G808, "% ", "Siltstone, ", O808, 'Input Sheet'!C810, "% ", I808, " Sandstone, ", K808, J808, " FLUOR in SST. ", "TG ", 'Input Sheet'!I810, "U"))</f>
        <v/>
      </c>
      <c r="B808" s="28" t="str">
        <f>IF('Input Sheet'!C810="","",CONCATENATE("Sample ", 'Input Sheet'!B810, "m: ", N808, H808, "% ", "Siltstone, ", P808, 'Input Sheet'!C810, "% ", J808, " Sandstone "))</f>
        <v/>
      </c>
      <c r="C808" s="28" t="str">
        <f>IF('Input Sheet'!C810="","",CONCATENATE("Sample ", 'Input Sheet'!B810, "m: ", M808,, K808, J808, " FLUOR in SST. ", "TG ", 'Input Sheet'!I810, "U"))</f>
        <v/>
      </c>
      <c r="G808" s="31" t="str">
        <f>IF('Input Sheet'!C810="","",100-'Input Sheet'!C810)</f>
        <v/>
      </c>
      <c r="H8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8" s="31" t="str">
        <f t="shared" si="12"/>
        <v/>
      </c>
      <c r="J8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8" s="31" t="str">
        <f>IF('Input Sheet'!F809=0, "NO",CONCATENATE('Input Sheet'!F809, IF('Input Sheet'!F809&gt;0,"% ","")))</f>
        <v>NO</v>
      </c>
      <c r="L8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8" s="31" t="str">
        <f>CONCATENATE(L808, IF('Input Sheet'!J810="",""," siderite in "))</f>
        <v/>
      </c>
      <c r="N8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8" s="31" t="str">
        <f>CONCATENATE(N808, IF('Input Sheet'!K810="",""," siderite in "))</f>
        <v/>
      </c>
    </row>
    <row r="809" spans="1:15" x14ac:dyDescent="0.35">
      <c r="A809" s="42" t="str">
        <f>IF('Input Sheet'!C811="","",CONCATENATE("Sample ", 'Input Sheet'!B811, "m: ", M809, G809, "% ", "Siltstone, ", O809, 'Input Sheet'!C811, "% ", I809, " Sandstone, ", K809, J809, " FLUOR in SST. ", "TG ", 'Input Sheet'!I811, "U"))</f>
        <v/>
      </c>
      <c r="B809" s="28" t="str">
        <f>IF('Input Sheet'!C811="","",CONCATENATE("Sample ", 'Input Sheet'!B811, "m: ", N809, H809, "% ", "Siltstone, ", P809, 'Input Sheet'!C811, "% ", J809, " Sandstone "))</f>
        <v/>
      </c>
      <c r="C809" s="28" t="str">
        <f>IF('Input Sheet'!C811="","",CONCATENATE("Sample ", 'Input Sheet'!B811, "m: ", M809,, K809, J809, " FLUOR in SST. ", "TG ", 'Input Sheet'!I811, "U"))</f>
        <v/>
      </c>
      <c r="G809" s="31" t="str">
        <f>IF('Input Sheet'!C811="","",100-'Input Sheet'!C811)</f>
        <v/>
      </c>
      <c r="H8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9" s="31" t="str">
        <f t="shared" si="12"/>
        <v/>
      </c>
      <c r="J8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9" s="31" t="str">
        <f>IF('Input Sheet'!F810=0, "NO",CONCATENATE('Input Sheet'!F810, IF('Input Sheet'!F810&gt;0,"% ","")))</f>
        <v>NO</v>
      </c>
      <c r="L8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9" s="31" t="str">
        <f>CONCATENATE(L809, IF('Input Sheet'!J811="",""," siderite in "))</f>
        <v/>
      </c>
      <c r="N8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9" s="31" t="str">
        <f>CONCATENATE(N809, IF('Input Sheet'!K811="",""," siderite in "))</f>
        <v/>
      </c>
    </row>
    <row r="810" spans="1:15" x14ac:dyDescent="0.35">
      <c r="A810" s="42" t="str">
        <f>IF('Input Sheet'!C812="","",CONCATENATE("Sample ", 'Input Sheet'!B812, "m: ", M810, G810, "% ", "Siltstone, ", O810, 'Input Sheet'!C812, "% ", I810, " Sandstone, ", K810, J810, " FLUOR in SST. ", "TG ", 'Input Sheet'!I812, "U"))</f>
        <v/>
      </c>
      <c r="B810" s="28" t="str">
        <f>IF('Input Sheet'!C812="","",CONCATENATE("Sample ", 'Input Sheet'!B812, "m: ", N810, H810, "% ", "Siltstone, ", P810, 'Input Sheet'!C812, "% ", J810, " Sandstone "))</f>
        <v/>
      </c>
      <c r="C810" s="28" t="str">
        <f>IF('Input Sheet'!C812="","",CONCATENATE("Sample ", 'Input Sheet'!B812, "m: ", M810,, K810, J810, " FLUOR in SST. ", "TG ", 'Input Sheet'!I812, "U"))</f>
        <v/>
      </c>
      <c r="G810" s="31" t="str">
        <f>IF('Input Sheet'!C812="","",100-'Input Sheet'!C812)</f>
        <v/>
      </c>
      <c r="H8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0" s="31" t="str">
        <f t="shared" si="12"/>
        <v/>
      </c>
      <c r="J8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0" s="31" t="str">
        <f>IF('Input Sheet'!F811=0, "NO",CONCATENATE('Input Sheet'!F811, IF('Input Sheet'!F811&gt;0,"% ","")))</f>
        <v>NO</v>
      </c>
      <c r="L8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0" s="31" t="str">
        <f>CONCATENATE(L810, IF('Input Sheet'!J812="",""," siderite in "))</f>
        <v/>
      </c>
      <c r="N8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0" s="31" t="str">
        <f>CONCATENATE(N810, IF('Input Sheet'!K812="",""," siderite in "))</f>
        <v/>
      </c>
    </row>
    <row r="811" spans="1:15" x14ac:dyDescent="0.35">
      <c r="A811" s="42" t="str">
        <f>IF('Input Sheet'!C813="","",CONCATENATE("Sample ", 'Input Sheet'!B813, "m: ", M811, G811, "% ", "Siltstone, ", O811, 'Input Sheet'!C813, "% ", I811, " Sandstone, ", K811, J811, " FLUOR in SST. ", "TG ", 'Input Sheet'!I813, "U"))</f>
        <v/>
      </c>
      <c r="B811" s="28" t="str">
        <f>IF('Input Sheet'!C813="","",CONCATENATE("Sample ", 'Input Sheet'!B813, "m: ", N811, H811, "% ", "Siltstone, ", P811, 'Input Sheet'!C813, "% ", J811, " Sandstone "))</f>
        <v/>
      </c>
      <c r="C811" s="28" t="str">
        <f>IF('Input Sheet'!C813="","",CONCATENATE("Sample ", 'Input Sheet'!B813, "m: ", M811,, K811, J811, " FLUOR in SST. ", "TG ", 'Input Sheet'!I813, "U"))</f>
        <v/>
      </c>
      <c r="G811" s="31" t="str">
        <f>IF('Input Sheet'!C813="","",100-'Input Sheet'!C813)</f>
        <v/>
      </c>
      <c r="H8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1" s="31" t="str">
        <f t="shared" si="12"/>
        <v/>
      </c>
      <c r="J8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1" s="31" t="str">
        <f>IF('Input Sheet'!F812=0, "NO",CONCATENATE('Input Sheet'!F812, IF('Input Sheet'!F812&gt;0,"% ","")))</f>
        <v>NO</v>
      </c>
      <c r="L8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1" s="31" t="str">
        <f>CONCATENATE(L811, IF('Input Sheet'!J813="",""," siderite in "))</f>
        <v/>
      </c>
      <c r="N8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1" s="31" t="str">
        <f>CONCATENATE(N811, IF('Input Sheet'!K813="",""," siderite in "))</f>
        <v/>
      </c>
    </row>
    <row r="812" spans="1:15" x14ac:dyDescent="0.35">
      <c r="A812" s="42" t="str">
        <f>IF('Input Sheet'!C814="","",CONCATENATE("Sample ", 'Input Sheet'!B814, "m: ", M812, G812, "% ", "Siltstone, ", O812, 'Input Sheet'!C814, "% ", I812, " Sandstone, ", K812, J812, " FLUOR in SST. ", "TG ", 'Input Sheet'!I814, "U"))</f>
        <v/>
      </c>
      <c r="B812" s="28" t="str">
        <f>IF('Input Sheet'!C814="","",CONCATENATE("Sample ", 'Input Sheet'!B814, "m: ", N812, H812, "% ", "Siltstone, ", P812, 'Input Sheet'!C814, "% ", J812, " Sandstone "))</f>
        <v/>
      </c>
      <c r="C812" s="28" t="str">
        <f>IF('Input Sheet'!C814="","",CONCATENATE("Sample ", 'Input Sheet'!B814, "m: ", M812,, K812, J812, " FLUOR in SST. ", "TG ", 'Input Sheet'!I814, "U"))</f>
        <v/>
      </c>
      <c r="G812" s="31" t="str">
        <f>IF('Input Sheet'!C814="","",100-'Input Sheet'!C814)</f>
        <v/>
      </c>
      <c r="H8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2" s="31" t="str">
        <f t="shared" si="12"/>
        <v/>
      </c>
      <c r="J8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2" s="31" t="str">
        <f>IF('Input Sheet'!F813=0, "NO",CONCATENATE('Input Sheet'!F813, IF('Input Sheet'!F813&gt;0,"% ","")))</f>
        <v>NO</v>
      </c>
      <c r="L8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2" s="31" t="str">
        <f>CONCATENATE(L812, IF('Input Sheet'!J814="",""," siderite in "))</f>
        <v/>
      </c>
      <c r="N8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2" s="31" t="str">
        <f>CONCATENATE(N812, IF('Input Sheet'!K814="",""," siderite in "))</f>
        <v/>
      </c>
    </row>
    <row r="813" spans="1:15" x14ac:dyDescent="0.35">
      <c r="A813" s="42" t="str">
        <f>IF('Input Sheet'!C815="","",CONCATENATE("Sample ", 'Input Sheet'!B815, "m: ", M813, G813, "% ", "Siltstone, ", O813, 'Input Sheet'!C815, "% ", I813, " Sandstone, ", K813, J813, " FLUOR in SST. ", "TG ", 'Input Sheet'!I815, "U"))</f>
        <v/>
      </c>
      <c r="B813" s="28" t="str">
        <f>IF('Input Sheet'!C815="","",CONCATENATE("Sample ", 'Input Sheet'!B815, "m: ", N813, H813, "% ", "Siltstone, ", P813, 'Input Sheet'!C815, "% ", J813, " Sandstone "))</f>
        <v/>
      </c>
      <c r="C813" s="28" t="str">
        <f>IF('Input Sheet'!C815="","",CONCATENATE("Sample ", 'Input Sheet'!B815, "m: ", M813,, K813, J813, " FLUOR in SST. ", "TG ", 'Input Sheet'!I815, "U"))</f>
        <v/>
      </c>
      <c r="G813" s="31" t="str">
        <f>IF('Input Sheet'!C815="","",100-'Input Sheet'!C815)</f>
        <v/>
      </c>
      <c r="H8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3" s="31" t="str">
        <f t="shared" si="12"/>
        <v/>
      </c>
      <c r="J8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3" s="31" t="str">
        <f>IF('Input Sheet'!F814=0, "NO",CONCATENATE('Input Sheet'!F814, IF('Input Sheet'!F814&gt;0,"% ","")))</f>
        <v>NO</v>
      </c>
      <c r="L8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3" s="31" t="str">
        <f>CONCATENATE(L813, IF('Input Sheet'!J815="",""," siderite in "))</f>
        <v/>
      </c>
      <c r="N8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3" s="31" t="str">
        <f>CONCATENATE(N813, IF('Input Sheet'!K815="",""," siderite in "))</f>
        <v/>
      </c>
    </row>
    <row r="814" spans="1:15" x14ac:dyDescent="0.35">
      <c r="A814" s="42" t="str">
        <f>IF('Input Sheet'!C816="","",CONCATENATE("Sample ", 'Input Sheet'!B816, "m: ", M814, G814, "% ", "Siltstone, ", O814, 'Input Sheet'!C816, "% ", I814, " Sandstone, ", K814, J814, " FLUOR in SST. ", "TG ", 'Input Sheet'!I816, "U"))</f>
        <v/>
      </c>
      <c r="B814" s="28" t="str">
        <f>IF('Input Sheet'!C816="","",CONCATENATE("Sample ", 'Input Sheet'!B816, "m: ", N814, H814, "% ", "Siltstone, ", P814, 'Input Sheet'!C816, "% ", J814, " Sandstone "))</f>
        <v/>
      </c>
      <c r="C814" s="28" t="str">
        <f>IF('Input Sheet'!C816="","",CONCATENATE("Sample ", 'Input Sheet'!B816, "m: ", M814,, K814, J814, " FLUOR in SST. ", "TG ", 'Input Sheet'!I816, "U"))</f>
        <v/>
      </c>
      <c r="G814" s="31" t="str">
        <f>IF('Input Sheet'!C816="","",100-'Input Sheet'!C816)</f>
        <v/>
      </c>
      <c r="H8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4" s="31" t="str">
        <f t="shared" si="12"/>
        <v/>
      </c>
      <c r="J8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4" s="31" t="str">
        <f>IF('Input Sheet'!F815=0, "NO",CONCATENATE('Input Sheet'!F815, IF('Input Sheet'!F815&gt;0,"% ","")))</f>
        <v>NO</v>
      </c>
      <c r="L8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4" s="31" t="str">
        <f>CONCATENATE(L814, IF('Input Sheet'!J816="",""," siderite in "))</f>
        <v/>
      </c>
      <c r="N8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4" s="31" t="str">
        <f>CONCATENATE(N814, IF('Input Sheet'!K816="",""," siderite in "))</f>
        <v/>
      </c>
    </row>
    <row r="815" spans="1:15" x14ac:dyDescent="0.35">
      <c r="A815" s="42" t="str">
        <f>IF('Input Sheet'!C817="","",CONCATENATE("Sample ", 'Input Sheet'!B817, "m: ", M815, G815, "% ", "Siltstone, ", O815, 'Input Sheet'!C817, "% ", I815, " Sandstone, ", K815, J815, " FLUOR in SST. ", "TG ", 'Input Sheet'!I817, "U"))</f>
        <v/>
      </c>
      <c r="B815" s="28" t="str">
        <f>IF('Input Sheet'!C817="","",CONCATENATE("Sample ", 'Input Sheet'!B817, "m: ", N815, H815, "% ", "Siltstone, ", P815, 'Input Sheet'!C817, "% ", J815, " Sandstone "))</f>
        <v/>
      </c>
      <c r="C815" s="28" t="str">
        <f>IF('Input Sheet'!C817="","",CONCATENATE("Sample ", 'Input Sheet'!B817, "m: ", M815,, K815, J815, " FLUOR in SST. ", "TG ", 'Input Sheet'!I817, "U"))</f>
        <v/>
      </c>
      <c r="G815" s="31" t="str">
        <f>IF('Input Sheet'!C817="","",100-'Input Sheet'!C817)</f>
        <v/>
      </c>
      <c r="H8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5" s="31" t="str">
        <f t="shared" si="12"/>
        <v/>
      </c>
      <c r="J8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5" s="31" t="str">
        <f>IF('Input Sheet'!F816=0, "NO",CONCATENATE('Input Sheet'!F816, IF('Input Sheet'!F816&gt;0,"% ","")))</f>
        <v>NO</v>
      </c>
      <c r="L8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5" s="31" t="str">
        <f>CONCATENATE(L815, IF('Input Sheet'!J817="",""," siderite in "))</f>
        <v/>
      </c>
      <c r="N8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5" s="31" t="str">
        <f>CONCATENATE(N815, IF('Input Sheet'!K817="",""," siderite in "))</f>
        <v/>
      </c>
    </row>
    <row r="816" spans="1:15" x14ac:dyDescent="0.35">
      <c r="A816" s="42" t="str">
        <f>IF('Input Sheet'!C818="","",CONCATENATE("Sample ", 'Input Sheet'!B818, "m: ", M816, G816, "% ", "Siltstone, ", O816, 'Input Sheet'!C818, "% ", I816, " Sandstone, ", K816, J816, " FLUOR in SST. ", "TG ", 'Input Sheet'!I818, "U"))</f>
        <v/>
      </c>
      <c r="B816" s="28" t="str">
        <f>IF('Input Sheet'!C818="","",CONCATENATE("Sample ", 'Input Sheet'!B818, "m: ", N816, H816, "% ", "Siltstone, ", P816, 'Input Sheet'!C818, "% ", J816, " Sandstone "))</f>
        <v/>
      </c>
      <c r="C816" s="28" t="str">
        <f>IF('Input Sheet'!C818="","",CONCATENATE("Sample ", 'Input Sheet'!B818, "m: ", M816,, K816, J816, " FLUOR in SST. ", "TG ", 'Input Sheet'!I818, "U"))</f>
        <v/>
      </c>
      <c r="G816" s="31" t="str">
        <f>IF('Input Sheet'!C818="","",100-'Input Sheet'!C818)</f>
        <v/>
      </c>
      <c r="H8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6" s="31" t="str">
        <f t="shared" si="12"/>
        <v/>
      </c>
      <c r="J8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6" s="31" t="str">
        <f>IF('Input Sheet'!F817=0, "NO",CONCATENATE('Input Sheet'!F817, IF('Input Sheet'!F817&gt;0,"% ","")))</f>
        <v>NO</v>
      </c>
      <c r="L8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6" s="31" t="str">
        <f>CONCATENATE(L816, IF('Input Sheet'!J818="",""," siderite in "))</f>
        <v/>
      </c>
      <c r="N8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6" s="31" t="str">
        <f>CONCATENATE(N816, IF('Input Sheet'!K818="",""," siderite in "))</f>
        <v/>
      </c>
    </row>
    <row r="817" spans="1:15" x14ac:dyDescent="0.35">
      <c r="A817" s="42" t="str">
        <f>IF('Input Sheet'!C819="","",CONCATENATE("Sample ", 'Input Sheet'!B819, "m: ", M817, G817, "% ", "Siltstone, ", O817, 'Input Sheet'!C819, "% ", I817, " Sandstone, ", K817, J817, " FLUOR in SST. ", "TG ", 'Input Sheet'!I819, "U"))</f>
        <v/>
      </c>
      <c r="B817" s="28" t="str">
        <f>IF('Input Sheet'!C819="","",CONCATENATE("Sample ", 'Input Sheet'!B819, "m: ", N817, H817, "% ", "Siltstone, ", P817, 'Input Sheet'!C819, "% ", J817, " Sandstone "))</f>
        <v/>
      </c>
      <c r="C817" s="28" t="str">
        <f>IF('Input Sheet'!C819="","",CONCATENATE("Sample ", 'Input Sheet'!B819, "m: ", M817,, K817, J817, " FLUOR in SST. ", "TG ", 'Input Sheet'!I819, "U"))</f>
        <v/>
      </c>
      <c r="G817" s="31" t="str">
        <f>IF('Input Sheet'!C819="","",100-'Input Sheet'!C819)</f>
        <v/>
      </c>
      <c r="H8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7" s="31" t="str">
        <f t="shared" si="12"/>
        <v/>
      </c>
      <c r="J8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7" s="31" t="str">
        <f>IF('Input Sheet'!F818=0, "NO",CONCATENATE('Input Sheet'!F818, IF('Input Sheet'!F818&gt;0,"% ","")))</f>
        <v>NO</v>
      </c>
      <c r="L8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7" s="31" t="str">
        <f>CONCATENATE(L817, IF('Input Sheet'!J819="",""," siderite in "))</f>
        <v/>
      </c>
      <c r="N8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7" s="31" t="str">
        <f>CONCATENATE(N817, IF('Input Sheet'!K819="",""," siderite in "))</f>
        <v/>
      </c>
    </row>
    <row r="818" spans="1:15" x14ac:dyDescent="0.35">
      <c r="A818" s="42" t="str">
        <f>IF('Input Sheet'!C820="","",CONCATENATE("Sample ", 'Input Sheet'!B820, "m: ", M818, G818, "% ", "Siltstone, ", O818, 'Input Sheet'!C820, "% ", I818, " Sandstone, ", K818, J818, " FLUOR in SST. ", "TG ", 'Input Sheet'!I820, "U"))</f>
        <v/>
      </c>
      <c r="B818" s="28" t="str">
        <f>IF('Input Sheet'!C820="","",CONCATENATE("Sample ", 'Input Sheet'!B820, "m: ", N818, H818, "% ", "Siltstone, ", P818, 'Input Sheet'!C820, "% ", J818, " Sandstone "))</f>
        <v/>
      </c>
      <c r="C818" s="28" t="str">
        <f>IF('Input Sheet'!C820="","",CONCATENATE("Sample ", 'Input Sheet'!B820, "m: ", M818,, K818, J818, " FLUOR in SST. ", "TG ", 'Input Sheet'!I820, "U"))</f>
        <v/>
      </c>
      <c r="G818" s="31" t="str">
        <f>IF('Input Sheet'!C820="","",100-'Input Sheet'!C820)</f>
        <v/>
      </c>
      <c r="H8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8" s="31" t="str">
        <f t="shared" si="12"/>
        <v/>
      </c>
      <c r="J8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8" s="31" t="str">
        <f>IF('Input Sheet'!F819=0, "NO",CONCATENATE('Input Sheet'!F819, IF('Input Sheet'!F819&gt;0,"% ","")))</f>
        <v>NO</v>
      </c>
      <c r="L8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8" s="31" t="str">
        <f>CONCATENATE(L818, IF('Input Sheet'!J820="",""," siderite in "))</f>
        <v/>
      </c>
      <c r="N8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8" s="31" t="str">
        <f>CONCATENATE(N818, IF('Input Sheet'!K820="",""," siderite in "))</f>
        <v/>
      </c>
    </row>
    <row r="819" spans="1:15" x14ac:dyDescent="0.35">
      <c r="A819" s="42" t="str">
        <f>IF('Input Sheet'!C821="","",CONCATENATE("Sample ", 'Input Sheet'!B821, "m: ", M819, G819, "% ", "Siltstone, ", O819, 'Input Sheet'!C821, "% ", I819, " Sandstone, ", K819, J819, " FLUOR in SST. ", "TG ", 'Input Sheet'!I821, "U"))</f>
        <v/>
      </c>
      <c r="B819" s="28" t="str">
        <f>IF('Input Sheet'!C821="","",CONCATENATE("Sample ", 'Input Sheet'!B821, "m: ", N819, H819, "% ", "Siltstone, ", P819, 'Input Sheet'!C821, "% ", J819, " Sandstone "))</f>
        <v/>
      </c>
      <c r="C819" s="28" t="str">
        <f>IF('Input Sheet'!C821="","",CONCATENATE("Sample ", 'Input Sheet'!B821, "m: ", M819,, K819, J819, " FLUOR in SST. ", "TG ", 'Input Sheet'!I821, "U"))</f>
        <v/>
      </c>
      <c r="G819" s="31" t="str">
        <f>IF('Input Sheet'!C821="","",100-'Input Sheet'!C821)</f>
        <v/>
      </c>
      <c r="H8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9" s="31" t="str">
        <f t="shared" si="12"/>
        <v/>
      </c>
      <c r="J8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9" s="31" t="str">
        <f>IF('Input Sheet'!F820=0, "NO",CONCATENATE('Input Sheet'!F820, IF('Input Sheet'!F820&gt;0,"% ","")))</f>
        <v>NO</v>
      </c>
      <c r="L8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9" s="31" t="str">
        <f>CONCATENATE(L819, IF('Input Sheet'!J821="",""," siderite in "))</f>
        <v/>
      </c>
      <c r="N8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9" s="31" t="str">
        <f>CONCATENATE(N819, IF('Input Sheet'!K821="",""," siderite in "))</f>
        <v/>
      </c>
    </row>
    <row r="820" spans="1:15" x14ac:dyDescent="0.35">
      <c r="A820" s="42" t="str">
        <f>IF('Input Sheet'!C822="","",CONCATENATE("Sample ", 'Input Sheet'!B822, "m: ", M820, G820, "% ", "Siltstone, ", O820, 'Input Sheet'!C822, "% ", I820, " Sandstone, ", K820, J820, " FLUOR in SST. ", "TG ", 'Input Sheet'!I822, "U"))</f>
        <v/>
      </c>
      <c r="B820" s="28" t="str">
        <f>IF('Input Sheet'!C822="","",CONCATENATE("Sample ", 'Input Sheet'!B822, "m: ", N820, H820, "% ", "Siltstone, ", P820, 'Input Sheet'!C822, "% ", J820, " Sandstone "))</f>
        <v/>
      </c>
      <c r="C820" s="28" t="str">
        <f>IF('Input Sheet'!C822="","",CONCATENATE("Sample ", 'Input Sheet'!B822, "m: ", M820,, K820, J820, " FLUOR in SST. ", "TG ", 'Input Sheet'!I822, "U"))</f>
        <v/>
      </c>
      <c r="G820" s="31" t="str">
        <f>IF('Input Sheet'!C822="","",100-'Input Sheet'!C822)</f>
        <v/>
      </c>
      <c r="H8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0" s="31" t="str">
        <f t="shared" si="12"/>
        <v/>
      </c>
      <c r="J8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0" s="31" t="str">
        <f>IF('Input Sheet'!F821=0, "NO",CONCATENATE('Input Sheet'!F821, IF('Input Sheet'!F821&gt;0,"% ","")))</f>
        <v>NO</v>
      </c>
      <c r="L8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0" s="31" t="str">
        <f>CONCATENATE(L820, IF('Input Sheet'!J822="",""," siderite in "))</f>
        <v/>
      </c>
      <c r="N8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0" s="31" t="str">
        <f>CONCATENATE(N820, IF('Input Sheet'!K822="",""," siderite in "))</f>
        <v/>
      </c>
    </row>
    <row r="821" spans="1:15" x14ac:dyDescent="0.35">
      <c r="A821" s="42" t="str">
        <f>IF('Input Sheet'!C823="","",CONCATENATE("Sample ", 'Input Sheet'!B823, "m: ", M821, G821, "% ", "Siltstone, ", O821, 'Input Sheet'!C823, "% ", I821, " Sandstone, ", K821, J821, " FLUOR in SST. ", "TG ", 'Input Sheet'!I823, "U"))</f>
        <v/>
      </c>
      <c r="B821" s="28" t="str">
        <f>IF('Input Sheet'!C823="","",CONCATENATE("Sample ", 'Input Sheet'!B823, "m: ", N821, H821, "% ", "Siltstone, ", P821, 'Input Sheet'!C823, "% ", J821, " Sandstone "))</f>
        <v/>
      </c>
      <c r="C821" s="28" t="str">
        <f>IF('Input Sheet'!C823="","",CONCATENATE("Sample ", 'Input Sheet'!B823, "m: ", M821,, K821, J821, " FLUOR in SST. ", "TG ", 'Input Sheet'!I823, "U"))</f>
        <v/>
      </c>
      <c r="G821" s="31" t="str">
        <f>IF('Input Sheet'!C823="","",100-'Input Sheet'!C823)</f>
        <v/>
      </c>
      <c r="H8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1" s="31" t="str">
        <f t="shared" si="12"/>
        <v/>
      </c>
      <c r="J8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1" s="31" t="str">
        <f>IF('Input Sheet'!F822=0, "NO",CONCATENATE('Input Sheet'!F822, IF('Input Sheet'!F822&gt;0,"% ","")))</f>
        <v>NO</v>
      </c>
      <c r="L8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1" s="31" t="str">
        <f>CONCATENATE(L821, IF('Input Sheet'!J823="",""," siderite in "))</f>
        <v/>
      </c>
      <c r="N8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1" s="31" t="str">
        <f>CONCATENATE(N821, IF('Input Sheet'!K823="",""," siderite in "))</f>
        <v/>
      </c>
    </row>
    <row r="822" spans="1:15" x14ac:dyDescent="0.35">
      <c r="A822" s="42" t="str">
        <f>IF('Input Sheet'!C824="","",CONCATENATE("Sample ", 'Input Sheet'!B824, "m: ", M822, G822, "% ", "Siltstone, ", O822, 'Input Sheet'!C824, "% ", I822, " Sandstone, ", K822, J822, " FLUOR in SST. ", "TG ", 'Input Sheet'!I824, "U"))</f>
        <v/>
      </c>
      <c r="B822" s="28" t="str">
        <f>IF('Input Sheet'!C824="","",CONCATENATE("Sample ", 'Input Sheet'!B824, "m: ", N822, H822, "% ", "Siltstone, ", P822, 'Input Sheet'!C824, "% ", J822, " Sandstone "))</f>
        <v/>
      </c>
      <c r="C822" s="28" t="str">
        <f>IF('Input Sheet'!C824="","",CONCATENATE("Sample ", 'Input Sheet'!B824, "m: ", M822,, K822, J822, " FLUOR in SST. ", "TG ", 'Input Sheet'!I824, "U"))</f>
        <v/>
      </c>
      <c r="G822" s="31" t="str">
        <f>IF('Input Sheet'!C824="","",100-'Input Sheet'!C824)</f>
        <v/>
      </c>
      <c r="H8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2" s="31" t="str">
        <f t="shared" si="12"/>
        <v/>
      </c>
      <c r="J8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2" s="31" t="str">
        <f>IF('Input Sheet'!F823=0, "NO",CONCATENATE('Input Sheet'!F823, IF('Input Sheet'!F823&gt;0,"% ","")))</f>
        <v>NO</v>
      </c>
      <c r="L8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2" s="31" t="str">
        <f>CONCATENATE(L822, IF('Input Sheet'!J824="",""," siderite in "))</f>
        <v/>
      </c>
      <c r="N8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2" s="31" t="str">
        <f>CONCATENATE(N822, IF('Input Sheet'!K824="",""," siderite in "))</f>
        <v/>
      </c>
    </row>
    <row r="823" spans="1:15" x14ac:dyDescent="0.35">
      <c r="A823" s="42" t="str">
        <f>IF('Input Sheet'!C825="","",CONCATENATE("Sample ", 'Input Sheet'!B825, "m: ", M823, G823, "% ", "Siltstone, ", O823, 'Input Sheet'!C825, "% ", I823, " Sandstone, ", K823, J823, " FLUOR in SST. ", "TG ", 'Input Sheet'!I825, "U"))</f>
        <v/>
      </c>
      <c r="B823" s="28" t="str">
        <f>IF('Input Sheet'!C825="","",CONCATENATE("Sample ", 'Input Sheet'!B825, "m: ", N823, H823, "% ", "Siltstone, ", P823, 'Input Sheet'!C825, "% ", J823, " Sandstone "))</f>
        <v/>
      </c>
      <c r="C823" s="28" t="str">
        <f>IF('Input Sheet'!C825="","",CONCATENATE("Sample ", 'Input Sheet'!B825, "m: ", M823,, K823, J823, " FLUOR in SST. ", "TG ", 'Input Sheet'!I825, "U"))</f>
        <v/>
      </c>
      <c r="G823" s="31" t="str">
        <f>IF('Input Sheet'!C825="","",100-'Input Sheet'!C825)</f>
        <v/>
      </c>
      <c r="H8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3" s="31" t="str">
        <f t="shared" si="12"/>
        <v/>
      </c>
      <c r="J8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3" s="31" t="str">
        <f>IF('Input Sheet'!F824=0, "NO",CONCATENATE('Input Sheet'!F824, IF('Input Sheet'!F824&gt;0,"% ","")))</f>
        <v>NO</v>
      </c>
      <c r="L8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3" s="31" t="str">
        <f>CONCATENATE(L823, IF('Input Sheet'!J825="",""," siderite in "))</f>
        <v/>
      </c>
      <c r="N8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3" s="31" t="str">
        <f>CONCATENATE(N823, IF('Input Sheet'!K825="",""," siderite in "))</f>
        <v/>
      </c>
    </row>
    <row r="824" spans="1:15" x14ac:dyDescent="0.35">
      <c r="A824" s="42" t="str">
        <f>IF('Input Sheet'!C826="","",CONCATENATE("Sample ", 'Input Sheet'!B826, "m: ", M824, G824, "% ", "Siltstone, ", O824, 'Input Sheet'!C826, "% ", I824, " Sandstone, ", K824, J824, " FLUOR in SST. ", "TG ", 'Input Sheet'!I826, "U"))</f>
        <v/>
      </c>
      <c r="B824" s="28" t="str">
        <f>IF('Input Sheet'!C826="","",CONCATENATE("Sample ", 'Input Sheet'!B826, "m: ", N824, H824, "% ", "Siltstone, ", P824, 'Input Sheet'!C826, "% ", J824, " Sandstone "))</f>
        <v/>
      </c>
      <c r="C824" s="28" t="str">
        <f>IF('Input Sheet'!C826="","",CONCATENATE("Sample ", 'Input Sheet'!B826, "m: ", M824,, K824, J824, " FLUOR in SST. ", "TG ", 'Input Sheet'!I826, "U"))</f>
        <v/>
      </c>
      <c r="G824" s="31" t="str">
        <f>IF('Input Sheet'!C826="","",100-'Input Sheet'!C826)</f>
        <v/>
      </c>
      <c r="H8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4" s="31" t="str">
        <f t="shared" si="12"/>
        <v/>
      </c>
      <c r="J8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4" s="31" t="str">
        <f>IF('Input Sheet'!F825=0, "NO",CONCATENATE('Input Sheet'!F825, IF('Input Sheet'!F825&gt;0,"% ","")))</f>
        <v>NO</v>
      </c>
      <c r="L8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4" s="31" t="str">
        <f>CONCATENATE(L824, IF('Input Sheet'!J826="",""," siderite in "))</f>
        <v/>
      </c>
      <c r="N8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4" s="31" t="str">
        <f>CONCATENATE(N824, IF('Input Sheet'!K826="",""," siderite in "))</f>
        <v/>
      </c>
    </row>
    <row r="825" spans="1:15" x14ac:dyDescent="0.35">
      <c r="A825" s="42" t="str">
        <f>IF('Input Sheet'!C827="","",CONCATENATE("Sample ", 'Input Sheet'!B827, "m: ", M825, G825, "% ", "Siltstone, ", O825, 'Input Sheet'!C827, "% ", I825, " Sandstone, ", K825, J825, " FLUOR in SST. ", "TG ", 'Input Sheet'!I827, "U"))</f>
        <v/>
      </c>
      <c r="B825" s="28" t="str">
        <f>IF('Input Sheet'!C827="","",CONCATENATE("Sample ", 'Input Sheet'!B827, "m: ", N825, H825, "% ", "Siltstone, ", P825, 'Input Sheet'!C827, "% ", J825, " Sandstone "))</f>
        <v/>
      </c>
      <c r="C825" s="28" t="str">
        <f>IF('Input Sheet'!C827="","",CONCATENATE("Sample ", 'Input Sheet'!B827, "m: ", M825,, K825, J825, " FLUOR in SST. ", "TG ", 'Input Sheet'!I827, "U"))</f>
        <v/>
      </c>
      <c r="G825" s="31" t="str">
        <f>IF('Input Sheet'!C827="","",100-'Input Sheet'!C827)</f>
        <v/>
      </c>
      <c r="H8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5" s="31" t="str">
        <f t="shared" si="12"/>
        <v/>
      </c>
      <c r="J8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5" s="31" t="str">
        <f>IF('Input Sheet'!F826=0, "NO",CONCATENATE('Input Sheet'!F826, IF('Input Sheet'!F826&gt;0,"% ","")))</f>
        <v>NO</v>
      </c>
      <c r="L8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5" s="31" t="str">
        <f>CONCATENATE(L825, IF('Input Sheet'!J827="",""," siderite in "))</f>
        <v/>
      </c>
      <c r="N8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5" s="31" t="str">
        <f>CONCATENATE(N825, IF('Input Sheet'!K827="",""," siderite in "))</f>
        <v/>
      </c>
    </row>
    <row r="826" spans="1:15" x14ac:dyDescent="0.35">
      <c r="A826" s="42" t="str">
        <f>IF('Input Sheet'!C828="","",CONCATENATE("Sample ", 'Input Sheet'!B828, "m: ", M826, G826, "% ", "Siltstone, ", O826, 'Input Sheet'!C828, "% ", I826, " Sandstone, ", K826, J826, " FLUOR in SST. ", "TG ", 'Input Sheet'!I828, "U"))</f>
        <v/>
      </c>
      <c r="B826" s="28" t="str">
        <f>IF('Input Sheet'!C828="","",CONCATENATE("Sample ", 'Input Sheet'!B828, "m: ", N826, H826, "% ", "Siltstone, ", P826, 'Input Sheet'!C828, "% ", J826, " Sandstone "))</f>
        <v/>
      </c>
      <c r="C826" s="28" t="str">
        <f>IF('Input Sheet'!C828="","",CONCATENATE("Sample ", 'Input Sheet'!B828, "m: ", M826,, K826, J826, " FLUOR in SST. ", "TG ", 'Input Sheet'!I828, "U"))</f>
        <v/>
      </c>
      <c r="G826" s="31" t="str">
        <f>IF('Input Sheet'!C828="","",100-'Input Sheet'!C828)</f>
        <v/>
      </c>
      <c r="H8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6" s="31" t="str">
        <f t="shared" si="12"/>
        <v/>
      </c>
      <c r="J8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6" s="31" t="str">
        <f>IF('Input Sheet'!F827=0, "NO",CONCATENATE('Input Sheet'!F827, IF('Input Sheet'!F827&gt;0,"% ","")))</f>
        <v>NO</v>
      </c>
      <c r="L8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6" s="31" t="str">
        <f>CONCATENATE(L826, IF('Input Sheet'!J828="",""," siderite in "))</f>
        <v/>
      </c>
      <c r="N8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6" s="31" t="str">
        <f>CONCATENATE(N826, IF('Input Sheet'!K828="",""," siderite in "))</f>
        <v/>
      </c>
    </row>
    <row r="827" spans="1:15" x14ac:dyDescent="0.35">
      <c r="A827" s="42" t="str">
        <f>IF('Input Sheet'!C829="","",CONCATENATE("Sample ", 'Input Sheet'!B829, "m: ", M827, G827, "% ", "Siltstone, ", O827, 'Input Sheet'!C829, "% ", I827, " Sandstone, ", K827, J827, " FLUOR in SST. ", "TG ", 'Input Sheet'!I829, "U"))</f>
        <v/>
      </c>
      <c r="B827" s="28" t="str">
        <f>IF('Input Sheet'!C829="","",CONCATENATE("Sample ", 'Input Sheet'!B829, "m: ", N827, H827, "% ", "Siltstone, ", P827, 'Input Sheet'!C829, "% ", J827, " Sandstone "))</f>
        <v/>
      </c>
      <c r="C827" s="28" t="str">
        <f>IF('Input Sheet'!C829="","",CONCATENATE("Sample ", 'Input Sheet'!B829, "m: ", M827,, K827, J827, " FLUOR in SST. ", "TG ", 'Input Sheet'!I829, "U"))</f>
        <v/>
      </c>
      <c r="G827" s="31" t="str">
        <f>IF('Input Sheet'!C829="","",100-'Input Sheet'!C829)</f>
        <v/>
      </c>
      <c r="H8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7" s="31" t="str">
        <f t="shared" si="12"/>
        <v/>
      </c>
      <c r="J8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7" s="31" t="str">
        <f>IF('Input Sheet'!F828=0, "NO",CONCATENATE('Input Sheet'!F828, IF('Input Sheet'!F828&gt;0,"% ","")))</f>
        <v>NO</v>
      </c>
      <c r="L8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7" s="31" t="str">
        <f>CONCATENATE(L827, IF('Input Sheet'!J829="",""," siderite in "))</f>
        <v/>
      </c>
      <c r="N8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7" s="31" t="str">
        <f>CONCATENATE(N827, IF('Input Sheet'!K829="",""," siderite in "))</f>
        <v/>
      </c>
    </row>
    <row r="828" spans="1:15" x14ac:dyDescent="0.35">
      <c r="A828" s="42" t="str">
        <f>IF('Input Sheet'!C830="","",CONCATENATE("Sample ", 'Input Sheet'!B830, "m: ", M828, G828, "% ", "Siltstone, ", O828, 'Input Sheet'!C830, "% ", I828, " Sandstone, ", K828, J828, " FLUOR in SST. ", "TG ", 'Input Sheet'!I830, "U"))</f>
        <v/>
      </c>
      <c r="B828" s="28" t="str">
        <f>IF('Input Sheet'!C830="","",CONCATENATE("Sample ", 'Input Sheet'!B830, "m: ", N828, H828, "% ", "Siltstone, ", P828, 'Input Sheet'!C830, "% ", J828, " Sandstone "))</f>
        <v/>
      </c>
      <c r="C828" s="28" t="str">
        <f>IF('Input Sheet'!C830="","",CONCATENATE("Sample ", 'Input Sheet'!B830, "m: ", M828,, K828, J828, " FLUOR in SST. ", "TG ", 'Input Sheet'!I830, "U"))</f>
        <v/>
      </c>
      <c r="G828" s="31" t="str">
        <f>IF('Input Sheet'!C830="","",100-'Input Sheet'!C830)</f>
        <v/>
      </c>
      <c r="H8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8" s="31" t="str">
        <f t="shared" si="12"/>
        <v/>
      </c>
      <c r="J8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8" s="31" t="str">
        <f>IF('Input Sheet'!F829=0, "NO",CONCATENATE('Input Sheet'!F829, IF('Input Sheet'!F829&gt;0,"% ","")))</f>
        <v>NO</v>
      </c>
      <c r="L8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8" s="31" t="str">
        <f>CONCATENATE(L828, IF('Input Sheet'!J830="",""," siderite in "))</f>
        <v/>
      </c>
      <c r="N8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8" s="31" t="str">
        <f>CONCATENATE(N828, IF('Input Sheet'!K830="",""," siderite in "))</f>
        <v/>
      </c>
    </row>
    <row r="829" spans="1:15" x14ac:dyDescent="0.35">
      <c r="A829" s="42" t="str">
        <f>IF('Input Sheet'!C831="","",CONCATENATE("Sample ", 'Input Sheet'!B831, "m: ", M829, G829, "% ", "Siltstone, ", O829, 'Input Sheet'!C831, "% ", I829, " Sandstone, ", K829, J829, " FLUOR in SST. ", "TG ", 'Input Sheet'!I831, "U"))</f>
        <v/>
      </c>
      <c r="B829" s="28" t="str">
        <f>IF('Input Sheet'!C831="","",CONCATENATE("Sample ", 'Input Sheet'!B831, "m: ", N829, H829, "% ", "Siltstone, ", P829, 'Input Sheet'!C831, "% ", J829, " Sandstone "))</f>
        <v/>
      </c>
      <c r="C829" s="28" t="str">
        <f>IF('Input Sheet'!C831="","",CONCATENATE("Sample ", 'Input Sheet'!B831, "m: ", M829,, K829, J829, " FLUOR in SST. ", "TG ", 'Input Sheet'!I831, "U"))</f>
        <v/>
      </c>
      <c r="G829" s="31" t="str">
        <f>IF('Input Sheet'!C831="","",100-'Input Sheet'!C831)</f>
        <v/>
      </c>
      <c r="H8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9" s="31" t="str">
        <f t="shared" si="12"/>
        <v/>
      </c>
      <c r="J8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9" s="31" t="str">
        <f>IF('Input Sheet'!F830=0, "NO",CONCATENATE('Input Sheet'!F830, IF('Input Sheet'!F830&gt;0,"% ","")))</f>
        <v>NO</v>
      </c>
      <c r="L8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9" s="31" t="str">
        <f>CONCATENATE(L829, IF('Input Sheet'!J831="",""," siderite in "))</f>
        <v/>
      </c>
      <c r="N8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9" s="31" t="str">
        <f>CONCATENATE(N829, IF('Input Sheet'!K831="",""," siderite in "))</f>
        <v/>
      </c>
    </row>
    <row r="830" spans="1:15" x14ac:dyDescent="0.35">
      <c r="A830" s="42" t="str">
        <f>IF('Input Sheet'!C832="","",CONCATENATE("Sample ", 'Input Sheet'!B832, "m: ", M830, G830, "% ", "Siltstone, ", O830, 'Input Sheet'!C832, "% ", I830, " Sandstone, ", K830, J830, " FLUOR in SST. ", "TG ", 'Input Sheet'!I832, "U"))</f>
        <v/>
      </c>
      <c r="B830" s="28" t="str">
        <f>IF('Input Sheet'!C832="","",CONCATENATE("Sample ", 'Input Sheet'!B832, "m: ", N830, H830, "% ", "Siltstone, ", P830, 'Input Sheet'!C832, "% ", J830, " Sandstone "))</f>
        <v/>
      </c>
      <c r="C830" s="28" t="str">
        <f>IF('Input Sheet'!C832="","",CONCATENATE("Sample ", 'Input Sheet'!B832, "m: ", M830,, K830, J830, " FLUOR in SST. ", "TG ", 'Input Sheet'!I832, "U"))</f>
        <v/>
      </c>
      <c r="G830" s="31" t="str">
        <f>IF('Input Sheet'!C832="","",100-'Input Sheet'!C832)</f>
        <v/>
      </c>
      <c r="H8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0" s="31" t="str">
        <f t="shared" si="12"/>
        <v/>
      </c>
      <c r="J8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0" s="31" t="str">
        <f>IF('Input Sheet'!F831=0, "NO",CONCATENATE('Input Sheet'!F831, IF('Input Sheet'!F831&gt;0,"% ","")))</f>
        <v>NO</v>
      </c>
      <c r="L8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0" s="31" t="str">
        <f>CONCATENATE(L830, IF('Input Sheet'!J832="",""," siderite in "))</f>
        <v/>
      </c>
      <c r="N8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0" s="31" t="str">
        <f>CONCATENATE(N830, IF('Input Sheet'!K832="",""," siderite in "))</f>
        <v/>
      </c>
    </row>
    <row r="831" spans="1:15" x14ac:dyDescent="0.35">
      <c r="A831" s="42" t="str">
        <f>IF('Input Sheet'!C833="","",CONCATENATE("Sample ", 'Input Sheet'!B833, "m: ", M831, G831, "% ", "Siltstone, ", O831, 'Input Sheet'!C833, "% ", I831, " Sandstone, ", K831, J831, " FLUOR in SST. ", "TG ", 'Input Sheet'!I833, "U"))</f>
        <v/>
      </c>
      <c r="B831" s="28" t="str">
        <f>IF('Input Sheet'!C833="","",CONCATENATE("Sample ", 'Input Sheet'!B833, "m: ", N831, H831, "% ", "Siltstone, ", P831, 'Input Sheet'!C833, "% ", J831, " Sandstone "))</f>
        <v/>
      </c>
      <c r="C831" s="28" t="str">
        <f>IF('Input Sheet'!C833="","",CONCATENATE("Sample ", 'Input Sheet'!B833, "m: ", M831,, K831, J831, " FLUOR in SST. ", "TG ", 'Input Sheet'!I833, "U"))</f>
        <v/>
      </c>
      <c r="G831" s="31" t="str">
        <f>IF('Input Sheet'!C833="","",100-'Input Sheet'!C833)</f>
        <v/>
      </c>
      <c r="H8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1" s="31" t="str">
        <f t="shared" si="12"/>
        <v/>
      </c>
      <c r="J8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1" s="31" t="str">
        <f>IF('Input Sheet'!F832=0, "NO",CONCATENATE('Input Sheet'!F832, IF('Input Sheet'!F832&gt;0,"% ","")))</f>
        <v>NO</v>
      </c>
      <c r="L8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1" s="31" t="str">
        <f>CONCATENATE(L831, IF('Input Sheet'!J833="",""," siderite in "))</f>
        <v/>
      </c>
      <c r="N8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1" s="31" t="str">
        <f>CONCATENATE(N831, IF('Input Sheet'!K833="",""," siderite in "))</f>
        <v/>
      </c>
    </row>
    <row r="832" spans="1:15" x14ac:dyDescent="0.35">
      <c r="A832" s="42" t="str">
        <f>IF('Input Sheet'!C834="","",CONCATENATE("Sample ", 'Input Sheet'!B834, "m: ", M832, G832, "% ", "Siltstone, ", O832, 'Input Sheet'!C834, "% ", I832, " Sandstone, ", K832, J832, " FLUOR in SST. ", "TG ", 'Input Sheet'!I834, "U"))</f>
        <v/>
      </c>
      <c r="B832" s="28" t="str">
        <f>IF('Input Sheet'!C834="","",CONCATENATE("Sample ", 'Input Sheet'!B834, "m: ", N832, H832, "% ", "Siltstone, ", P832, 'Input Sheet'!C834, "% ", J832, " Sandstone "))</f>
        <v/>
      </c>
      <c r="C832" s="28" t="str">
        <f>IF('Input Sheet'!C834="","",CONCATENATE("Sample ", 'Input Sheet'!B834, "m: ", M832,, K832, J832, " FLUOR in SST. ", "TG ", 'Input Sheet'!I834, "U"))</f>
        <v/>
      </c>
      <c r="G832" s="31" t="str">
        <f>IF('Input Sheet'!C834="","",100-'Input Sheet'!C834)</f>
        <v/>
      </c>
      <c r="H8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2" s="31" t="str">
        <f t="shared" si="12"/>
        <v/>
      </c>
      <c r="J8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2" s="31" t="str">
        <f>IF('Input Sheet'!F833=0, "NO",CONCATENATE('Input Sheet'!F833, IF('Input Sheet'!F833&gt;0,"% ","")))</f>
        <v>NO</v>
      </c>
      <c r="L8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2" s="31" t="str">
        <f>CONCATENATE(L832, IF('Input Sheet'!J834="",""," siderite in "))</f>
        <v/>
      </c>
      <c r="N8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2" s="31" t="str">
        <f>CONCATENATE(N832, IF('Input Sheet'!K834="",""," siderite in "))</f>
        <v/>
      </c>
    </row>
    <row r="833" spans="1:15" x14ac:dyDescent="0.35">
      <c r="A833" s="42" t="str">
        <f>IF('Input Sheet'!C835="","",CONCATENATE("Sample ", 'Input Sheet'!B835, "m: ", M833, G833, "% ", "Siltstone, ", O833, 'Input Sheet'!C835, "% ", I833, " Sandstone, ", K833, J833, " FLUOR in SST. ", "TG ", 'Input Sheet'!I835, "U"))</f>
        <v/>
      </c>
      <c r="B833" s="28" t="str">
        <f>IF('Input Sheet'!C835="","",CONCATENATE("Sample ", 'Input Sheet'!B835, "m: ", N833, H833, "% ", "Siltstone, ", P833, 'Input Sheet'!C835, "% ", J833, " Sandstone "))</f>
        <v/>
      </c>
      <c r="C833" s="28" t="str">
        <f>IF('Input Sheet'!C835="","",CONCATENATE("Sample ", 'Input Sheet'!B835, "m: ", M833,, K833, J833, " FLUOR in SST. ", "TG ", 'Input Sheet'!I835, "U"))</f>
        <v/>
      </c>
      <c r="G833" s="31" t="str">
        <f>IF('Input Sheet'!C835="","",100-'Input Sheet'!C835)</f>
        <v/>
      </c>
      <c r="H8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3" s="31" t="str">
        <f t="shared" si="12"/>
        <v/>
      </c>
      <c r="J8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3" s="31" t="str">
        <f>IF('Input Sheet'!F834=0, "NO",CONCATENATE('Input Sheet'!F834, IF('Input Sheet'!F834&gt;0,"% ","")))</f>
        <v>NO</v>
      </c>
      <c r="L8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3" s="31" t="str">
        <f>CONCATENATE(L833, IF('Input Sheet'!J835="",""," siderite in "))</f>
        <v/>
      </c>
      <c r="N8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3" s="31" t="str">
        <f>CONCATENATE(N833, IF('Input Sheet'!K835="",""," siderite in "))</f>
        <v/>
      </c>
    </row>
    <row r="834" spans="1:15" x14ac:dyDescent="0.35">
      <c r="A834" s="42" t="str">
        <f>IF('Input Sheet'!C836="","",CONCATENATE("Sample ", 'Input Sheet'!B836, "m: ", M834, G834, "% ", "Siltstone, ", O834, 'Input Sheet'!C836, "% ", I834, " Sandstone, ", K834, J834, " FLUOR in SST. ", "TG ", 'Input Sheet'!I836, "U"))</f>
        <v/>
      </c>
      <c r="B834" s="28" t="str">
        <f>IF('Input Sheet'!C836="","",CONCATENATE("Sample ", 'Input Sheet'!B836, "m: ", N834, H834, "% ", "Siltstone, ", P834, 'Input Sheet'!C836, "% ", J834, " Sandstone "))</f>
        <v/>
      </c>
      <c r="C834" s="28" t="str">
        <f>IF('Input Sheet'!C836="","",CONCATENATE("Sample ", 'Input Sheet'!B836, "m: ", M834,, K834, J834, " FLUOR in SST. ", "TG ", 'Input Sheet'!I836, "U"))</f>
        <v/>
      </c>
      <c r="G834" s="31" t="str">
        <f>IF('Input Sheet'!C836="","",100-'Input Sheet'!C836)</f>
        <v/>
      </c>
      <c r="H8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4" s="31" t="str">
        <f t="shared" ref="I834:I897" si="13">SUBSTITUTE(H834, "veryfine", "very fine")</f>
        <v/>
      </c>
      <c r="J8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4" s="31" t="str">
        <f>IF('Input Sheet'!F835=0, "NO",CONCATENATE('Input Sheet'!F835, IF('Input Sheet'!F835&gt;0,"% ","")))</f>
        <v>NO</v>
      </c>
      <c r="L8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4" s="31" t="str">
        <f>CONCATENATE(L834, IF('Input Sheet'!J836="",""," siderite in "))</f>
        <v/>
      </c>
      <c r="N8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4" s="31" t="str">
        <f>CONCATENATE(N834, IF('Input Sheet'!K836="",""," siderite in "))</f>
        <v/>
      </c>
    </row>
    <row r="835" spans="1:15" x14ac:dyDescent="0.35">
      <c r="A835" s="42" t="str">
        <f>IF('Input Sheet'!C837="","",CONCATENATE("Sample ", 'Input Sheet'!B837, "m: ", M835, G835, "% ", "Siltstone, ", O835, 'Input Sheet'!C837, "% ", I835, " Sandstone, ", K835, J835, " FLUOR in SST. ", "TG ", 'Input Sheet'!I837, "U"))</f>
        <v/>
      </c>
      <c r="B835" s="28" t="str">
        <f>IF('Input Sheet'!C837="","",CONCATENATE("Sample ", 'Input Sheet'!B837, "m: ", N835, H835, "% ", "Siltstone, ", P835, 'Input Sheet'!C837, "% ", J835, " Sandstone "))</f>
        <v/>
      </c>
      <c r="C835" s="28" t="str">
        <f>IF('Input Sheet'!C837="","",CONCATENATE("Sample ", 'Input Sheet'!B837, "m: ", M835,, K835, J835, " FLUOR in SST. ", "TG ", 'Input Sheet'!I837, "U"))</f>
        <v/>
      </c>
      <c r="G835" s="31" t="str">
        <f>IF('Input Sheet'!C837="","",100-'Input Sheet'!C837)</f>
        <v/>
      </c>
      <c r="H8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5" s="31" t="str">
        <f t="shared" si="13"/>
        <v/>
      </c>
      <c r="J8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5" s="31" t="str">
        <f>IF('Input Sheet'!F836=0, "NO",CONCATENATE('Input Sheet'!F836, IF('Input Sheet'!F836&gt;0,"% ","")))</f>
        <v>NO</v>
      </c>
      <c r="L8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5" s="31" t="str">
        <f>CONCATENATE(L835, IF('Input Sheet'!J837="",""," siderite in "))</f>
        <v/>
      </c>
      <c r="N8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5" s="31" t="str">
        <f>CONCATENATE(N835, IF('Input Sheet'!K837="",""," siderite in "))</f>
        <v/>
      </c>
    </row>
    <row r="836" spans="1:15" x14ac:dyDescent="0.35">
      <c r="A836" s="42" t="str">
        <f>IF('Input Sheet'!C838="","",CONCATENATE("Sample ", 'Input Sheet'!B838, "m: ", M836, G836, "% ", "Siltstone, ", O836, 'Input Sheet'!C838, "% ", I836, " Sandstone, ", K836, J836, " FLUOR in SST. ", "TG ", 'Input Sheet'!I838, "U"))</f>
        <v/>
      </c>
      <c r="B836" s="28" t="str">
        <f>IF('Input Sheet'!C838="","",CONCATENATE("Sample ", 'Input Sheet'!B838, "m: ", N836, H836, "% ", "Siltstone, ", P836, 'Input Sheet'!C838, "% ", J836, " Sandstone "))</f>
        <v/>
      </c>
      <c r="C836" s="28" t="str">
        <f>IF('Input Sheet'!C838="","",CONCATENATE("Sample ", 'Input Sheet'!B838, "m: ", M836,, K836, J836, " FLUOR in SST. ", "TG ", 'Input Sheet'!I838, "U"))</f>
        <v/>
      </c>
      <c r="G836" s="31" t="str">
        <f>IF('Input Sheet'!C838="","",100-'Input Sheet'!C838)</f>
        <v/>
      </c>
      <c r="H8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6" s="31" t="str">
        <f t="shared" si="13"/>
        <v/>
      </c>
      <c r="J8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6" s="31" t="str">
        <f>IF('Input Sheet'!F837=0, "NO",CONCATENATE('Input Sheet'!F837, IF('Input Sheet'!F837&gt;0,"% ","")))</f>
        <v>NO</v>
      </c>
      <c r="L8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6" s="31" t="str">
        <f>CONCATENATE(L836, IF('Input Sheet'!J838="",""," siderite in "))</f>
        <v/>
      </c>
      <c r="N8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6" s="31" t="str">
        <f>CONCATENATE(N836, IF('Input Sheet'!K838="",""," siderite in "))</f>
        <v/>
      </c>
    </row>
    <row r="837" spans="1:15" x14ac:dyDescent="0.35">
      <c r="A837" s="42" t="str">
        <f>IF('Input Sheet'!C839="","",CONCATENATE("Sample ", 'Input Sheet'!B839, "m: ", M837, G837, "% ", "Siltstone, ", O837, 'Input Sheet'!C839, "% ", I837, " Sandstone, ", K837, J837, " FLUOR in SST. ", "TG ", 'Input Sheet'!I839, "U"))</f>
        <v/>
      </c>
      <c r="B837" s="28" t="str">
        <f>IF('Input Sheet'!C839="","",CONCATENATE("Sample ", 'Input Sheet'!B839, "m: ", N837, H837, "% ", "Siltstone, ", P837, 'Input Sheet'!C839, "% ", J837, " Sandstone "))</f>
        <v/>
      </c>
      <c r="C837" s="28" t="str">
        <f>IF('Input Sheet'!C839="","",CONCATENATE("Sample ", 'Input Sheet'!B839, "m: ", M837,, K837, J837, " FLUOR in SST. ", "TG ", 'Input Sheet'!I839, "U"))</f>
        <v/>
      </c>
      <c r="G837" s="31" t="str">
        <f>IF('Input Sheet'!C839="","",100-'Input Sheet'!C839)</f>
        <v/>
      </c>
      <c r="H8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7" s="31" t="str">
        <f t="shared" si="13"/>
        <v/>
      </c>
      <c r="J8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7" s="31" t="str">
        <f>IF('Input Sheet'!F838=0, "NO",CONCATENATE('Input Sheet'!F838, IF('Input Sheet'!F838&gt;0,"% ","")))</f>
        <v>NO</v>
      </c>
      <c r="L8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7" s="31" t="str">
        <f>CONCATENATE(L837, IF('Input Sheet'!J839="",""," siderite in "))</f>
        <v/>
      </c>
      <c r="N8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7" s="31" t="str">
        <f>CONCATENATE(N837, IF('Input Sheet'!K839="",""," siderite in "))</f>
        <v/>
      </c>
    </row>
    <row r="838" spans="1:15" x14ac:dyDescent="0.35">
      <c r="A838" s="42" t="str">
        <f>IF('Input Sheet'!C840="","",CONCATENATE("Sample ", 'Input Sheet'!B840, "m: ", M838, G838, "% ", "Siltstone, ", O838, 'Input Sheet'!C840, "% ", I838, " Sandstone, ", K838, J838, " FLUOR in SST. ", "TG ", 'Input Sheet'!I840, "U"))</f>
        <v/>
      </c>
      <c r="B838" s="28" t="str">
        <f>IF('Input Sheet'!C840="","",CONCATENATE("Sample ", 'Input Sheet'!B840, "m: ", N838, H838, "% ", "Siltstone, ", P838, 'Input Sheet'!C840, "% ", J838, " Sandstone "))</f>
        <v/>
      </c>
      <c r="C838" s="28" t="str">
        <f>IF('Input Sheet'!C840="","",CONCATENATE("Sample ", 'Input Sheet'!B840, "m: ", M838,, K838, J838, " FLUOR in SST. ", "TG ", 'Input Sheet'!I840, "U"))</f>
        <v/>
      </c>
      <c r="G838" s="31" t="str">
        <f>IF('Input Sheet'!C840="","",100-'Input Sheet'!C840)</f>
        <v/>
      </c>
      <c r="H8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8" s="31" t="str">
        <f t="shared" si="13"/>
        <v/>
      </c>
      <c r="J8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8" s="31" t="str">
        <f>IF('Input Sheet'!F839=0, "NO",CONCATENATE('Input Sheet'!F839, IF('Input Sheet'!F839&gt;0,"% ","")))</f>
        <v>NO</v>
      </c>
      <c r="L8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8" s="31" t="str">
        <f>CONCATENATE(L838, IF('Input Sheet'!J840="",""," siderite in "))</f>
        <v/>
      </c>
      <c r="N8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8" s="31" t="str">
        <f>CONCATENATE(N838, IF('Input Sheet'!K840="",""," siderite in "))</f>
        <v/>
      </c>
    </row>
    <row r="839" spans="1:15" x14ac:dyDescent="0.35">
      <c r="A839" s="42" t="str">
        <f>IF('Input Sheet'!C841="","",CONCATENATE("Sample ", 'Input Sheet'!B841, "m: ", M839, G839, "% ", "Siltstone, ", O839, 'Input Sheet'!C841, "% ", I839, " Sandstone, ", K839, J839, " FLUOR in SST. ", "TG ", 'Input Sheet'!I841, "U"))</f>
        <v/>
      </c>
      <c r="B839" s="28" t="str">
        <f>IF('Input Sheet'!C841="","",CONCATENATE("Sample ", 'Input Sheet'!B841, "m: ", N839, H839, "% ", "Siltstone, ", P839, 'Input Sheet'!C841, "% ", J839, " Sandstone "))</f>
        <v/>
      </c>
      <c r="C839" s="28" t="str">
        <f>IF('Input Sheet'!C841="","",CONCATENATE("Sample ", 'Input Sheet'!B841, "m: ", M839,, K839, J839, " FLUOR in SST. ", "TG ", 'Input Sheet'!I841, "U"))</f>
        <v/>
      </c>
      <c r="G839" s="31" t="str">
        <f>IF('Input Sheet'!C841="","",100-'Input Sheet'!C841)</f>
        <v/>
      </c>
      <c r="H8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9" s="31" t="str">
        <f t="shared" si="13"/>
        <v/>
      </c>
      <c r="J8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9" s="31" t="str">
        <f>IF('Input Sheet'!F840=0, "NO",CONCATENATE('Input Sheet'!F840, IF('Input Sheet'!F840&gt;0,"% ","")))</f>
        <v>NO</v>
      </c>
      <c r="L8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9" s="31" t="str">
        <f>CONCATENATE(L839, IF('Input Sheet'!J841="",""," siderite in "))</f>
        <v/>
      </c>
      <c r="N8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9" s="31" t="str">
        <f>CONCATENATE(N839, IF('Input Sheet'!K841="",""," siderite in "))</f>
        <v/>
      </c>
    </row>
    <row r="840" spans="1:15" x14ac:dyDescent="0.35">
      <c r="A840" s="42" t="str">
        <f>IF('Input Sheet'!C842="","",CONCATENATE("Sample ", 'Input Sheet'!B842, "m: ", M840, G840, "% ", "Siltstone, ", O840, 'Input Sheet'!C842, "% ", I840, " Sandstone, ", K840, J840, " FLUOR in SST. ", "TG ", 'Input Sheet'!I842, "U"))</f>
        <v/>
      </c>
      <c r="B840" s="28" t="str">
        <f>IF('Input Sheet'!C842="","",CONCATENATE("Sample ", 'Input Sheet'!B842, "m: ", N840, H840, "% ", "Siltstone, ", P840, 'Input Sheet'!C842, "% ", J840, " Sandstone "))</f>
        <v/>
      </c>
      <c r="C840" s="28" t="str">
        <f>IF('Input Sheet'!C842="","",CONCATENATE("Sample ", 'Input Sheet'!B842, "m: ", M840,, K840, J840, " FLUOR in SST. ", "TG ", 'Input Sheet'!I842, "U"))</f>
        <v/>
      </c>
      <c r="G840" s="31" t="str">
        <f>IF('Input Sheet'!C842="","",100-'Input Sheet'!C842)</f>
        <v/>
      </c>
      <c r="H8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0" s="31" t="str">
        <f t="shared" si="13"/>
        <v/>
      </c>
      <c r="J8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0" s="31" t="str">
        <f>IF('Input Sheet'!F841=0, "NO",CONCATENATE('Input Sheet'!F841, IF('Input Sheet'!F841&gt;0,"% ","")))</f>
        <v>NO</v>
      </c>
      <c r="L8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0" s="31" t="str">
        <f>CONCATENATE(L840, IF('Input Sheet'!J842="",""," siderite in "))</f>
        <v/>
      </c>
      <c r="N8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0" s="31" t="str">
        <f>CONCATENATE(N840, IF('Input Sheet'!K842="",""," siderite in "))</f>
        <v/>
      </c>
    </row>
    <row r="841" spans="1:15" x14ac:dyDescent="0.35">
      <c r="A841" s="42" t="str">
        <f>IF('Input Sheet'!C843="","",CONCATENATE("Sample ", 'Input Sheet'!B843, "m: ", M841, G841, "% ", "Siltstone, ", O841, 'Input Sheet'!C843, "% ", I841, " Sandstone, ", K841, J841, " FLUOR in SST. ", "TG ", 'Input Sheet'!I843, "U"))</f>
        <v/>
      </c>
      <c r="B841" s="28" t="str">
        <f>IF('Input Sheet'!C843="","",CONCATENATE("Sample ", 'Input Sheet'!B843, "m: ", N841, H841, "% ", "Siltstone, ", P841, 'Input Sheet'!C843, "% ", J841, " Sandstone "))</f>
        <v/>
      </c>
      <c r="C841" s="28" t="str">
        <f>IF('Input Sheet'!C843="","",CONCATENATE("Sample ", 'Input Sheet'!B843, "m: ", M841,, K841, J841, " FLUOR in SST. ", "TG ", 'Input Sheet'!I843, "U"))</f>
        <v/>
      </c>
      <c r="G841" s="31" t="str">
        <f>IF('Input Sheet'!C843="","",100-'Input Sheet'!C843)</f>
        <v/>
      </c>
      <c r="H8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1" s="31" t="str">
        <f t="shared" si="13"/>
        <v/>
      </c>
      <c r="J8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1" s="31" t="str">
        <f>IF('Input Sheet'!F842=0, "NO",CONCATENATE('Input Sheet'!F842, IF('Input Sheet'!F842&gt;0,"% ","")))</f>
        <v>NO</v>
      </c>
      <c r="L8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1" s="31" t="str">
        <f>CONCATENATE(L841, IF('Input Sheet'!J843="",""," siderite in "))</f>
        <v/>
      </c>
      <c r="N8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1" s="31" t="str">
        <f>CONCATENATE(N841, IF('Input Sheet'!K843="",""," siderite in "))</f>
        <v/>
      </c>
    </row>
    <row r="842" spans="1:15" x14ac:dyDescent="0.35">
      <c r="A842" s="42" t="str">
        <f>IF('Input Sheet'!C844="","",CONCATENATE("Sample ", 'Input Sheet'!B844, "m: ", M842, G842, "% ", "Siltstone, ", O842, 'Input Sheet'!C844, "% ", I842, " Sandstone, ", K842, J842, " FLUOR in SST. ", "TG ", 'Input Sheet'!I844, "U"))</f>
        <v/>
      </c>
      <c r="B842" s="28" t="str">
        <f>IF('Input Sheet'!C844="","",CONCATENATE("Sample ", 'Input Sheet'!B844, "m: ", N842, H842, "% ", "Siltstone, ", P842, 'Input Sheet'!C844, "% ", J842, " Sandstone "))</f>
        <v/>
      </c>
      <c r="C842" s="28" t="str">
        <f>IF('Input Sheet'!C844="","",CONCATENATE("Sample ", 'Input Sheet'!B844, "m: ", M842,, K842, J842, " FLUOR in SST. ", "TG ", 'Input Sheet'!I844, "U"))</f>
        <v/>
      </c>
      <c r="G842" s="31" t="str">
        <f>IF('Input Sheet'!C844="","",100-'Input Sheet'!C844)</f>
        <v/>
      </c>
      <c r="H8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2" s="31" t="str">
        <f t="shared" si="13"/>
        <v/>
      </c>
      <c r="J8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2" s="31" t="str">
        <f>IF('Input Sheet'!F843=0, "NO",CONCATENATE('Input Sheet'!F843, IF('Input Sheet'!F843&gt;0,"% ","")))</f>
        <v>NO</v>
      </c>
      <c r="L8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2" s="31" t="str">
        <f>CONCATENATE(L842, IF('Input Sheet'!J844="",""," siderite in "))</f>
        <v/>
      </c>
      <c r="N8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2" s="31" t="str">
        <f>CONCATENATE(N842, IF('Input Sheet'!K844="",""," siderite in "))</f>
        <v/>
      </c>
    </row>
    <row r="843" spans="1:15" x14ac:dyDescent="0.35">
      <c r="A843" s="42" t="str">
        <f>IF('Input Sheet'!C845="","",CONCATENATE("Sample ", 'Input Sheet'!B845, "m: ", M843, G843, "% ", "Siltstone, ", O843, 'Input Sheet'!C845, "% ", I843, " Sandstone, ", K843, J843, " FLUOR in SST. ", "TG ", 'Input Sheet'!I845, "U"))</f>
        <v/>
      </c>
      <c r="B843" s="28" t="str">
        <f>IF('Input Sheet'!C845="","",CONCATENATE("Sample ", 'Input Sheet'!B845, "m: ", N843, H843, "% ", "Siltstone, ", P843, 'Input Sheet'!C845, "% ", J843, " Sandstone "))</f>
        <v/>
      </c>
      <c r="C843" s="28" t="str">
        <f>IF('Input Sheet'!C845="","",CONCATENATE("Sample ", 'Input Sheet'!B845, "m: ", M843,, K843, J843, " FLUOR in SST. ", "TG ", 'Input Sheet'!I845, "U"))</f>
        <v/>
      </c>
      <c r="G843" s="31" t="str">
        <f>IF('Input Sheet'!C845="","",100-'Input Sheet'!C845)</f>
        <v/>
      </c>
      <c r="H8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3" s="31" t="str">
        <f t="shared" si="13"/>
        <v/>
      </c>
      <c r="J8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3" s="31" t="str">
        <f>IF('Input Sheet'!F844=0, "NO",CONCATENATE('Input Sheet'!F844, IF('Input Sheet'!F844&gt;0,"% ","")))</f>
        <v>NO</v>
      </c>
      <c r="L8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3" s="31" t="str">
        <f>CONCATENATE(L843, IF('Input Sheet'!J845="",""," siderite in "))</f>
        <v/>
      </c>
      <c r="N8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3" s="31" t="str">
        <f>CONCATENATE(N843, IF('Input Sheet'!K845="",""," siderite in "))</f>
        <v/>
      </c>
    </row>
    <row r="844" spans="1:15" x14ac:dyDescent="0.35">
      <c r="A844" s="42" t="str">
        <f>IF('Input Sheet'!C846="","",CONCATENATE("Sample ", 'Input Sheet'!B846, "m: ", M844, G844, "% ", "Siltstone, ", O844, 'Input Sheet'!C846, "% ", I844, " Sandstone, ", K844, J844, " FLUOR in SST. ", "TG ", 'Input Sheet'!I846, "U"))</f>
        <v/>
      </c>
      <c r="B844" s="28" t="str">
        <f>IF('Input Sheet'!C846="","",CONCATENATE("Sample ", 'Input Sheet'!B846, "m: ", N844, H844, "% ", "Siltstone, ", P844, 'Input Sheet'!C846, "% ", J844, " Sandstone "))</f>
        <v/>
      </c>
      <c r="C844" s="28" t="str">
        <f>IF('Input Sheet'!C846="","",CONCATENATE("Sample ", 'Input Sheet'!B846, "m: ", M844,, K844, J844, " FLUOR in SST. ", "TG ", 'Input Sheet'!I846, "U"))</f>
        <v/>
      </c>
      <c r="G844" s="31" t="str">
        <f>IF('Input Sheet'!C846="","",100-'Input Sheet'!C846)</f>
        <v/>
      </c>
      <c r="H8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4" s="31" t="str">
        <f t="shared" si="13"/>
        <v/>
      </c>
      <c r="J8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4" s="31" t="str">
        <f>IF('Input Sheet'!F845=0, "NO",CONCATENATE('Input Sheet'!F845, IF('Input Sheet'!F845&gt;0,"% ","")))</f>
        <v>NO</v>
      </c>
      <c r="L8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4" s="31" t="str">
        <f>CONCATENATE(L844, IF('Input Sheet'!J846="",""," siderite in "))</f>
        <v/>
      </c>
      <c r="N8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4" s="31" t="str">
        <f>CONCATENATE(N844, IF('Input Sheet'!K846="",""," siderite in "))</f>
        <v/>
      </c>
    </row>
    <row r="845" spans="1:15" x14ac:dyDescent="0.35">
      <c r="A845" s="42" t="str">
        <f>IF('Input Sheet'!C847="","",CONCATENATE("Sample ", 'Input Sheet'!B847, "m: ", M845, G845, "% ", "Siltstone, ", O845, 'Input Sheet'!C847, "% ", I845, " Sandstone, ", K845, J845, " FLUOR in SST. ", "TG ", 'Input Sheet'!I847, "U"))</f>
        <v/>
      </c>
      <c r="B845" s="28" t="str">
        <f>IF('Input Sheet'!C847="","",CONCATENATE("Sample ", 'Input Sheet'!B847, "m: ", N845, H845, "% ", "Siltstone, ", P845, 'Input Sheet'!C847, "% ", J845, " Sandstone "))</f>
        <v/>
      </c>
      <c r="C845" s="28" t="str">
        <f>IF('Input Sheet'!C847="","",CONCATENATE("Sample ", 'Input Sheet'!B847, "m: ", M845,, K845, J845, " FLUOR in SST. ", "TG ", 'Input Sheet'!I847, "U"))</f>
        <v/>
      </c>
      <c r="G845" s="31" t="str">
        <f>IF('Input Sheet'!C847="","",100-'Input Sheet'!C847)</f>
        <v/>
      </c>
      <c r="H8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5" s="31" t="str">
        <f t="shared" si="13"/>
        <v/>
      </c>
      <c r="J8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5" s="31" t="str">
        <f>IF('Input Sheet'!F846=0, "NO",CONCATENATE('Input Sheet'!F846, IF('Input Sheet'!F846&gt;0,"% ","")))</f>
        <v>NO</v>
      </c>
      <c r="L8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5" s="31" t="str">
        <f>CONCATENATE(L845, IF('Input Sheet'!J847="",""," siderite in "))</f>
        <v/>
      </c>
      <c r="N8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5" s="31" t="str">
        <f>CONCATENATE(N845, IF('Input Sheet'!K847="",""," siderite in "))</f>
        <v/>
      </c>
    </row>
    <row r="846" spans="1:15" x14ac:dyDescent="0.35">
      <c r="A846" s="42" t="str">
        <f>IF('Input Sheet'!C848="","",CONCATENATE("Sample ", 'Input Sheet'!B848, "m: ", M846, G846, "% ", "Siltstone, ", O846, 'Input Sheet'!C848, "% ", I846, " Sandstone, ", K846, J846, " FLUOR in SST. ", "TG ", 'Input Sheet'!I848, "U"))</f>
        <v/>
      </c>
      <c r="B846" s="28" t="str">
        <f>IF('Input Sheet'!C848="","",CONCATENATE("Sample ", 'Input Sheet'!B848, "m: ", N846, H846, "% ", "Siltstone, ", P846, 'Input Sheet'!C848, "% ", J846, " Sandstone "))</f>
        <v/>
      </c>
      <c r="C846" s="28" t="str">
        <f>IF('Input Sheet'!C848="","",CONCATENATE("Sample ", 'Input Sheet'!B848, "m: ", M846,, K846, J846, " FLUOR in SST. ", "TG ", 'Input Sheet'!I848, "U"))</f>
        <v/>
      </c>
      <c r="G846" s="31" t="str">
        <f>IF('Input Sheet'!C848="","",100-'Input Sheet'!C848)</f>
        <v/>
      </c>
      <c r="H8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6" s="31" t="str">
        <f t="shared" si="13"/>
        <v/>
      </c>
      <c r="J8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6" s="31" t="str">
        <f>IF('Input Sheet'!F847=0, "NO",CONCATENATE('Input Sheet'!F847, IF('Input Sheet'!F847&gt;0,"% ","")))</f>
        <v>NO</v>
      </c>
      <c r="L8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6" s="31" t="str">
        <f>CONCATENATE(L846, IF('Input Sheet'!J848="",""," siderite in "))</f>
        <v/>
      </c>
      <c r="N8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6" s="31" t="str">
        <f>CONCATENATE(N846, IF('Input Sheet'!K848="",""," siderite in "))</f>
        <v/>
      </c>
    </row>
    <row r="847" spans="1:15" x14ac:dyDescent="0.35">
      <c r="A847" s="42" t="str">
        <f>IF('Input Sheet'!C849="","",CONCATENATE("Sample ", 'Input Sheet'!B849, "m: ", M847, G847, "% ", "Siltstone, ", O847, 'Input Sheet'!C849, "% ", I847, " Sandstone, ", K847, J847, " FLUOR in SST. ", "TG ", 'Input Sheet'!I849, "U"))</f>
        <v/>
      </c>
      <c r="B847" s="28" t="str">
        <f>IF('Input Sheet'!C849="","",CONCATENATE("Sample ", 'Input Sheet'!B849, "m: ", N847, H847, "% ", "Siltstone, ", P847, 'Input Sheet'!C849, "% ", J847, " Sandstone "))</f>
        <v/>
      </c>
      <c r="C847" s="28" t="str">
        <f>IF('Input Sheet'!C849="","",CONCATENATE("Sample ", 'Input Sheet'!B849, "m: ", M847,, K847, J847, " FLUOR in SST. ", "TG ", 'Input Sheet'!I849, "U"))</f>
        <v/>
      </c>
      <c r="G847" s="31" t="str">
        <f>IF('Input Sheet'!C849="","",100-'Input Sheet'!C849)</f>
        <v/>
      </c>
      <c r="H8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7" s="31" t="str">
        <f t="shared" si="13"/>
        <v/>
      </c>
      <c r="J8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7" s="31" t="str">
        <f>IF('Input Sheet'!F848=0, "NO",CONCATENATE('Input Sheet'!F848, IF('Input Sheet'!F848&gt;0,"% ","")))</f>
        <v>NO</v>
      </c>
      <c r="L8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7" s="31" t="str">
        <f>CONCATENATE(L847, IF('Input Sheet'!J849="",""," siderite in "))</f>
        <v/>
      </c>
      <c r="N8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7" s="31" t="str">
        <f>CONCATENATE(N847, IF('Input Sheet'!K849="",""," siderite in "))</f>
        <v/>
      </c>
    </row>
    <row r="848" spans="1:15" x14ac:dyDescent="0.35">
      <c r="A848" s="42" t="str">
        <f>IF('Input Sheet'!C850="","",CONCATENATE("Sample ", 'Input Sheet'!B850, "m: ", M848, G848, "% ", "Siltstone, ", O848, 'Input Sheet'!C850, "% ", I848, " Sandstone, ", K848, J848, " FLUOR in SST. ", "TG ", 'Input Sheet'!I850, "U"))</f>
        <v/>
      </c>
      <c r="B848" s="28" t="str">
        <f>IF('Input Sheet'!C850="","",CONCATENATE("Sample ", 'Input Sheet'!B850, "m: ", N848, H848, "% ", "Siltstone, ", P848, 'Input Sheet'!C850, "% ", J848, " Sandstone "))</f>
        <v/>
      </c>
      <c r="C848" s="28" t="str">
        <f>IF('Input Sheet'!C850="","",CONCATENATE("Sample ", 'Input Sheet'!B850, "m: ", M848,, K848, J848, " FLUOR in SST. ", "TG ", 'Input Sheet'!I850, "U"))</f>
        <v/>
      </c>
      <c r="G848" s="31" t="str">
        <f>IF('Input Sheet'!C850="","",100-'Input Sheet'!C850)</f>
        <v/>
      </c>
      <c r="H8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8" s="31" t="str">
        <f t="shared" si="13"/>
        <v/>
      </c>
      <c r="J8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8" s="31" t="str">
        <f>IF('Input Sheet'!F849=0, "NO",CONCATENATE('Input Sheet'!F849, IF('Input Sheet'!F849&gt;0,"% ","")))</f>
        <v>NO</v>
      </c>
      <c r="L8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8" s="31" t="str">
        <f>CONCATENATE(L848, IF('Input Sheet'!J850="",""," siderite in "))</f>
        <v/>
      </c>
      <c r="N8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8" s="31" t="str">
        <f>CONCATENATE(N848, IF('Input Sheet'!K850="",""," siderite in "))</f>
        <v/>
      </c>
    </row>
    <row r="849" spans="1:15" x14ac:dyDescent="0.35">
      <c r="A849" s="42" t="str">
        <f>IF('Input Sheet'!C851="","",CONCATENATE("Sample ", 'Input Sheet'!B851, "m: ", M849, G849, "% ", "Siltstone, ", O849, 'Input Sheet'!C851, "% ", I849, " Sandstone, ", K849, J849, " FLUOR in SST. ", "TG ", 'Input Sheet'!I851, "U"))</f>
        <v/>
      </c>
      <c r="B849" s="28" t="str">
        <f>IF('Input Sheet'!C851="","",CONCATENATE("Sample ", 'Input Sheet'!B851, "m: ", N849, H849, "% ", "Siltstone, ", P849, 'Input Sheet'!C851, "% ", J849, " Sandstone "))</f>
        <v/>
      </c>
      <c r="C849" s="28" t="str">
        <f>IF('Input Sheet'!C851="","",CONCATENATE("Sample ", 'Input Sheet'!B851, "m: ", M849,, K849, J849, " FLUOR in SST. ", "TG ", 'Input Sheet'!I851, "U"))</f>
        <v/>
      </c>
      <c r="G849" s="31" t="str">
        <f>IF('Input Sheet'!C851="","",100-'Input Sheet'!C851)</f>
        <v/>
      </c>
      <c r="H8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9" s="31" t="str">
        <f t="shared" si="13"/>
        <v/>
      </c>
      <c r="J8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9" s="31" t="str">
        <f>IF('Input Sheet'!F850=0, "NO",CONCATENATE('Input Sheet'!F850, IF('Input Sheet'!F850&gt;0,"% ","")))</f>
        <v>NO</v>
      </c>
      <c r="L8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9" s="31" t="str">
        <f>CONCATENATE(L849, IF('Input Sheet'!J851="",""," siderite in "))</f>
        <v/>
      </c>
      <c r="N8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9" s="31" t="str">
        <f>CONCATENATE(N849, IF('Input Sheet'!K851="",""," siderite in "))</f>
        <v/>
      </c>
    </row>
    <row r="850" spans="1:15" x14ac:dyDescent="0.35">
      <c r="A850" s="42" t="str">
        <f>IF('Input Sheet'!C852="","",CONCATENATE("Sample ", 'Input Sheet'!B852, "m: ", M850, G850, "% ", "Siltstone, ", O850, 'Input Sheet'!C852, "% ", I850, " Sandstone, ", K850, J850, " FLUOR in SST. ", "TG ", 'Input Sheet'!I852, "U"))</f>
        <v/>
      </c>
      <c r="B850" s="28" t="str">
        <f>IF('Input Sheet'!C852="","",CONCATENATE("Sample ", 'Input Sheet'!B852, "m: ", N850, H850, "% ", "Siltstone, ", P850, 'Input Sheet'!C852, "% ", J850, " Sandstone "))</f>
        <v/>
      </c>
      <c r="C850" s="28" t="str">
        <f>IF('Input Sheet'!C852="","",CONCATENATE("Sample ", 'Input Sheet'!B852, "m: ", M850,, K850, J850, " FLUOR in SST. ", "TG ", 'Input Sheet'!I852, "U"))</f>
        <v/>
      </c>
      <c r="G850" s="31" t="str">
        <f>IF('Input Sheet'!C852="","",100-'Input Sheet'!C852)</f>
        <v/>
      </c>
      <c r="H8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0" s="31" t="str">
        <f t="shared" si="13"/>
        <v/>
      </c>
      <c r="J8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0" s="31" t="str">
        <f>IF('Input Sheet'!F851=0, "NO",CONCATENATE('Input Sheet'!F851, IF('Input Sheet'!F851&gt;0,"% ","")))</f>
        <v>NO</v>
      </c>
      <c r="L8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0" s="31" t="str">
        <f>CONCATENATE(L850, IF('Input Sheet'!J852="",""," siderite in "))</f>
        <v/>
      </c>
      <c r="N8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0" s="31" t="str">
        <f>CONCATENATE(N850, IF('Input Sheet'!K852="",""," siderite in "))</f>
        <v/>
      </c>
    </row>
    <row r="851" spans="1:15" x14ac:dyDescent="0.35">
      <c r="A851" s="42" t="str">
        <f>IF('Input Sheet'!C853="","",CONCATENATE("Sample ", 'Input Sheet'!B853, "m: ", M851, G851, "% ", "Siltstone, ", O851, 'Input Sheet'!C853, "% ", I851, " Sandstone, ", K851, J851, " FLUOR in SST. ", "TG ", 'Input Sheet'!I853, "U"))</f>
        <v/>
      </c>
      <c r="B851" s="28" t="str">
        <f>IF('Input Sheet'!C853="","",CONCATENATE("Sample ", 'Input Sheet'!B853, "m: ", N851, H851, "% ", "Siltstone, ", P851, 'Input Sheet'!C853, "% ", J851, " Sandstone "))</f>
        <v/>
      </c>
      <c r="C851" s="28" t="str">
        <f>IF('Input Sheet'!C853="","",CONCATENATE("Sample ", 'Input Sheet'!B853, "m: ", M851,, K851, J851, " FLUOR in SST. ", "TG ", 'Input Sheet'!I853, "U"))</f>
        <v/>
      </c>
      <c r="G851" s="31" t="str">
        <f>IF('Input Sheet'!C853="","",100-'Input Sheet'!C853)</f>
        <v/>
      </c>
      <c r="H8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1" s="31" t="str">
        <f t="shared" si="13"/>
        <v/>
      </c>
      <c r="J8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1" s="31" t="str">
        <f>IF('Input Sheet'!F852=0, "NO",CONCATENATE('Input Sheet'!F852, IF('Input Sheet'!F852&gt;0,"% ","")))</f>
        <v>NO</v>
      </c>
      <c r="L8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1" s="31" t="str">
        <f>CONCATENATE(L851, IF('Input Sheet'!J853="",""," siderite in "))</f>
        <v/>
      </c>
      <c r="N8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1" s="31" t="str">
        <f>CONCATENATE(N851, IF('Input Sheet'!K853="",""," siderite in "))</f>
        <v/>
      </c>
    </row>
    <row r="852" spans="1:15" x14ac:dyDescent="0.35">
      <c r="A852" s="42" t="str">
        <f>IF('Input Sheet'!C854="","",CONCATENATE("Sample ", 'Input Sheet'!B854, "m: ", M852, G852, "% ", "Siltstone, ", O852, 'Input Sheet'!C854, "% ", I852, " Sandstone, ", K852, J852, " FLUOR in SST. ", "TG ", 'Input Sheet'!I854, "U"))</f>
        <v/>
      </c>
      <c r="B852" s="28" t="str">
        <f>IF('Input Sheet'!C854="","",CONCATENATE("Sample ", 'Input Sheet'!B854, "m: ", N852, H852, "% ", "Siltstone, ", P852, 'Input Sheet'!C854, "% ", J852, " Sandstone "))</f>
        <v/>
      </c>
      <c r="C852" s="28" t="str">
        <f>IF('Input Sheet'!C854="","",CONCATENATE("Sample ", 'Input Sheet'!B854, "m: ", M852,, K852, J852, " FLUOR in SST. ", "TG ", 'Input Sheet'!I854, "U"))</f>
        <v/>
      </c>
      <c r="G852" s="31" t="str">
        <f>IF('Input Sheet'!C854="","",100-'Input Sheet'!C854)</f>
        <v/>
      </c>
      <c r="H8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2" s="31" t="str">
        <f t="shared" si="13"/>
        <v/>
      </c>
      <c r="J8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2" s="31" t="str">
        <f>IF('Input Sheet'!F853=0, "NO",CONCATENATE('Input Sheet'!F853, IF('Input Sheet'!F853&gt;0,"% ","")))</f>
        <v>NO</v>
      </c>
      <c r="L8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2" s="31" t="str">
        <f>CONCATENATE(L852, IF('Input Sheet'!J854="",""," siderite in "))</f>
        <v/>
      </c>
      <c r="N8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2" s="31" t="str">
        <f>CONCATENATE(N852, IF('Input Sheet'!K854="",""," siderite in "))</f>
        <v/>
      </c>
    </row>
    <row r="853" spans="1:15" x14ac:dyDescent="0.35">
      <c r="A853" s="42" t="str">
        <f>IF('Input Sheet'!C855="","",CONCATENATE("Sample ", 'Input Sheet'!B855, "m: ", M853, G853, "% ", "Siltstone, ", O853, 'Input Sheet'!C855, "% ", I853, " Sandstone, ", K853, J853, " FLUOR in SST. ", "TG ", 'Input Sheet'!I855, "U"))</f>
        <v/>
      </c>
      <c r="B853" s="28" t="str">
        <f>IF('Input Sheet'!C855="","",CONCATENATE("Sample ", 'Input Sheet'!B855, "m: ", N853, H853, "% ", "Siltstone, ", P853, 'Input Sheet'!C855, "% ", J853, " Sandstone "))</f>
        <v/>
      </c>
      <c r="C853" s="28" t="str">
        <f>IF('Input Sheet'!C855="","",CONCATENATE("Sample ", 'Input Sheet'!B855, "m: ", M853,, K853, J853, " FLUOR in SST. ", "TG ", 'Input Sheet'!I855, "U"))</f>
        <v/>
      </c>
      <c r="G853" s="31" t="str">
        <f>IF('Input Sheet'!C855="","",100-'Input Sheet'!C855)</f>
        <v/>
      </c>
      <c r="H8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3" s="31" t="str">
        <f t="shared" si="13"/>
        <v/>
      </c>
      <c r="J8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3" s="31" t="str">
        <f>IF('Input Sheet'!F854=0, "NO",CONCATENATE('Input Sheet'!F854, IF('Input Sheet'!F854&gt;0,"% ","")))</f>
        <v>NO</v>
      </c>
      <c r="L8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3" s="31" t="str">
        <f>CONCATENATE(L853, IF('Input Sheet'!J855="",""," siderite in "))</f>
        <v/>
      </c>
      <c r="N8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3" s="31" t="str">
        <f>CONCATENATE(N853, IF('Input Sheet'!K855="",""," siderite in "))</f>
        <v/>
      </c>
    </row>
    <row r="854" spans="1:15" x14ac:dyDescent="0.35">
      <c r="A854" s="42" t="str">
        <f>IF('Input Sheet'!C856="","",CONCATENATE("Sample ", 'Input Sheet'!B856, "m: ", M854, G854, "% ", "Siltstone, ", O854, 'Input Sheet'!C856, "% ", I854, " Sandstone, ", K854, J854, " FLUOR in SST. ", "TG ", 'Input Sheet'!I856, "U"))</f>
        <v/>
      </c>
      <c r="B854" s="28" t="str">
        <f>IF('Input Sheet'!C856="","",CONCATENATE("Sample ", 'Input Sheet'!B856, "m: ", N854, H854, "% ", "Siltstone, ", P854, 'Input Sheet'!C856, "% ", J854, " Sandstone "))</f>
        <v/>
      </c>
      <c r="C854" s="28" t="str">
        <f>IF('Input Sheet'!C856="","",CONCATENATE("Sample ", 'Input Sheet'!B856, "m: ", M854,, K854, J854, " FLUOR in SST. ", "TG ", 'Input Sheet'!I856, "U"))</f>
        <v/>
      </c>
      <c r="G854" s="31" t="str">
        <f>IF('Input Sheet'!C856="","",100-'Input Sheet'!C856)</f>
        <v/>
      </c>
      <c r="H8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4" s="31" t="str">
        <f t="shared" si="13"/>
        <v/>
      </c>
      <c r="J8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4" s="31" t="str">
        <f>IF('Input Sheet'!F855=0, "NO",CONCATENATE('Input Sheet'!F855, IF('Input Sheet'!F855&gt;0,"% ","")))</f>
        <v>NO</v>
      </c>
      <c r="L8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4" s="31" t="str">
        <f>CONCATENATE(L854, IF('Input Sheet'!J856="",""," siderite in "))</f>
        <v/>
      </c>
      <c r="N8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4" s="31" t="str">
        <f>CONCATENATE(N854, IF('Input Sheet'!K856="",""," siderite in "))</f>
        <v/>
      </c>
    </row>
    <row r="855" spans="1:15" x14ac:dyDescent="0.35">
      <c r="A855" s="42" t="str">
        <f>IF('Input Sheet'!C857="","",CONCATENATE("Sample ", 'Input Sheet'!B857, "m: ", M855, G855, "% ", "Siltstone, ", O855, 'Input Sheet'!C857, "% ", I855, " Sandstone, ", K855, J855, " FLUOR in SST. ", "TG ", 'Input Sheet'!I857, "U"))</f>
        <v/>
      </c>
      <c r="B855" s="28" t="str">
        <f>IF('Input Sheet'!C857="","",CONCATENATE("Sample ", 'Input Sheet'!B857, "m: ", N855, H855, "% ", "Siltstone, ", P855, 'Input Sheet'!C857, "% ", J855, " Sandstone "))</f>
        <v/>
      </c>
      <c r="C855" s="28" t="str">
        <f>IF('Input Sheet'!C857="","",CONCATENATE("Sample ", 'Input Sheet'!B857, "m: ", M855,, K855, J855, " FLUOR in SST. ", "TG ", 'Input Sheet'!I857, "U"))</f>
        <v/>
      </c>
      <c r="G855" s="31" t="str">
        <f>IF('Input Sheet'!C857="","",100-'Input Sheet'!C857)</f>
        <v/>
      </c>
      <c r="H8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5" s="31" t="str">
        <f t="shared" si="13"/>
        <v/>
      </c>
      <c r="J8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5" s="31" t="str">
        <f>IF('Input Sheet'!F856=0, "NO",CONCATENATE('Input Sheet'!F856, IF('Input Sheet'!F856&gt;0,"% ","")))</f>
        <v>NO</v>
      </c>
      <c r="L8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5" s="31" t="str">
        <f>CONCATENATE(L855, IF('Input Sheet'!J857="",""," siderite in "))</f>
        <v/>
      </c>
      <c r="N8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5" s="31" t="str">
        <f>CONCATENATE(N855, IF('Input Sheet'!K857="",""," siderite in "))</f>
        <v/>
      </c>
    </row>
    <row r="856" spans="1:15" x14ac:dyDescent="0.35">
      <c r="A856" s="42" t="str">
        <f>IF('Input Sheet'!C858="","",CONCATENATE("Sample ", 'Input Sheet'!B858, "m: ", M856, G856, "% ", "Siltstone, ", O856, 'Input Sheet'!C858, "% ", I856, " Sandstone, ", K856, J856, " FLUOR in SST. ", "TG ", 'Input Sheet'!I858, "U"))</f>
        <v/>
      </c>
      <c r="B856" s="28" t="str">
        <f>IF('Input Sheet'!C858="","",CONCATENATE("Sample ", 'Input Sheet'!B858, "m: ", N856, H856, "% ", "Siltstone, ", P856, 'Input Sheet'!C858, "% ", J856, " Sandstone "))</f>
        <v/>
      </c>
      <c r="C856" s="28" t="str">
        <f>IF('Input Sheet'!C858="","",CONCATENATE("Sample ", 'Input Sheet'!B858, "m: ", M856,, K856, J856, " FLUOR in SST. ", "TG ", 'Input Sheet'!I858, "U"))</f>
        <v/>
      </c>
      <c r="G856" s="31" t="str">
        <f>IF('Input Sheet'!C858="","",100-'Input Sheet'!C858)</f>
        <v/>
      </c>
      <c r="H8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6" s="31" t="str">
        <f t="shared" si="13"/>
        <v/>
      </c>
      <c r="J8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6" s="31" t="str">
        <f>IF('Input Sheet'!F857=0, "NO",CONCATENATE('Input Sheet'!F857, IF('Input Sheet'!F857&gt;0,"% ","")))</f>
        <v>NO</v>
      </c>
      <c r="L8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6" s="31" t="str">
        <f>CONCATENATE(L856, IF('Input Sheet'!J858="",""," siderite in "))</f>
        <v/>
      </c>
      <c r="N8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6" s="31" t="str">
        <f>CONCATENATE(N856, IF('Input Sheet'!K858="",""," siderite in "))</f>
        <v/>
      </c>
    </row>
    <row r="857" spans="1:15" x14ac:dyDescent="0.35">
      <c r="A857" s="42" t="str">
        <f>IF('Input Sheet'!C859="","",CONCATENATE("Sample ", 'Input Sheet'!B859, "m: ", M857, G857, "% ", "Siltstone, ", O857, 'Input Sheet'!C859, "% ", I857, " Sandstone, ", K857, J857, " FLUOR in SST. ", "TG ", 'Input Sheet'!I859, "U"))</f>
        <v/>
      </c>
      <c r="B857" s="28" t="str">
        <f>IF('Input Sheet'!C859="","",CONCATENATE("Sample ", 'Input Sheet'!B859, "m: ", N857, H857, "% ", "Siltstone, ", P857, 'Input Sheet'!C859, "% ", J857, " Sandstone "))</f>
        <v/>
      </c>
      <c r="C857" s="28" t="str">
        <f>IF('Input Sheet'!C859="","",CONCATENATE("Sample ", 'Input Sheet'!B859, "m: ", M857,, K857, J857, " FLUOR in SST. ", "TG ", 'Input Sheet'!I859, "U"))</f>
        <v/>
      </c>
      <c r="G857" s="31" t="str">
        <f>IF('Input Sheet'!C859="","",100-'Input Sheet'!C859)</f>
        <v/>
      </c>
      <c r="H8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7" s="31" t="str">
        <f t="shared" si="13"/>
        <v/>
      </c>
      <c r="J8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7" s="31" t="str">
        <f>IF('Input Sheet'!F858=0, "NO",CONCATENATE('Input Sheet'!F858, IF('Input Sheet'!F858&gt;0,"% ","")))</f>
        <v>NO</v>
      </c>
      <c r="L8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7" s="31" t="str">
        <f>CONCATENATE(L857, IF('Input Sheet'!J859="",""," siderite in "))</f>
        <v/>
      </c>
      <c r="N8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7" s="31" t="str">
        <f>CONCATENATE(N857, IF('Input Sheet'!K859="",""," siderite in "))</f>
        <v/>
      </c>
    </row>
    <row r="858" spans="1:15" x14ac:dyDescent="0.35">
      <c r="A858" s="42" t="str">
        <f>IF('Input Sheet'!C860="","",CONCATENATE("Sample ", 'Input Sheet'!B860, "m: ", M858, G858, "% ", "Siltstone, ", O858, 'Input Sheet'!C860, "% ", I858, " Sandstone, ", K858, J858, " FLUOR in SST. ", "TG ", 'Input Sheet'!I860, "U"))</f>
        <v/>
      </c>
      <c r="B858" s="28" t="str">
        <f>IF('Input Sheet'!C860="","",CONCATENATE("Sample ", 'Input Sheet'!B860, "m: ", N858, H858, "% ", "Siltstone, ", P858, 'Input Sheet'!C860, "% ", J858, " Sandstone "))</f>
        <v/>
      </c>
      <c r="C858" s="28" t="str">
        <f>IF('Input Sheet'!C860="","",CONCATENATE("Sample ", 'Input Sheet'!B860, "m: ", M858,, K858, J858, " FLUOR in SST. ", "TG ", 'Input Sheet'!I860, "U"))</f>
        <v/>
      </c>
      <c r="G858" s="31" t="str">
        <f>IF('Input Sheet'!C860="","",100-'Input Sheet'!C860)</f>
        <v/>
      </c>
      <c r="H8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8" s="31" t="str">
        <f t="shared" si="13"/>
        <v/>
      </c>
      <c r="J8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8" s="31" t="str">
        <f>IF('Input Sheet'!F859=0, "NO",CONCATENATE('Input Sheet'!F859, IF('Input Sheet'!F859&gt;0,"% ","")))</f>
        <v>NO</v>
      </c>
      <c r="L8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8" s="31" t="str">
        <f>CONCATENATE(L858, IF('Input Sheet'!J860="",""," siderite in "))</f>
        <v/>
      </c>
      <c r="N8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8" s="31" t="str">
        <f>CONCATENATE(N858, IF('Input Sheet'!K860="",""," siderite in "))</f>
        <v/>
      </c>
    </row>
    <row r="859" spans="1:15" x14ac:dyDescent="0.35">
      <c r="A859" s="42" t="str">
        <f>IF('Input Sheet'!C861="","",CONCATENATE("Sample ", 'Input Sheet'!B861, "m: ", M859, G859, "% ", "Siltstone, ", O859, 'Input Sheet'!C861, "% ", I859, " Sandstone, ", K859, J859, " FLUOR in SST. ", "TG ", 'Input Sheet'!I861, "U"))</f>
        <v/>
      </c>
      <c r="B859" s="28" t="str">
        <f>IF('Input Sheet'!C861="","",CONCATENATE("Sample ", 'Input Sheet'!B861, "m: ", N859, H859, "% ", "Siltstone, ", P859, 'Input Sheet'!C861, "% ", J859, " Sandstone "))</f>
        <v/>
      </c>
      <c r="C859" s="28" t="str">
        <f>IF('Input Sheet'!C861="","",CONCATENATE("Sample ", 'Input Sheet'!B861, "m: ", M859,, K859, J859, " FLUOR in SST. ", "TG ", 'Input Sheet'!I861, "U"))</f>
        <v/>
      </c>
      <c r="G859" s="31" t="str">
        <f>IF('Input Sheet'!C861="","",100-'Input Sheet'!C861)</f>
        <v/>
      </c>
      <c r="H8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9" s="31" t="str">
        <f t="shared" si="13"/>
        <v/>
      </c>
      <c r="J8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9" s="31" t="str">
        <f>IF('Input Sheet'!F860=0, "NO",CONCATENATE('Input Sheet'!F860, IF('Input Sheet'!F860&gt;0,"% ","")))</f>
        <v>NO</v>
      </c>
      <c r="L8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9" s="31" t="str">
        <f>CONCATENATE(L859, IF('Input Sheet'!J861="",""," siderite in "))</f>
        <v/>
      </c>
      <c r="N8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9" s="31" t="str">
        <f>CONCATENATE(N859, IF('Input Sheet'!K861="",""," siderite in "))</f>
        <v/>
      </c>
    </row>
    <row r="860" spans="1:15" x14ac:dyDescent="0.35">
      <c r="A860" s="42" t="str">
        <f>IF('Input Sheet'!C862="","",CONCATENATE("Sample ", 'Input Sheet'!B862, "m: ", M860, G860, "% ", "Siltstone, ", O860, 'Input Sheet'!C862, "% ", I860, " Sandstone, ", K860, J860, " FLUOR in SST. ", "TG ", 'Input Sheet'!I862, "U"))</f>
        <v/>
      </c>
      <c r="B860" s="28" t="str">
        <f>IF('Input Sheet'!C862="","",CONCATENATE("Sample ", 'Input Sheet'!B862, "m: ", N860, H860, "% ", "Siltstone, ", P860, 'Input Sheet'!C862, "% ", J860, " Sandstone "))</f>
        <v/>
      </c>
      <c r="C860" s="28" t="str">
        <f>IF('Input Sheet'!C862="","",CONCATENATE("Sample ", 'Input Sheet'!B862, "m: ", M860,, K860, J860, " FLUOR in SST. ", "TG ", 'Input Sheet'!I862, "U"))</f>
        <v/>
      </c>
      <c r="G860" s="31" t="str">
        <f>IF('Input Sheet'!C862="","",100-'Input Sheet'!C862)</f>
        <v/>
      </c>
      <c r="H8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0" s="31" t="str">
        <f t="shared" si="13"/>
        <v/>
      </c>
      <c r="J8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0" s="31" t="str">
        <f>IF('Input Sheet'!F861=0, "NO",CONCATENATE('Input Sheet'!F861, IF('Input Sheet'!F861&gt;0,"% ","")))</f>
        <v>NO</v>
      </c>
      <c r="L8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0" s="31" t="str">
        <f>CONCATENATE(L860, IF('Input Sheet'!J862="",""," siderite in "))</f>
        <v/>
      </c>
      <c r="N8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0" s="31" t="str">
        <f>CONCATENATE(N860, IF('Input Sheet'!K862="",""," siderite in "))</f>
        <v/>
      </c>
    </row>
    <row r="861" spans="1:15" x14ac:dyDescent="0.35">
      <c r="A861" s="42" t="str">
        <f>IF('Input Sheet'!C863="","",CONCATENATE("Sample ", 'Input Sheet'!B863, "m: ", M861, G861, "% ", "Siltstone, ", O861, 'Input Sheet'!C863, "% ", I861, " Sandstone, ", K861, J861, " FLUOR in SST. ", "TG ", 'Input Sheet'!I863, "U"))</f>
        <v/>
      </c>
      <c r="B861" s="28" t="str">
        <f>IF('Input Sheet'!C863="","",CONCATENATE("Sample ", 'Input Sheet'!B863, "m: ", N861, H861, "% ", "Siltstone, ", P861, 'Input Sheet'!C863, "% ", J861, " Sandstone "))</f>
        <v/>
      </c>
      <c r="C861" s="28" t="str">
        <f>IF('Input Sheet'!C863="","",CONCATENATE("Sample ", 'Input Sheet'!B863, "m: ", M861,, K861, J861, " FLUOR in SST. ", "TG ", 'Input Sheet'!I863, "U"))</f>
        <v/>
      </c>
      <c r="G861" s="31" t="str">
        <f>IF('Input Sheet'!C863="","",100-'Input Sheet'!C863)</f>
        <v/>
      </c>
      <c r="H8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1" s="31" t="str">
        <f t="shared" si="13"/>
        <v/>
      </c>
      <c r="J8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1" s="31" t="str">
        <f>IF('Input Sheet'!F862=0, "NO",CONCATENATE('Input Sheet'!F862, IF('Input Sheet'!F862&gt;0,"% ","")))</f>
        <v>NO</v>
      </c>
      <c r="L8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1" s="31" t="str">
        <f>CONCATENATE(L861, IF('Input Sheet'!J863="",""," siderite in "))</f>
        <v/>
      </c>
      <c r="N8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1" s="31" t="str">
        <f>CONCATENATE(N861, IF('Input Sheet'!K863="",""," siderite in "))</f>
        <v/>
      </c>
    </row>
    <row r="862" spans="1:15" x14ac:dyDescent="0.35">
      <c r="A862" s="42" t="str">
        <f>IF('Input Sheet'!C864="","",CONCATENATE("Sample ", 'Input Sheet'!B864, "m: ", M862, G862, "% ", "Siltstone, ", O862, 'Input Sheet'!C864, "% ", I862, " Sandstone, ", K862, J862, " FLUOR in SST. ", "TG ", 'Input Sheet'!I864, "U"))</f>
        <v/>
      </c>
      <c r="B862" s="28" t="str">
        <f>IF('Input Sheet'!C864="","",CONCATENATE("Sample ", 'Input Sheet'!B864, "m: ", N862, H862, "% ", "Siltstone, ", P862, 'Input Sheet'!C864, "% ", J862, " Sandstone "))</f>
        <v/>
      </c>
      <c r="C862" s="28" t="str">
        <f>IF('Input Sheet'!C864="","",CONCATENATE("Sample ", 'Input Sheet'!B864, "m: ", M862,, K862, J862, " FLUOR in SST. ", "TG ", 'Input Sheet'!I864, "U"))</f>
        <v/>
      </c>
      <c r="G862" s="31" t="str">
        <f>IF('Input Sheet'!C864="","",100-'Input Sheet'!C864)</f>
        <v/>
      </c>
      <c r="H8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2" s="31" t="str">
        <f t="shared" si="13"/>
        <v/>
      </c>
      <c r="J8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2" s="31" t="str">
        <f>IF('Input Sheet'!F863=0, "NO",CONCATENATE('Input Sheet'!F863, IF('Input Sheet'!F863&gt;0,"% ","")))</f>
        <v>NO</v>
      </c>
      <c r="L8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2" s="31" t="str">
        <f>CONCATENATE(L862, IF('Input Sheet'!J864="",""," siderite in "))</f>
        <v/>
      </c>
      <c r="N8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2" s="31" t="str">
        <f>CONCATENATE(N862, IF('Input Sheet'!K864="",""," siderite in "))</f>
        <v/>
      </c>
    </row>
    <row r="863" spans="1:15" x14ac:dyDescent="0.35">
      <c r="A863" s="42" t="str">
        <f>IF('Input Sheet'!C865="","",CONCATENATE("Sample ", 'Input Sheet'!B865, "m: ", M863, G863, "% ", "Siltstone, ", O863, 'Input Sheet'!C865, "% ", I863, " Sandstone, ", K863, J863, " FLUOR in SST. ", "TG ", 'Input Sheet'!I865, "U"))</f>
        <v/>
      </c>
      <c r="B863" s="28" t="str">
        <f>IF('Input Sheet'!C865="","",CONCATENATE("Sample ", 'Input Sheet'!B865, "m: ", N863, H863, "% ", "Siltstone, ", P863, 'Input Sheet'!C865, "% ", J863, " Sandstone "))</f>
        <v/>
      </c>
      <c r="C863" s="28" t="str">
        <f>IF('Input Sheet'!C865="","",CONCATENATE("Sample ", 'Input Sheet'!B865, "m: ", M863,, K863, J863, " FLUOR in SST. ", "TG ", 'Input Sheet'!I865, "U"))</f>
        <v/>
      </c>
      <c r="G863" s="31" t="str">
        <f>IF('Input Sheet'!C865="","",100-'Input Sheet'!C865)</f>
        <v/>
      </c>
      <c r="H8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3" s="31" t="str">
        <f t="shared" si="13"/>
        <v/>
      </c>
      <c r="J8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3" s="31" t="str">
        <f>IF('Input Sheet'!F864=0, "NO",CONCATENATE('Input Sheet'!F864, IF('Input Sheet'!F864&gt;0,"% ","")))</f>
        <v>NO</v>
      </c>
      <c r="L8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3" s="31" t="str">
        <f>CONCATENATE(L863, IF('Input Sheet'!J865="",""," siderite in "))</f>
        <v/>
      </c>
      <c r="N8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3" s="31" t="str">
        <f>CONCATENATE(N863, IF('Input Sheet'!K865="",""," siderite in "))</f>
        <v/>
      </c>
    </row>
    <row r="864" spans="1:15" x14ac:dyDescent="0.35">
      <c r="A864" s="42" t="str">
        <f>IF('Input Sheet'!C866="","",CONCATENATE("Sample ", 'Input Sheet'!B866, "m: ", M864, G864, "% ", "Siltstone, ", O864, 'Input Sheet'!C866, "% ", I864, " Sandstone, ", K864, J864, " FLUOR in SST. ", "TG ", 'Input Sheet'!I866, "U"))</f>
        <v/>
      </c>
      <c r="B864" s="28" t="str">
        <f>IF('Input Sheet'!C866="","",CONCATENATE("Sample ", 'Input Sheet'!B866, "m: ", N864, H864, "% ", "Siltstone, ", P864, 'Input Sheet'!C866, "% ", J864, " Sandstone "))</f>
        <v/>
      </c>
      <c r="C864" s="28" t="str">
        <f>IF('Input Sheet'!C866="","",CONCATENATE("Sample ", 'Input Sheet'!B866, "m: ", M864,, K864, J864, " FLUOR in SST. ", "TG ", 'Input Sheet'!I866, "U"))</f>
        <v/>
      </c>
      <c r="G864" s="31" t="str">
        <f>IF('Input Sheet'!C866="","",100-'Input Sheet'!C866)</f>
        <v/>
      </c>
      <c r="H8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4" s="31" t="str">
        <f t="shared" si="13"/>
        <v/>
      </c>
      <c r="J8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4" s="31" t="str">
        <f>IF('Input Sheet'!F865=0, "NO",CONCATENATE('Input Sheet'!F865, IF('Input Sheet'!F865&gt;0,"% ","")))</f>
        <v>NO</v>
      </c>
      <c r="L8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4" s="31" t="str">
        <f>CONCATENATE(L864, IF('Input Sheet'!J866="",""," siderite in "))</f>
        <v/>
      </c>
      <c r="N8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4" s="31" t="str">
        <f>CONCATENATE(N864, IF('Input Sheet'!K866="",""," siderite in "))</f>
        <v/>
      </c>
    </row>
    <row r="865" spans="1:15" x14ac:dyDescent="0.35">
      <c r="A865" s="42" t="str">
        <f>IF('Input Sheet'!C867="","",CONCATENATE("Sample ", 'Input Sheet'!B867, "m: ", M865, G865, "% ", "Siltstone, ", O865, 'Input Sheet'!C867, "% ", I865, " Sandstone, ", K865, J865, " FLUOR in SST. ", "TG ", 'Input Sheet'!I867, "U"))</f>
        <v/>
      </c>
      <c r="B865" s="28" t="str">
        <f>IF('Input Sheet'!C867="","",CONCATENATE("Sample ", 'Input Sheet'!B867, "m: ", N865, H865, "% ", "Siltstone, ", P865, 'Input Sheet'!C867, "% ", J865, " Sandstone "))</f>
        <v/>
      </c>
      <c r="C865" s="28" t="str">
        <f>IF('Input Sheet'!C867="","",CONCATENATE("Sample ", 'Input Sheet'!B867, "m: ", M865,, K865, J865, " FLUOR in SST. ", "TG ", 'Input Sheet'!I867, "U"))</f>
        <v/>
      </c>
      <c r="G865" s="31" t="str">
        <f>IF('Input Sheet'!C867="","",100-'Input Sheet'!C867)</f>
        <v/>
      </c>
      <c r="H8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5" s="31" t="str">
        <f t="shared" si="13"/>
        <v/>
      </c>
      <c r="J8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5" s="31" t="str">
        <f>IF('Input Sheet'!F866=0, "NO",CONCATENATE('Input Sheet'!F866, IF('Input Sheet'!F866&gt;0,"% ","")))</f>
        <v>NO</v>
      </c>
      <c r="L8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5" s="31" t="str">
        <f>CONCATENATE(L865, IF('Input Sheet'!J867="",""," siderite in "))</f>
        <v/>
      </c>
      <c r="N8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5" s="31" t="str">
        <f>CONCATENATE(N865, IF('Input Sheet'!K867="",""," siderite in "))</f>
        <v/>
      </c>
    </row>
    <row r="866" spans="1:15" x14ac:dyDescent="0.35">
      <c r="A866" s="42" t="str">
        <f>IF('Input Sheet'!C868="","",CONCATENATE("Sample ", 'Input Sheet'!B868, "m: ", M866, G866, "% ", "Siltstone, ", O866, 'Input Sheet'!C868, "% ", I866, " Sandstone, ", K866, J866, " FLUOR in SST. ", "TG ", 'Input Sheet'!I868, "U"))</f>
        <v/>
      </c>
      <c r="B866" s="28" t="str">
        <f>IF('Input Sheet'!C868="","",CONCATENATE("Sample ", 'Input Sheet'!B868, "m: ", N866, H866, "% ", "Siltstone, ", P866, 'Input Sheet'!C868, "% ", J866, " Sandstone "))</f>
        <v/>
      </c>
      <c r="C866" s="28" t="str">
        <f>IF('Input Sheet'!C868="","",CONCATENATE("Sample ", 'Input Sheet'!B868, "m: ", M866,, K866, J866, " FLUOR in SST. ", "TG ", 'Input Sheet'!I868, "U"))</f>
        <v/>
      </c>
      <c r="G866" s="31" t="str">
        <f>IF('Input Sheet'!C868="","",100-'Input Sheet'!C868)</f>
        <v/>
      </c>
      <c r="H8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6" s="31" t="str">
        <f t="shared" si="13"/>
        <v/>
      </c>
      <c r="J8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6" s="31" t="str">
        <f>IF('Input Sheet'!F867=0, "NO",CONCATENATE('Input Sheet'!F867, IF('Input Sheet'!F867&gt;0,"% ","")))</f>
        <v>NO</v>
      </c>
      <c r="L8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6" s="31" t="str">
        <f>CONCATENATE(L866, IF('Input Sheet'!J868="",""," siderite in "))</f>
        <v/>
      </c>
      <c r="N8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6" s="31" t="str">
        <f>CONCATENATE(N866, IF('Input Sheet'!K868="",""," siderite in "))</f>
        <v/>
      </c>
    </row>
    <row r="867" spans="1:15" x14ac:dyDescent="0.35">
      <c r="A867" s="42" t="str">
        <f>IF('Input Sheet'!C869="","",CONCATENATE("Sample ", 'Input Sheet'!B869, "m: ", M867, G867, "% ", "Siltstone, ", O867, 'Input Sheet'!C869, "% ", I867, " Sandstone, ", K867, J867, " FLUOR in SST. ", "TG ", 'Input Sheet'!I869, "U"))</f>
        <v/>
      </c>
      <c r="B867" s="28" t="str">
        <f>IF('Input Sheet'!C869="","",CONCATENATE("Sample ", 'Input Sheet'!B869, "m: ", N867, H867, "% ", "Siltstone, ", P867, 'Input Sheet'!C869, "% ", J867, " Sandstone "))</f>
        <v/>
      </c>
      <c r="C867" s="28" t="str">
        <f>IF('Input Sheet'!C869="","",CONCATENATE("Sample ", 'Input Sheet'!B869, "m: ", M867,, K867, J867, " FLUOR in SST. ", "TG ", 'Input Sheet'!I869, "U"))</f>
        <v/>
      </c>
      <c r="G867" s="31" t="str">
        <f>IF('Input Sheet'!C869="","",100-'Input Sheet'!C869)</f>
        <v/>
      </c>
      <c r="H8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7" s="31" t="str">
        <f t="shared" si="13"/>
        <v/>
      </c>
      <c r="J8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7" s="31" t="str">
        <f>IF('Input Sheet'!F868=0, "NO",CONCATENATE('Input Sheet'!F868, IF('Input Sheet'!F868&gt;0,"% ","")))</f>
        <v>NO</v>
      </c>
      <c r="L8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7" s="31" t="str">
        <f>CONCATENATE(L867, IF('Input Sheet'!J869="",""," siderite in "))</f>
        <v/>
      </c>
      <c r="N8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7" s="31" t="str">
        <f>CONCATENATE(N867, IF('Input Sheet'!K869="",""," siderite in "))</f>
        <v/>
      </c>
    </row>
    <row r="868" spans="1:15" x14ac:dyDescent="0.35">
      <c r="A868" s="42" t="str">
        <f>IF('Input Sheet'!C870="","",CONCATENATE("Sample ", 'Input Sheet'!B870, "m: ", M868, G868, "% ", "Siltstone, ", O868, 'Input Sheet'!C870, "% ", I868, " Sandstone, ", K868, J868, " FLUOR in SST. ", "TG ", 'Input Sheet'!I870, "U"))</f>
        <v/>
      </c>
      <c r="B868" s="28" t="str">
        <f>IF('Input Sheet'!C870="","",CONCATENATE("Sample ", 'Input Sheet'!B870, "m: ", N868, H868, "% ", "Siltstone, ", P868, 'Input Sheet'!C870, "% ", J868, " Sandstone "))</f>
        <v/>
      </c>
      <c r="C868" s="28" t="str">
        <f>IF('Input Sheet'!C870="","",CONCATENATE("Sample ", 'Input Sheet'!B870, "m: ", M868,, K868, J868, " FLUOR in SST. ", "TG ", 'Input Sheet'!I870, "U"))</f>
        <v/>
      </c>
      <c r="G868" s="31" t="str">
        <f>IF('Input Sheet'!C870="","",100-'Input Sheet'!C870)</f>
        <v/>
      </c>
      <c r="H8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8" s="31" t="str">
        <f t="shared" si="13"/>
        <v/>
      </c>
      <c r="J8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8" s="31" t="str">
        <f>IF('Input Sheet'!F869=0, "NO",CONCATENATE('Input Sheet'!F869, IF('Input Sheet'!F869&gt;0,"% ","")))</f>
        <v>NO</v>
      </c>
      <c r="L8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8" s="31" t="str">
        <f>CONCATENATE(L868, IF('Input Sheet'!J870="",""," siderite in "))</f>
        <v/>
      </c>
      <c r="N8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8" s="31" t="str">
        <f>CONCATENATE(N868, IF('Input Sheet'!K870="",""," siderite in "))</f>
        <v/>
      </c>
    </row>
    <row r="869" spans="1:15" x14ac:dyDescent="0.35">
      <c r="A869" s="42" t="str">
        <f>IF('Input Sheet'!C871="","",CONCATENATE("Sample ", 'Input Sheet'!B871, "m: ", M869, G869, "% ", "Siltstone, ", O869, 'Input Sheet'!C871, "% ", I869, " Sandstone, ", K869, J869, " FLUOR in SST. ", "TG ", 'Input Sheet'!I871, "U"))</f>
        <v/>
      </c>
      <c r="B869" s="28" t="str">
        <f>IF('Input Sheet'!C871="","",CONCATENATE("Sample ", 'Input Sheet'!B871, "m: ", N869, H869, "% ", "Siltstone, ", P869, 'Input Sheet'!C871, "% ", J869, " Sandstone "))</f>
        <v/>
      </c>
      <c r="C869" s="28" t="str">
        <f>IF('Input Sheet'!C871="","",CONCATENATE("Sample ", 'Input Sheet'!B871, "m: ", M869,, K869, J869, " FLUOR in SST. ", "TG ", 'Input Sheet'!I871, "U"))</f>
        <v/>
      </c>
      <c r="G869" s="31" t="str">
        <f>IF('Input Sheet'!C871="","",100-'Input Sheet'!C871)</f>
        <v/>
      </c>
      <c r="H8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9" s="31" t="str">
        <f t="shared" si="13"/>
        <v/>
      </c>
      <c r="J8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9" s="31" t="str">
        <f>IF('Input Sheet'!F870=0, "NO",CONCATENATE('Input Sheet'!F870, IF('Input Sheet'!F870&gt;0,"% ","")))</f>
        <v>NO</v>
      </c>
      <c r="L8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9" s="31" t="str">
        <f>CONCATENATE(L869, IF('Input Sheet'!J871="",""," siderite in "))</f>
        <v/>
      </c>
      <c r="N8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9" s="31" t="str">
        <f>CONCATENATE(N869, IF('Input Sheet'!K871="",""," siderite in "))</f>
        <v/>
      </c>
    </row>
    <row r="870" spans="1:15" x14ac:dyDescent="0.35">
      <c r="A870" s="42" t="str">
        <f>IF('Input Sheet'!C872="","",CONCATENATE("Sample ", 'Input Sheet'!B872, "m: ", M870, G870, "% ", "Siltstone, ", O870, 'Input Sheet'!C872, "% ", I870, " Sandstone, ", K870, J870, " FLUOR in SST. ", "TG ", 'Input Sheet'!I872, "U"))</f>
        <v/>
      </c>
      <c r="B870" s="28" t="str">
        <f>IF('Input Sheet'!C872="","",CONCATENATE("Sample ", 'Input Sheet'!B872, "m: ", N870, H870, "% ", "Siltstone, ", P870, 'Input Sheet'!C872, "% ", J870, " Sandstone "))</f>
        <v/>
      </c>
      <c r="C870" s="28" t="str">
        <f>IF('Input Sheet'!C872="","",CONCATENATE("Sample ", 'Input Sheet'!B872, "m: ", M870,, K870, J870, " FLUOR in SST. ", "TG ", 'Input Sheet'!I872, "U"))</f>
        <v/>
      </c>
      <c r="G870" s="31" t="str">
        <f>IF('Input Sheet'!C872="","",100-'Input Sheet'!C872)</f>
        <v/>
      </c>
      <c r="H8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0" s="31" t="str">
        <f t="shared" si="13"/>
        <v/>
      </c>
      <c r="J8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0" s="31" t="str">
        <f>IF('Input Sheet'!F871=0, "NO",CONCATENATE('Input Sheet'!F871, IF('Input Sheet'!F871&gt;0,"% ","")))</f>
        <v>NO</v>
      </c>
      <c r="L8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0" s="31" t="str">
        <f>CONCATENATE(L870, IF('Input Sheet'!J872="",""," siderite in "))</f>
        <v/>
      </c>
      <c r="N8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0" s="31" t="str">
        <f>CONCATENATE(N870, IF('Input Sheet'!K872="",""," siderite in "))</f>
        <v/>
      </c>
    </row>
    <row r="871" spans="1:15" x14ac:dyDescent="0.35">
      <c r="A871" s="42" t="str">
        <f>IF('Input Sheet'!C873="","",CONCATENATE("Sample ", 'Input Sheet'!B873, "m: ", M871, G871, "% ", "Siltstone, ", O871, 'Input Sheet'!C873, "% ", I871, " Sandstone, ", K871, J871, " FLUOR in SST. ", "TG ", 'Input Sheet'!I873, "U"))</f>
        <v/>
      </c>
      <c r="B871" s="28" t="str">
        <f>IF('Input Sheet'!C873="","",CONCATENATE("Sample ", 'Input Sheet'!B873, "m: ", N871, H871, "% ", "Siltstone, ", P871, 'Input Sheet'!C873, "% ", J871, " Sandstone "))</f>
        <v/>
      </c>
      <c r="C871" s="28" t="str">
        <f>IF('Input Sheet'!C873="","",CONCATENATE("Sample ", 'Input Sheet'!B873, "m: ", M871,, K871, J871, " FLUOR in SST. ", "TG ", 'Input Sheet'!I873, "U"))</f>
        <v/>
      </c>
      <c r="G871" s="31" t="str">
        <f>IF('Input Sheet'!C873="","",100-'Input Sheet'!C873)</f>
        <v/>
      </c>
      <c r="H8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1" s="31" t="str">
        <f t="shared" si="13"/>
        <v/>
      </c>
      <c r="J8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1" s="31" t="str">
        <f>IF('Input Sheet'!F872=0, "NO",CONCATENATE('Input Sheet'!F872, IF('Input Sheet'!F872&gt;0,"% ","")))</f>
        <v>NO</v>
      </c>
      <c r="L8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1" s="31" t="str">
        <f>CONCATENATE(L871, IF('Input Sheet'!J873="",""," siderite in "))</f>
        <v/>
      </c>
      <c r="N8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1" s="31" t="str">
        <f>CONCATENATE(N871, IF('Input Sheet'!K873="",""," siderite in "))</f>
        <v/>
      </c>
    </row>
    <row r="872" spans="1:15" x14ac:dyDescent="0.35">
      <c r="A872" s="42" t="str">
        <f>IF('Input Sheet'!C874="","",CONCATENATE("Sample ", 'Input Sheet'!B874, "m: ", M872, G872, "% ", "Siltstone, ", O872, 'Input Sheet'!C874, "% ", I872, " Sandstone, ", K872, J872, " FLUOR in SST. ", "TG ", 'Input Sheet'!I874, "U"))</f>
        <v/>
      </c>
      <c r="B872" s="28" t="str">
        <f>IF('Input Sheet'!C874="","",CONCATENATE("Sample ", 'Input Sheet'!B874, "m: ", N872, H872, "% ", "Siltstone, ", P872, 'Input Sheet'!C874, "% ", J872, " Sandstone "))</f>
        <v/>
      </c>
      <c r="C872" s="28" t="str">
        <f>IF('Input Sheet'!C874="","",CONCATENATE("Sample ", 'Input Sheet'!B874, "m: ", M872,, K872, J872, " FLUOR in SST. ", "TG ", 'Input Sheet'!I874, "U"))</f>
        <v/>
      </c>
      <c r="G872" s="31" t="str">
        <f>IF('Input Sheet'!C874="","",100-'Input Sheet'!C874)</f>
        <v/>
      </c>
      <c r="H8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2" s="31" t="str">
        <f t="shared" si="13"/>
        <v/>
      </c>
      <c r="J8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2" s="31" t="str">
        <f>IF('Input Sheet'!F873=0, "NO",CONCATENATE('Input Sheet'!F873, IF('Input Sheet'!F873&gt;0,"% ","")))</f>
        <v>NO</v>
      </c>
      <c r="L8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2" s="31" t="str">
        <f>CONCATENATE(L872, IF('Input Sheet'!J874="",""," siderite in "))</f>
        <v/>
      </c>
      <c r="N8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2" s="31" t="str">
        <f>CONCATENATE(N872, IF('Input Sheet'!K874="",""," siderite in "))</f>
        <v/>
      </c>
    </row>
    <row r="873" spans="1:15" x14ac:dyDescent="0.35">
      <c r="A873" s="42" t="str">
        <f>IF('Input Sheet'!C875="","",CONCATENATE("Sample ", 'Input Sheet'!B875, "m: ", M873, G873, "% ", "Siltstone, ", O873, 'Input Sheet'!C875, "% ", I873, " Sandstone, ", K873, J873, " FLUOR in SST. ", "TG ", 'Input Sheet'!I875, "U"))</f>
        <v/>
      </c>
      <c r="B873" s="28" t="str">
        <f>IF('Input Sheet'!C875="","",CONCATENATE("Sample ", 'Input Sheet'!B875, "m: ", N873, H873, "% ", "Siltstone, ", P873, 'Input Sheet'!C875, "% ", J873, " Sandstone "))</f>
        <v/>
      </c>
      <c r="C873" s="28" t="str">
        <f>IF('Input Sheet'!C875="","",CONCATENATE("Sample ", 'Input Sheet'!B875, "m: ", M873,, K873, J873, " FLUOR in SST. ", "TG ", 'Input Sheet'!I875, "U"))</f>
        <v/>
      </c>
      <c r="G873" s="31" t="str">
        <f>IF('Input Sheet'!C875="","",100-'Input Sheet'!C875)</f>
        <v/>
      </c>
      <c r="H8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3" s="31" t="str">
        <f t="shared" si="13"/>
        <v/>
      </c>
      <c r="J8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3" s="31" t="str">
        <f>IF('Input Sheet'!F874=0, "NO",CONCATENATE('Input Sheet'!F874, IF('Input Sheet'!F874&gt;0,"% ","")))</f>
        <v>NO</v>
      </c>
      <c r="L8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3" s="31" t="str">
        <f>CONCATENATE(L873, IF('Input Sheet'!J875="",""," siderite in "))</f>
        <v/>
      </c>
      <c r="N8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3" s="31" t="str">
        <f>CONCATENATE(N873, IF('Input Sheet'!K875="",""," siderite in "))</f>
        <v/>
      </c>
    </row>
    <row r="874" spans="1:15" x14ac:dyDescent="0.35">
      <c r="A874" s="42" t="str">
        <f>IF('Input Sheet'!C876="","",CONCATENATE("Sample ", 'Input Sheet'!B876, "m: ", M874, G874, "% ", "Siltstone, ", O874, 'Input Sheet'!C876, "% ", I874, " Sandstone, ", K874, J874, " FLUOR in SST. ", "TG ", 'Input Sheet'!I876, "U"))</f>
        <v/>
      </c>
      <c r="B874" s="28" t="str">
        <f>IF('Input Sheet'!C876="","",CONCATENATE("Sample ", 'Input Sheet'!B876, "m: ", N874, H874, "% ", "Siltstone, ", P874, 'Input Sheet'!C876, "% ", J874, " Sandstone "))</f>
        <v/>
      </c>
      <c r="C874" s="28" t="str">
        <f>IF('Input Sheet'!C876="","",CONCATENATE("Sample ", 'Input Sheet'!B876, "m: ", M874,, K874, J874, " FLUOR in SST. ", "TG ", 'Input Sheet'!I876, "U"))</f>
        <v/>
      </c>
      <c r="G874" s="31" t="str">
        <f>IF('Input Sheet'!C876="","",100-'Input Sheet'!C876)</f>
        <v/>
      </c>
      <c r="H8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4" s="31" t="str">
        <f t="shared" si="13"/>
        <v/>
      </c>
      <c r="J8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4" s="31" t="str">
        <f>IF('Input Sheet'!F875=0, "NO",CONCATENATE('Input Sheet'!F875, IF('Input Sheet'!F875&gt;0,"% ","")))</f>
        <v>NO</v>
      </c>
      <c r="L8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4" s="31" t="str">
        <f>CONCATENATE(L874, IF('Input Sheet'!J876="",""," siderite in "))</f>
        <v/>
      </c>
      <c r="N8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4" s="31" t="str">
        <f>CONCATENATE(N874, IF('Input Sheet'!K876="",""," siderite in "))</f>
        <v/>
      </c>
    </row>
    <row r="875" spans="1:15" x14ac:dyDescent="0.35">
      <c r="A875" s="42" t="str">
        <f>IF('Input Sheet'!C877="","",CONCATENATE("Sample ", 'Input Sheet'!B877, "m: ", M875, G875, "% ", "Siltstone, ", O875, 'Input Sheet'!C877, "% ", I875, " Sandstone, ", K875, J875, " FLUOR in SST. ", "TG ", 'Input Sheet'!I877, "U"))</f>
        <v/>
      </c>
      <c r="B875" s="28" t="str">
        <f>IF('Input Sheet'!C877="","",CONCATENATE("Sample ", 'Input Sheet'!B877, "m: ", N875, H875, "% ", "Siltstone, ", P875, 'Input Sheet'!C877, "% ", J875, " Sandstone "))</f>
        <v/>
      </c>
      <c r="C875" s="28" t="str">
        <f>IF('Input Sheet'!C877="","",CONCATENATE("Sample ", 'Input Sheet'!B877, "m: ", M875,, K875, J875, " FLUOR in SST. ", "TG ", 'Input Sheet'!I877, "U"))</f>
        <v/>
      </c>
      <c r="G875" s="31" t="str">
        <f>IF('Input Sheet'!C877="","",100-'Input Sheet'!C877)</f>
        <v/>
      </c>
      <c r="H8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5" s="31" t="str">
        <f t="shared" si="13"/>
        <v/>
      </c>
      <c r="J8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5" s="31" t="str">
        <f>IF('Input Sheet'!F876=0, "NO",CONCATENATE('Input Sheet'!F876, IF('Input Sheet'!F876&gt;0,"% ","")))</f>
        <v>NO</v>
      </c>
      <c r="L8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5" s="31" t="str">
        <f>CONCATENATE(L875, IF('Input Sheet'!J877="",""," siderite in "))</f>
        <v/>
      </c>
      <c r="N8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5" s="31" t="str">
        <f>CONCATENATE(N875, IF('Input Sheet'!K877="",""," siderite in "))</f>
        <v/>
      </c>
    </row>
    <row r="876" spans="1:15" x14ac:dyDescent="0.35">
      <c r="A876" s="42" t="str">
        <f>IF('Input Sheet'!C878="","",CONCATENATE("Sample ", 'Input Sheet'!B878, "m: ", M876, G876, "% ", "Siltstone, ", O876, 'Input Sheet'!C878, "% ", I876, " Sandstone, ", K876, J876, " FLUOR in SST. ", "TG ", 'Input Sheet'!I878, "U"))</f>
        <v/>
      </c>
      <c r="B876" s="28" t="str">
        <f>IF('Input Sheet'!C878="","",CONCATENATE("Sample ", 'Input Sheet'!B878, "m: ", N876, H876, "% ", "Siltstone, ", P876, 'Input Sheet'!C878, "% ", J876, " Sandstone "))</f>
        <v/>
      </c>
      <c r="C876" s="28" t="str">
        <f>IF('Input Sheet'!C878="","",CONCATENATE("Sample ", 'Input Sheet'!B878, "m: ", M876,, K876, J876, " FLUOR in SST. ", "TG ", 'Input Sheet'!I878, "U"))</f>
        <v/>
      </c>
      <c r="G876" s="31" t="str">
        <f>IF('Input Sheet'!C878="","",100-'Input Sheet'!C878)</f>
        <v/>
      </c>
      <c r="H8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6" s="31" t="str">
        <f t="shared" si="13"/>
        <v/>
      </c>
      <c r="J8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6" s="31" t="str">
        <f>IF('Input Sheet'!F877=0, "NO",CONCATENATE('Input Sheet'!F877, IF('Input Sheet'!F877&gt;0,"% ","")))</f>
        <v>NO</v>
      </c>
      <c r="L8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6" s="31" t="str">
        <f>CONCATENATE(L876, IF('Input Sheet'!J878="",""," siderite in "))</f>
        <v/>
      </c>
      <c r="N8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6" s="31" t="str">
        <f>CONCATENATE(N876, IF('Input Sheet'!K878="",""," siderite in "))</f>
        <v/>
      </c>
    </row>
    <row r="877" spans="1:15" x14ac:dyDescent="0.35">
      <c r="A877" s="42" t="str">
        <f>IF('Input Sheet'!C879="","",CONCATENATE("Sample ", 'Input Sheet'!B879, "m: ", M877, G877, "% ", "Siltstone, ", O877, 'Input Sheet'!C879, "% ", I877, " Sandstone, ", K877, J877, " FLUOR in SST. ", "TG ", 'Input Sheet'!I879, "U"))</f>
        <v/>
      </c>
      <c r="B877" s="28" t="str">
        <f>IF('Input Sheet'!C879="","",CONCATENATE("Sample ", 'Input Sheet'!B879, "m: ", N877, H877, "% ", "Siltstone, ", P877, 'Input Sheet'!C879, "% ", J877, " Sandstone "))</f>
        <v/>
      </c>
      <c r="C877" s="28" t="str">
        <f>IF('Input Sheet'!C879="","",CONCATENATE("Sample ", 'Input Sheet'!B879, "m: ", M877,, K877, J877, " FLUOR in SST. ", "TG ", 'Input Sheet'!I879, "U"))</f>
        <v/>
      </c>
      <c r="G877" s="31" t="str">
        <f>IF('Input Sheet'!C879="","",100-'Input Sheet'!C879)</f>
        <v/>
      </c>
      <c r="H8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7" s="31" t="str">
        <f t="shared" si="13"/>
        <v/>
      </c>
      <c r="J8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7" s="31" t="str">
        <f>IF('Input Sheet'!F878=0, "NO",CONCATENATE('Input Sheet'!F878, IF('Input Sheet'!F878&gt;0,"% ","")))</f>
        <v>NO</v>
      </c>
      <c r="L8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7" s="31" t="str">
        <f>CONCATENATE(L877, IF('Input Sheet'!J879="",""," siderite in "))</f>
        <v/>
      </c>
      <c r="N8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7" s="31" t="str">
        <f>CONCATENATE(N877, IF('Input Sheet'!K879="",""," siderite in "))</f>
        <v/>
      </c>
    </row>
    <row r="878" spans="1:15" x14ac:dyDescent="0.35">
      <c r="A878" s="42" t="str">
        <f>IF('Input Sheet'!C880="","",CONCATENATE("Sample ", 'Input Sheet'!B880, "m: ", M878, G878, "% ", "Siltstone, ", O878, 'Input Sheet'!C880, "% ", I878, " Sandstone, ", K878, J878, " FLUOR in SST. ", "TG ", 'Input Sheet'!I880, "U"))</f>
        <v/>
      </c>
      <c r="B878" s="28" t="str">
        <f>IF('Input Sheet'!C880="","",CONCATENATE("Sample ", 'Input Sheet'!B880, "m: ", N878, H878, "% ", "Siltstone, ", P878, 'Input Sheet'!C880, "% ", J878, " Sandstone "))</f>
        <v/>
      </c>
      <c r="C878" s="28" t="str">
        <f>IF('Input Sheet'!C880="","",CONCATENATE("Sample ", 'Input Sheet'!B880, "m: ", M878,, K878, J878, " FLUOR in SST. ", "TG ", 'Input Sheet'!I880, "U"))</f>
        <v/>
      </c>
      <c r="G878" s="31" t="str">
        <f>IF('Input Sheet'!C880="","",100-'Input Sheet'!C880)</f>
        <v/>
      </c>
      <c r="H8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8" s="31" t="str">
        <f t="shared" si="13"/>
        <v/>
      </c>
      <c r="J8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8" s="31" t="str">
        <f>IF('Input Sheet'!F879=0, "NO",CONCATENATE('Input Sheet'!F879, IF('Input Sheet'!F879&gt;0,"% ","")))</f>
        <v>NO</v>
      </c>
      <c r="L8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8" s="31" t="str">
        <f>CONCATENATE(L878, IF('Input Sheet'!J880="",""," siderite in "))</f>
        <v/>
      </c>
      <c r="N8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8" s="31" t="str">
        <f>CONCATENATE(N878, IF('Input Sheet'!K880="",""," siderite in "))</f>
        <v/>
      </c>
    </row>
    <row r="879" spans="1:15" x14ac:dyDescent="0.35">
      <c r="A879" s="42" t="str">
        <f>IF('Input Sheet'!C881="","",CONCATENATE("Sample ", 'Input Sheet'!B881, "m: ", M879, G879, "% ", "Siltstone, ", O879, 'Input Sheet'!C881, "% ", I879, " Sandstone, ", K879, J879, " FLUOR in SST. ", "TG ", 'Input Sheet'!I881, "U"))</f>
        <v/>
      </c>
      <c r="B879" s="28" t="str">
        <f>IF('Input Sheet'!C881="","",CONCATENATE("Sample ", 'Input Sheet'!B881, "m: ", N879, H879, "% ", "Siltstone, ", P879, 'Input Sheet'!C881, "% ", J879, " Sandstone "))</f>
        <v/>
      </c>
      <c r="C879" s="28" t="str">
        <f>IF('Input Sheet'!C881="","",CONCATENATE("Sample ", 'Input Sheet'!B881, "m: ", M879,, K879, J879, " FLUOR in SST. ", "TG ", 'Input Sheet'!I881, "U"))</f>
        <v/>
      </c>
      <c r="G879" s="31" t="str">
        <f>IF('Input Sheet'!C881="","",100-'Input Sheet'!C881)</f>
        <v/>
      </c>
      <c r="H8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9" s="31" t="str">
        <f t="shared" si="13"/>
        <v/>
      </c>
      <c r="J8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9" s="31" t="str">
        <f>IF('Input Sheet'!F880=0, "NO",CONCATENATE('Input Sheet'!F880, IF('Input Sheet'!F880&gt;0,"% ","")))</f>
        <v>NO</v>
      </c>
      <c r="L8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9" s="31" t="str">
        <f>CONCATENATE(L879, IF('Input Sheet'!J881="",""," siderite in "))</f>
        <v/>
      </c>
      <c r="N8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9" s="31" t="str">
        <f>CONCATENATE(N879, IF('Input Sheet'!K881="",""," siderite in "))</f>
        <v/>
      </c>
    </row>
    <row r="880" spans="1:15" x14ac:dyDescent="0.35">
      <c r="A880" s="42" t="str">
        <f>IF('Input Sheet'!C882="","",CONCATENATE("Sample ", 'Input Sheet'!B882, "m: ", M880, G880, "% ", "Siltstone, ", O880, 'Input Sheet'!C882, "% ", I880, " Sandstone, ", K880, J880, " FLUOR in SST. ", "TG ", 'Input Sheet'!I882, "U"))</f>
        <v/>
      </c>
      <c r="B880" s="28" t="str">
        <f>IF('Input Sheet'!C882="","",CONCATENATE("Sample ", 'Input Sheet'!B882, "m: ", N880, H880, "% ", "Siltstone, ", P880, 'Input Sheet'!C882, "% ", J880, " Sandstone "))</f>
        <v/>
      </c>
      <c r="C880" s="28" t="str">
        <f>IF('Input Sheet'!C882="","",CONCATENATE("Sample ", 'Input Sheet'!B882, "m: ", M880,, K880, J880, " FLUOR in SST. ", "TG ", 'Input Sheet'!I882, "U"))</f>
        <v/>
      </c>
      <c r="G880" s="31" t="str">
        <f>IF('Input Sheet'!C882="","",100-'Input Sheet'!C882)</f>
        <v/>
      </c>
      <c r="H8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0" s="31" t="str">
        <f t="shared" si="13"/>
        <v/>
      </c>
      <c r="J8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0" s="31" t="str">
        <f>IF('Input Sheet'!F881=0, "NO",CONCATENATE('Input Sheet'!F881, IF('Input Sheet'!F881&gt;0,"% ","")))</f>
        <v>NO</v>
      </c>
      <c r="L8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0" s="31" t="str">
        <f>CONCATENATE(L880, IF('Input Sheet'!J882="",""," siderite in "))</f>
        <v/>
      </c>
      <c r="N8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0" s="31" t="str">
        <f>CONCATENATE(N880, IF('Input Sheet'!K882="",""," siderite in "))</f>
        <v/>
      </c>
    </row>
    <row r="881" spans="1:15" x14ac:dyDescent="0.35">
      <c r="A881" s="42" t="str">
        <f>IF('Input Sheet'!C883="","",CONCATENATE("Sample ", 'Input Sheet'!B883, "m: ", M881, G881, "% ", "Siltstone, ", O881, 'Input Sheet'!C883, "% ", I881, " Sandstone, ", K881, J881, " FLUOR in SST. ", "TG ", 'Input Sheet'!I883, "U"))</f>
        <v/>
      </c>
      <c r="B881" s="28" t="str">
        <f>IF('Input Sheet'!C883="","",CONCATENATE("Sample ", 'Input Sheet'!B883, "m: ", N881, H881, "% ", "Siltstone, ", P881, 'Input Sheet'!C883, "% ", J881, " Sandstone "))</f>
        <v/>
      </c>
      <c r="C881" s="28" t="str">
        <f>IF('Input Sheet'!C883="","",CONCATENATE("Sample ", 'Input Sheet'!B883, "m: ", M881,, K881, J881, " FLUOR in SST. ", "TG ", 'Input Sheet'!I883, "U"))</f>
        <v/>
      </c>
      <c r="G881" s="31" t="str">
        <f>IF('Input Sheet'!C883="","",100-'Input Sheet'!C883)</f>
        <v/>
      </c>
      <c r="H8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1" s="31" t="str">
        <f t="shared" si="13"/>
        <v/>
      </c>
      <c r="J8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1" s="31" t="str">
        <f>IF('Input Sheet'!F882=0, "NO",CONCATENATE('Input Sheet'!F882, IF('Input Sheet'!F882&gt;0,"% ","")))</f>
        <v>NO</v>
      </c>
      <c r="L8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1" s="31" t="str">
        <f>CONCATENATE(L881, IF('Input Sheet'!J883="",""," siderite in "))</f>
        <v/>
      </c>
      <c r="N8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1" s="31" t="str">
        <f>CONCATENATE(N881, IF('Input Sheet'!K883="",""," siderite in "))</f>
        <v/>
      </c>
    </row>
    <row r="882" spans="1:15" x14ac:dyDescent="0.35">
      <c r="A882" s="42" t="str">
        <f>IF('Input Sheet'!C884="","",CONCATENATE("Sample ", 'Input Sheet'!B884, "m: ", M882, G882, "% ", "Siltstone, ", O882, 'Input Sheet'!C884, "% ", I882, " Sandstone, ", K882, J882, " FLUOR in SST. ", "TG ", 'Input Sheet'!I884, "U"))</f>
        <v/>
      </c>
      <c r="B882" s="28" t="str">
        <f>IF('Input Sheet'!C884="","",CONCATENATE("Sample ", 'Input Sheet'!B884, "m: ", N882, H882, "% ", "Siltstone, ", P882, 'Input Sheet'!C884, "% ", J882, " Sandstone "))</f>
        <v/>
      </c>
      <c r="C882" s="28" t="str">
        <f>IF('Input Sheet'!C884="","",CONCATENATE("Sample ", 'Input Sheet'!B884, "m: ", M882,, K882, J882, " FLUOR in SST. ", "TG ", 'Input Sheet'!I884, "U"))</f>
        <v/>
      </c>
      <c r="G882" s="31" t="str">
        <f>IF('Input Sheet'!C884="","",100-'Input Sheet'!C884)</f>
        <v/>
      </c>
      <c r="H8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2" s="31" t="str">
        <f t="shared" si="13"/>
        <v/>
      </c>
      <c r="J8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2" s="31" t="str">
        <f>IF('Input Sheet'!F883=0, "NO",CONCATENATE('Input Sheet'!F883, IF('Input Sheet'!F883&gt;0,"% ","")))</f>
        <v>NO</v>
      </c>
      <c r="L8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2" s="31" t="str">
        <f>CONCATENATE(L882, IF('Input Sheet'!J884="",""," siderite in "))</f>
        <v/>
      </c>
      <c r="N8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2" s="31" t="str">
        <f>CONCATENATE(N882, IF('Input Sheet'!K884="",""," siderite in "))</f>
        <v/>
      </c>
    </row>
    <row r="883" spans="1:15" x14ac:dyDescent="0.35">
      <c r="A883" s="42" t="str">
        <f>IF('Input Sheet'!C885="","",CONCATENATE("Sample ", 'Input Sheet'!B885, "m: ", M883, G883, "% ", "Siltstone, ", O883, 'Input Sheet'!C885, "% ", I883, " Sandstone, ", K883, J883, " FLUOR in SST. ", "TG ", 'Input Sheet'!I885, "U"))</f>
        <v/>
      </c>
      <c r="B883" s="28" t="str">
        <f>IF('Input Sheet'!C885="","",CONCATENATE("Sample ", 'Input Sheet'!B885, "m: ", N883, H883, "% ", "Siltstone, ", P883, 'Input Sheet'!C885, "% ", J883, " Sandstone "))</f>
        <v/>
      </c>
      <c r="C883" s="28" t="str">
        <f>IF('Input Sheet'!C885="","",CONCATENATE("Sample ", 'Input Sheet'!B885, "m: ", M883,, K883, J883, " FLUOR in SST. ", "TG ", 'Input Sheet'!I885, "U"))</f>
        <v/>
      </c>
      <c r="G883" s="31" t="str">
        <f>IF('Input Sheet'!C885="","",100-'Input Sheet'!C885)</f>
        <v/>
      </c>
      <c r="H8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3" s="31" t="str">
        <f t="shared" si="13"/>
        <v/>
      </c>
      <c r="J8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3" s="31" t="str">
        <f>IF('Input Sheet'!F884=0, "NO",CONCATENATE('Input Sheet'!F884, IF('Input Sheet'!F884&gt;0,"% ","")))</f>
        <v>NO</v>
      </c>
      <c r="L8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3" s="31" t="str">
        <f>CONCATENATE(L883, IF('Input Sheet'!J885="",""," siderite in "))</f>
        <v/>
      </c>
      <c r="N8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3" s="31" t="str">
        <f>CONCATENATE(N883, IF('Input Sheet'!K885="",""," siderite in "))</f>
        <v/>
      </c>
    </row>
    <row r="884" spans="1:15" x14ac:dyDescent="0.35">
      <c r="A884" s="42" t="str">
        <f>IF('Input Sheet'!C886="","",CONCATENATE("Sample ", 'Input Sheet'!B886, "m: ", M884, G884, "% ", "Siltstone, ", O884, 'Input Sheet'!C886, "% ", I884, " Sandstone, ", K884, J884, " FLUOR in SST. ", "TG ", 'Input Sheet'!I886, "U"))</f>
        <v/>
      </c>
      <c r="B884" s="28" t="str">
        <f>IF('Input Sheet'!C886="","",CONCATENATE("Sample ", 'Input Sheet'!B886, "m: ", N884, H884, "% ", "Siltstone, ", P884, 'Input Sheet'!C886, "% ", J884, " Sandstone "))</f>
        <v/>
      </c>
      <c r="C884" s="28" t="str">
        <f>IF('Input Sheet'!C886="","",CONCATENATE("Sample ", 'Input Sheet'!B886, "m: ", M884,, K884, J884, " FLUOR in SST. ", "TG ", 'Input Sheet'!I886, "U"))</f>
        <v/>
      </c>
      <c r="G884" s="31" t="str">
        <f>IF('Input Sheet'!C886="","",100-'Input Sheet'!C886)</f>
        <v/>
      </c>
      <c r="H8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4" s="31" t="str">
        <f t="shared" si="13"/>
        <v/>
      </c>
      <c r="J8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4" s="31" t="str">
        <f>IF('Input Sheet'!F885=0, "NO",CONCATENATE('Input Sheet'!F885, IF('Input Sheet'!F885&gt;0,"% ","")))</f>
        <v>NO</v>
      </c>
      <c r="L8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4" s="31" t="str">
        <f>CONCATENATE(L884, IF('Input Sheet'!J886="",""," siderite in "))</f>
        <v/>
      </c>
      <c r="N8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4" s="31" t="str">
        <f>CONCATENATE(N884, IF('Input Sheet'!K886="",""," siderite in "))</f>
        <v/>
      </c>
    </row>
    <row r="885" spans="1:15" x14ac:dyDescent="0.35">
      <c r="A885" s="42" t="str">
        <f>IF('Input Sheet'!C887="","",CONCATENATE("Sample ", 'Input Sheet'!B887, "m: ", M885, G885, "% ", "Siltstone, ", O885, 'Input Sheet'!C887, "% ", I885, " Sandstone, ", K885, J885, " FLUOR in SST. ", "TG ", 'Input Sheet'!I887, "U"))</f>
        <v/>
      </c>
      <c r="B885" s="28" t="str">
        <f>IF('Input Sheet'!C887="","",CONCATENATE("Sample ", 'Input Sheet'!B887, "m: ", N885, H885, "% ", "Siltstone, ", P885, 'Input Sheet'!C887, "% ", J885, " Sandstone "))</f>
        <v/>
      </c>
      <c r="C885" s="28" t="str">
        <f>IF('Input Sheet'!C887="","",CONCATENATE("Sample ", 'Input Sheet'!B887, "m: ", M885,, K885, J885, " FLUOR in SST. ", "TG ", 'Input Sheet'!I887, "U"))</f>
        <v/>
      </c>
      <c r="G885" s="31" t="str">
        <f>IF('Input Sheet'!C887="","",100-'Input Sheet'!C887)</f>
        <v/>
      </c>
      <c r="H8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5" s="31" t="str">
        <f t="shared" si="13"/>
        <v/>
      </c>
      <c r="J8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5" s="31" t="str">
        <f>IF('Input Sheet'!F886=0, "NO",CONCATENATE('Input Sheet'!F886, IF('Input Sheet'!F886&gt;0,"% ","")))</f>
        <v>NO</v>
      </c>
      <c r="L8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5" s="31" t="str">
        <f>CONCATENATE(L885, IF('Input Sheet'!J887="",""," siderite in "))</f>
        <v/>
      </c>
      <c r="N8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5" s="31" t="str">
        <f>CONCATENATE(N885, IF('Input Sheet'!K887="",""," siderite in "))</f>
        <v/>
      </c>
    </row>
    <row r="886" spans="1:15" x14ac:dyDescent="0.35">
      <c r="A886" s="42" t="str">
        <f>IF('Input Sheet'!C888="","",CONCATENATE("Sample ", 'Input Sheet'!B888, "m: ", M886, G886, "% ", "Siltstone, ", O886, 'Input Sheet'!C888, "% ", I886, " Sandstone, ", K886, J886, " FLUOR in SST. ", "TG ", 'Input Sheet'!I888, "U"))</f>
        <v/>
      </c>
      <c r="B886" s="28" t="str">
        <f>IF('Input Sheet'!C888="","",CONCATENATE("Sample ", 'Input Sheet'!B888, "m: ", N886, H886, "% ", "Siltstone, ", P886, 'Input Sheet'!C888, "% ", J886, " Sandstone "))</f>
        <v/>
      </c>
      <c r="C886" s="28" t="str">
        <f>IF('Input Sheet'!C888="","",CONCATENATE("Sample ", 'Input Sheet'!B888, "m: ", M886,, K886, J886, " FLUOR in SST. ", "TG ", 'Input Sheet'!I888, "U"))</f>
        <v/>
      </c>
      <c r="G886" s="31" t="str">
        <f>IF('Input Sheet'!C888="","",100-'Input Sheet'!C888)</f>
        <v/>
      </c>
      <c r="H8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6" s="31" t="str">
        <f t="shared" si="13"/>
        <v/>
      </c>
      <c r="J8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6" s="31" t="str">
        <f>IF('Input Sheet'!F887=0, "NO",CONCATENATE('Input Sheet'!F887, IF('Input Sheet'!F887&gt;0,"% ","")))</f>
        <v>NO</v>
      </c>
      <c r="L8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6" s="31" t="str">
        <f>CONCATENATE(L886, IF('Input Sheet'!J888="",""," siderite in "))</f>
        <v/>
      </c>
      <c r="N8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6" s="31" t="str">
        <f>CONCATENATE(N886, IF('Input Sheet'!K888="",""," siderite in "))</f>
        <v/>
      </c>
    </row>
    <row r="887" spans="1:15" x14ac:dyDescent="0.35">
      <c r="A887" s="42" t="str">
        <f>IF('Input Sheet'!C889="","",CONCATENATE("Sample ", 'Input Sheet'!B889, "m: ", M887, G887, "% ", "Siltstone, ", O887, 'Input Sheet'!C889, "% ", I887, " Sandstone, ", K887, J887, " FLUOR in SST. ", "TG ", 'Input Sheet'!I889, "U"))</f>
        <v/>
      </c>
      <c r="B887" s="28" t="str">
        <f>IF('Input Sheet'!C889="","",CONCATENATE("Sample ", 'Input Sheet'!B889, "m: ", N887, H887, "% ", "Siltstone, ", P887, 'Input Sheet'!C889, "% ", J887, " Sandstone "))</f>
        <v/>
      </c>
      <c r="C887" s="28" t="str">
        <f>IF('Input Sheet'!C889="","",CONCATENATE("Sample ", 'Input Sheet'!B889, "m: ", M887,, K887, J887, " FLUOR in SST. ", "TG ", 'Input Sheet'!I889, "U"))</f>
        <v/>
      </c>
      <c r="G887" s="31" t="str">
        <f>IF('Input Sheet'!C889="","",100-'Input Sheet'!C889)</f>
        <v/>
      </c>
      <c r="H8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7" s="31" t="str">
        <f t="shared" si="13"/>
        <v/>
      </c>
      <c r="J8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7" s="31" t="str">
        <f>IF('Input Sheet'!F888=0, "NO",CONCATENATE('Input Sheet'!F888, IF('Input Sheet'!F888&gt;0,"% ","")))</f>
        <v>NO</v>
      </c>
      <c r="L8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7" s="31" t="str">
        <f>CONCATENATE(L887, IF('Input Sheet'!J889="",""," siderite in "))</f>
        <v/>
      </c>
      <c r="N8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7" s="31" t="str">
        <f>CONCATENATE(N887, IF('Input Sheet'!K889="",""," siderite in "))</f>
        <v/>
      </c>
    </row>
    <row r="888" spans="1:15" x14ac:dyDescent="0.35">
      <c r="A888" s="42" t="str">
        <f>IF('Input Sheet'!C890="","",CONCATENATE("Sample ", 'Input Sheet'!B890, "m: ", M888, G888, "% ", "Siltstone, ", O888, 'Input Sheet'!C890, "% ", I888, " Sandstone, ", K888, J888, " FLUOR in SST. ", "TG ", 'Input Sheet'!I890, "U"))</f>
        <v/>
      </c>
      <c r="B888" s="28" t="str">
        <f>IF('Input Sheet'!C890="","",CONCATENATE("Sample ", 'Input Sheet'!B890, "m: ", N888, H888, "% ", "Siltstone, ", P888, 'Input Sheet'!C890, "% ", J888, " Sandstone "))</f>
        <v/>
      </c>
      <c r="C888" s="28" t="str">
        <f>IF('Input Sheet'!C890="","",CONCATENATE("Sample ", 'Input Sheet'!B890, "m: ", M888,, K888, J888, " FLUOR in SST. ", "TG ", 'Input Sheet'!I890, "U"))</f>
        <v/>
      </c>
      <c r="G888" s="31" t="str">
        <f>IF('Input Sheet'!C890="","",100-'Input Sheet'!C890)</f>
        <v/>
      </c>
      <c r="H8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8" s="31" t="str">
        <f t="shared" si="13"/>
        <v/>
      </c>
      <c r="J8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8" s="31" t="str">
        <f>IF('Input Sheet'!F889=0, "NO",CONCATENATE('Input Sheet'!F889, IF('Input Sheet'!F889&gt;0,"% ","")))</f>
        <v>NO</v>
      </c>
      <c r="L8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8" s="31" t="str">
        <f>CONCATENATE(L888, IF('Input Sheet'!J890="",""," siderite in "))</f>
        <v/>
      </c>
      <c r="N8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8" s="31" t="str">
        <f>CONCATENATE(N888, IF('Input Sheet'!K890="",""," siderite in "))</f>
        <v/>
      </c>
    </row>
    <row r="889" spans="1:15" x14ac:dyDescent="0.35">
      <c r="A889" s="42" t="str">
        <f>IF('Input Sheet'!C891="","",CONCATENATE("Sample ", 'Input Sheet'!B891, "m: ", M889, G889, "% ", "Siltstone, ", O889, 'Input Sheet'!C891, "% ", I889, " Sandstone, ", K889, J889, " FLUOR in SST. ", "TG ", 'Input Sheet'!I891, "U"))</f>
        <v/>
      </c>
      <c r="B889" s="28" t="str">
        <f>IF('Input Sheet'!C891="","",CONCATENATE("Sample ", 'Input Sheet'!B891, "m: ", N889, H889, "% ", "Siltstone, ", P889, 'Input Sheet'!C891, "% ", J889, " Sandstone "))</f>
        <v/>
      </c>
      <c r="C889" s="28" t="str">
        <f>IF('Input Sheet'!C891="","",CONCATENATE("Sample ", 'Input Sheet'!B891, "m: ", M889,, K889, J889, " FLUOR in SST. ", "TG ", 'Input Sheet'!I891, "U"))</f>
        <v/>
      </c>
      <c r="G889" s="31" t="str">
        <f>IF('Input Sheet'!C891="","",100-'Input Sheet'!C891)</f>
        <v/>
      </c>
      <c r="H8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9" s="31" t="str">
        <f t="shared" si="13"/>
        <v/>
      </c>
      <c r="J8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9" s="31" t="str">
        <f>IF('Input Sheet'!F890=0, "NO",CONCATENATE('Input Sheet'!F890, IF('Input Sheet'!F890&gt;0,"% ","")))</f>
        <v>NO</v>
      </c>
      <c r="L8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9" s="31" t="str">
        <f>CONCATENATE(L889, IF('Input Sheet'!J891="",""," siderite in "))</f>
        <v/>
      </c>
      <c r="N8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9" s="31" t="str">
        <f>CONCATENATE(N889, IF('Input Sheet'!K891="",""," siderite in "))</f>
        <v/>
      </c>
    </row>
    <row r="890" spans="1:15" x14ac:dyDescent="0.35">
      <c r="A890" s="42" t="str">
        <f>IF('Input Sheet'!C892="","",CONCATENATE("Sample ", 'Input Sheet'!B892, "m: ", M890, G890, "% ", "Siltstone, ", O890, 'Input Sheet'!C892, "% ", I890, " Sandstone, ", K890, J890, " FLUOR in SST. ", "TG ", 'Input Sheet'!I892, "U"))</f>
        <v/>
      </c>
      <c r="B890" s="28" t="str">
        <f>IF('Input Sheet'!C892="","",CONCATENATE("Sample ", 'Input Sheet'!B892, "m: ", N890, H890, "% ", "Siltstone, ", P890, 'Input Sheet'!C892, "% ", J890, " Sandstone "))</f>
        <v/>
      </c>
      <c r="C890" s="28" t="str">
        <f>IF('Input Sheet'!C892="","",CONCATENATE("Sample ", 'Input Sheet'!B892, "m: ", M890,, K890, J890, " FLUOR in SST. ", "TG ", 'Input Sheet'!I892, "U"))</f>
        <v/>
      </c>
      <c r="G890" s="31" t="str">
        <f>IF('Input Sheet'!C892="","",100-'Input Sheet'!C892)</f>
        <v/>
      </c>
      <c r="H8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0" s="31" t="str">
        <f t="shared" si="13"/>
        <v/>
      </c>
      <c r="J8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0" s="31" t="str">
        <f>IF('Input Sheet'!F891=0, "NO",CONCATENATE('Input Sheet'!F891, IF('Input Sheet'!F891&gt;0,"% ","")))</f>
        <v>NO</v>
      </c>
      <c r="L8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0" s="31" t="str">
        <f>CONCATENATE(L890, IF('Input Sheet'!J892="",""," siderite in "))</f>
        <v/>
      </c>
      <c r="N8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0" s="31" t="str">
        <f>CONCATENATE(N890, IF('Input Sheet'!K892="",""," siderite in "))</f>
        <v/>
      </c>
    </row>
    <row r="891" spans="1:15" x14ac:dyDescent="0.35">
      <c r="A891" s="42" t="str">
        <f>IF('Input Sheet'!C893="","",CONCATENATE("Sample ", 'Input Sheet'!B893, "m: ", M891, G891, "% ", "Siltstone, ", O891, 'Input Sheet'!C893, "% ", I891, " Sandstone, ", K891, J891, " FLUOR in SST. ", "TG ", 'Input Sheet'!I893, "U"))</f>
        <v/>
      </c>
      <c r="B891" s="28" t="str">
        <f>IF('Input Sheet'!C893="","",CONCATENATE("Sample ", 'Input Sheet'!B893, "m: ", N891, H891, "% ", "Siltstone, ", P891, 'Input Sheet'!C893, "% ", J891, " Sandstone "))</f>
        <v/>
      </c>
      <c r="C891" s="28" t="str">
        <f>IF('Input Sheet'!C893="","",CONCATENATE("Sample ", 'Input Sheet'!B893, "m: ", M891,, K891, J891, " FLUOR in SST. ", "TG ", 'Input Sheet'!I893, "U"))</f>
        <v/>
      </c>
      <c r="G891" s="31" t="str">
        <f>IF('Input Sheet'!C893="","",100-'Input Sheet'!C893)</f>
        <v/>
      </c>
      <c r="H8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1" s="31" t="str">
        <f t="shared" si="13"/>
        <v/>
      </c>
      <c r="J8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1" s="31" t="str">
        <f>IF('Input Sheet'!F892=0, "NO",CONCATENATE('Input Sheet'!F892, IF('Input Sheet'!F892&gt;0,"% ","")))</f>
        <v>NO</v>
      </c>
      <c r="L8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1" s="31" t="str">
        <f>CONCATENATE(L891, IF('Input Sheet'!J893="",""," siderite in "))</f>
        <v/>
      </c>
      <c r="N8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1" s="31" t="str">
        <f>CONCATENATE(N891, IF('Input Sheet'!K893="",""," siderite in "))</f>
        <v/>
      </c>
    </row>
    <row r="892" spans="1:15" x14ac:dyDescent="0.35">
      <c r="A892" s="42" t="str">
        <f>IF('Input Sheet'!C894="","",CONCATENATE("Sample ", 'Input Sheet'!B894, "m: ", M892, G892, "% ", "Siltstone, ", O892, 'Input Sheet'!C894, "% ", I892, " Sandstone, ", K892, J892, " FLUOR in SST. ", "TG ", 'Input Sheet'!I894, "U"))</f>
        <v/>
      </c>
      <c r="B892" s="28" t="str">
        <f>IF('Input Sheet'!C894="","",CONCATENATE("Sample ", 'Input Sheet'!B894, "m: ", N892, H892, "% ", "Siltstone, ", P892, 'Input Sheet'!C894, "% ", J892, " Sandstone "))</f>
        <v/>
      </c>
      <c r="C892" s="28" t="str">
        <f>IF('Input Sheet'!C894="","",CONCATENATE("Sample ", 'Input Sheet'!B894, "m: ", M892,, K892, J892, " FLUOR in SST. ", "TG ", 'Input Sheet'!I894, "U"))</f>
        <v/>
      </c>
      <c r="G892" s="31" t="str">
        <f>IF('Input Sheet'!C894="","",100-'Input Sheet'!C894)</f>
        <v/>
      </c>
      <c r="H8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2" s="31" t="str">
        <f t="shared" si="13"/>
        <v/>
      </c>
      <c r="J8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2" s="31" t="str">
        <f>IF('Input Sheet'!F893=0, "NO",CONCATENATE('Input Sheet'!F893, IF('Input Sheet'!F893&gt;0,"% ","")))</f>
        <v>NO</v>
      </c>
      <c r="L8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2" s="31" t="str">
        <f>CONCATENATE(L892, IF('Input Sheet'!J894="",""," siderite in "))</f>
        <v/>
      </c>
      <c r="N8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2" s="31" t="str">
        <f>CONCATENATE(N892, IF('Input Sheet'!K894="",""," siderite in "))</f>
        <v/>
      </c>
    </row>
    <row r="893" spans="1:15" x14ac:dyDescent="0.35">
      <c r="A893" s="42" t="str">
        <f>IF('Input Sheet'!C895="","",CONCATENATE("Sample ", 'Input Sheet'!B895, "m: ", M893, G893, "% ", "Siltstone, ", O893, 'Input Sheet'!C895, "% ", I893, " Sandstone, ", K893, J893, " FLUOR in SST. ", "TG ", 'Input Sheet'!I895, "U"))</f>
        <v/>
      </c>
      <c r="B893" s="28" t="str">
        <f>IF('Input Sheet'!C895="","",CONCATENATE("Sample ", 'Input Sheet'!B895, "m: ", N893, H893, "% ", "Siltstone, ", P893, 'Input Sheet'!C895, "% ", J893, " Sandstone "))</f>
        <v/>
      </c>
      <c r="C893" s="28" t="str">
        <f>IF('Input Sheet'!C895="","",CONCATENATE("Sample ", 'Input Sheet'!B895, "m: ", M893,, K893, J893, " FLUOR in SST. ", "TG ", 'Input Sheet'!I895, "U"))</f>
        <v/>
      </c>
      <c r="G893" s="31" t="str">
        <f>IF('Input Sheet'!C895="","",100-'Input Sheet'!C895)</f>
        <v/>
      </c>
      <c r="H8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3" s="31" t="str">
        <f t="shared" si="13"/>
        <v/>
      </c>
      <c r="J8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3" s="31" t="str">
        <f>IF('Input Sheet'!F894=0, "NO",CONCATENATE('Input Sheet'!F894, IF('Input Sheet'!F894&gt;0,"% ","")))</f>
        <v>NO</v>
      </c>
      <c r="L8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3" s="31" t="str">
        <f>CONCATENATE(L893, IF('Input Sheet'!J895="",""," siderite in "))</f>
        <v/>
      </c>
      <c r="N8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3" s="31" t="str">
        <f>CONCATENATE(N893, IF('Input Sheet'!K895="",""," siderite in "))</f>
        <v/>
      </c>
    </row>
    <row r="894" spans="1:15" x14ac:dyDescent="0.35">
      <c r="A894" s="42" t="str">
        <f>IF('Input Sheet'!C896="","",CONCATENATE("Sample ", 'Input Sheet'!B896, "m: ", M894, G894, "% ", "Siltstone, ", O894, 'Input Sheet'!C896, "% ", I894, " Sandstone, ", K894, J894, " FLUOR in SST. ", "TG ", 'Input Sheet'!I896, "U"))</f>
        <v/>
      </c>
      <c r="B894" s="28" t="str">
        <f>IF('Input Sheet'!C896="","",CONCATENATE("Sample ", 'Input Sheet'!B896, "m: ", N894, H894, "% ", "Siltstone, ", P894, 'Input Sheet'!C896, "% ", J894, " Sandstone "))</f>
        <v/>
      </c>
      <c r="C894" s="28" t="str">
        <f>IF('Input Sheet'!C896="","",CONCATENATE("Sample ", 'Input Sheet'!B896, "m: ", M894,, K894, J894, " FLUOR in SST. ", "TG ", 'Input Sheet'!I896, "U"))</f>
        <v/>
      </c>
      <c r="G894" s="31" t="str">
        <f>IF('Input Sheet'!C896="","",100-'Input Sheet'!C896)</f>
        <v/>
      </c>
      <c r="H8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4" s="31" t="str">
        <f t="shared" si="13"/>
        <v/>
      </c>
      <c r="J8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4" s="31" t="str">
        <f>IF('Input Sheet'!F895=0, "NO",CONCATENATE('Input Sheet'!F895, IF('Input Sheet'!F895&gt;0,"% ","")))</f>
        <v>NO</v>
      </c>
      <c r="L8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4" s="31" t="str">
        <f>CONCATENATE(L894, IF('Input Sheet'!J896="",""," siderite in "))</f>
        <v/>
      </c>
      <c r="N8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4" s="31" t="str">
        <f>CONCATENATE(N894, IF('Input Sheet'!K896="",""," siderite in "))</f>
        <v/>
      </c>
    </row>
    <row r="895" spans="1:15" x14ac:dyDescent="0.35">
      <c r="A895" s="42" t="str">
        <f>IF('Input Sheet'!C897="","",CONCATENATE("Sample ", 'Input Sheet'!B897, "m: ", M895, G895, "% ", "Siltstone, ", O895, 'Input Sheet'!C897, "% ", I895, " Sandstone, ", K895, J895, " FLUOR in SST. ", "TG ", 'Input Sheet'!I897, "U"))</f>
        <v/>
      </c>
      <c r="B895" s="28" t="str">
        <f>IF('Input Sheet'!C897="","",CONCATENATE("Sample ", 'Input Sheet'!B897, "m: ", N895, H895, "% ", "Siltstone, ", P895, 'Input Sheet'!C897, "% ", J895, " Sandstone "))</f>
        <v/>
      </c>
      <c r="C895" s="28" t="str">
        <f>IF('Input Sheet'!C897="","",CONCATENATE("Sample ", 'Input Sheet'!B897, "m: ", M895,, K895, J895, " FLUOR in SST. ", "TG ", 'Input Sheet'!I897, "U"))</f>
        <v/>
      </c>
      <c r="G895" s="31" t="str">
        <f>IF('Input Sheet'!C897="","",100-'Input Sheet'!C897)</f>
        <v/>
      </c>
      <c r="H8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5" s="31" t="str">
        <f t="shared" si="13"/>
        <v/>
      </c>
      <c r="J8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5" s="31" t="str">
        <f>IF('Input Sheet'!F896=0, "NO",CONCATENATE('Input Sheet'!F896, IF('Input Sheet'!F896&gt;0,"% ","")))</f>
        <v>NO</v>
      </c>
      <c r="L8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5" s="31" t="str">
        <f>CONCATENATE(L895, IF('Input Sheet'!J897="",""," siderite in "))</f>
        <v/>
      </c>
      <c r="N8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5" s="31" t="str">
        <f>CONCATENATE(N895, IF('Input Sheet'!K897="",""," siderite in "))</f>
        <v/>
      </c>
    </row>
    <row r="896" spans="1:15" x14ac:dyDescent="0.35">
      <c r="A896" s="42" t="str">
        <f>IF('Input Sheet'!C898="","",CONCATENATE("Sample ", 'Input Sheet'!B898, "m: ", M896, G896, "% ", "Siltstone, ", O896, 'Input Sheet'!C898, "% ", I896, " Sandstone, ", K896, J896, " FLUOR in SST. ", "TG ", 'Input Sheet'!I898, "U"))</f>
        <v/>
      </c>
      <c r="B896" s="28" t="str">
        <f>IF('Input Sheet'!C898="","",CONCATENATE("Sample ", 'Input Sheet'!B898, "m: ", N896, H896, "% ", "Siltstone, ", P896, 'Input Sheet'!C898, "% ", J896, " Sandstone "))</f>
        <v/>
      </c>
      <c r="C896" s="28" t="str">
        <f>IF('Input Sheet'!C898="","",CONCATENATE("Sample ", 'Input Sheet'!B898, "m: ", M896,, K896, J896, " FLUOR in SST. ", "TG ", 'Input Sheet'!I898, "U"))</f>
        <v/>
      </c>
      <c r="G896" s="31" t="str">
        <f>IF('Input Sheet'!C898="","",100-'Input Sheet'!C898)</f>
        <v/>
      </c>
      <c r="H8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6" s="31" t="str">
        <f t="shared" si="13"/>
        <v/>
      </c>
      <c r="J8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6" s="31" t="str">
        <f>IF('Input Sheet'!F897=0, "NO",CONCATENATE('Input Sheet'!F897, IF('Input Sheet'!F897&gt;0,"% ","")))</f>
        <v>NO</v>
      </c>
      <c r="L8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6" s="31" t="str">
        <f>CONCATENATE(L896, IF('Input Sheet'!J898="",""," siderite in "))</f>
        <v/>
      </c>
      <c r="N8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6" s="31" t="str">
        <f>CONCATENATE(N896, IF('Input Sheet'!K898="",""," siderite in "))</f>
        <v/>
      </c>
    </row>
    <row r="897" spans="1:15" x14ac:dyDescent="0.35">
      <c r="A897" s="42" t="str">
        <f>IF('Input Sheet'!C899="","",CONCATENATE("Sample ", 'Input Sheet'!B899, "m: ", M897, G897, "% ", "Siltstone, ", O897, 'Input Sheet'!C899, "% ", I897, " Sandstone, ", K897, J897, " FLUOR in SST. ", "TG ", 'Input Sheet'!I899, "U"))</f>
        <v/>
      </c>
      <c r="B897" s="28" t="str">
        <f>IF('Input Sheet'!C899="","",CONCATENATE("Sample ", 'Input Sheet'!B899, "m: ", N897, H897, "% ", "Siltstone, ", P897, 'Input Sheet'!C899, "% ", J897, " Sandstone "))</f>
        <v/>
      </c>
      <c r="C897" s="28" t="str">
        <f>IF('Input Sheet'!C899="","",CONCATENATE("Sample ", 'Input Sheet'!B899, "m: ", M897,, K897, J897, " FLUOR in SST. ", "TG ", 'Input Sheet'!I899, "U"))</f>
        <v/>
      </c>
      <c r="G897" s="31" t="str">
        <f>IF('Input Sheet'!C899="","",100-'Input Sheet'!C899)</f>
        <v/>
      </c>
      <c r="H8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7" s="31" t="str">
        <f t="shared" si="13"/>
        <v/>
      </c>
      <c r="J8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7" s="31" t="str">
        <f>IF('Input Sheet'!F898=0, "NO",CONCATENATE('Input Sheet'!F898, IF('Input Sheet'!F898&gt;0,"% ","")))</f>
        <v>NO</v>
      </c>
      <c r="L8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7" s="31" t="str">
        <f>CONCATENATE(L897, IF('Input Sheet'!J899="",""," siderite in "))</f>
        <v/>
      </c>
      <c r="N8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7" s="31" t="str">
        <f>CONCATENATE(N897, IF('Input Sheet'!K899="",""," siderite in "))</f>
        <v/>
      </c>
    </row>
    <row r="898" spans="1:15" x14ac:dyDescent="0.35">
      <c r="A898" s="42" t="str">
        <f>IF('Input Sheet'!C900="","",CONCATENATE("Sample ", 'Input Sheet'!B900, "m: ", M898, G898, "% ", "Siltstone, ", O898, 'Input Sheet'!C900, "% ", I898, " Sandstone, ", K898, J898, " FLUOR in SST. ", "TG ", 'Input Sheet'!I900, "U"))</f>
        <v/>
      </c>
      <c r="B898" s="28" t="str">
        <f>IF('Input Sheet'!C900="","",CONCATENATE("Sample ", 'Input Sheet'!B900, "m: ", N898, H898, "% ", "Siltstone, ", P898, 'Input Sheet'!C900, "% ", J898, " Sandstone "))</f>
        <v/>
      </c>
      <c r="C898" s="28" t="str">
        <f>IF('Input Sheet'!C900="","",CONCATENATE("Sample ", 'Input Sheet'!B900, "m: ", M898,, K898, J898, " FLUOR in SST. ", "TG ", 'Input Sheet'!I900, "U"))</f>
        <v/>
      </c>
      <c r="G898" s="31" t="str">
        <f>IF('Input Sheet'!C900="","",100-'Input Sheet'!C900)</f>
        <v/>
      </c>
      <c r="H8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8" s="31" t="str">
        <f t="shared" ref="I898:I961" si="14">SUBSTITUTE(H898, "veryfine", "very fine")</f>
        <v/>
      </c>
      <c r="J8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8" s="31" t="str">
        <f>IF('Input Sheet'!F899=0, "NO",CONCATENATE('Input Sheet'!F899, IF('Input Sheet'!F899&gt;0,"% ","")))</f>
        <v>NO</v>
      </c>
      <c r="L8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8" s="31" t="str">
        <f>CONCATENATE(L898, IF('Input Sheet'!J900="",""," siderite in "))</f>
        <v/>
      </c>
      <c r="N8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8" s="31" t="str">
        <f>CONCATENATE(N898, IF('Input Sheet'!K900="",""," siderite in "))</f>
        <v/>
      </c>
    </row>
    <row r="899" spans="1:15" x14ac:dyDescent="0.35">
      <c r="A899" s="42" t="str">
        <f>IF('Input Sheet'!C901="","",CONCATENATE("Sample ", 'Input Sheet'!B901, "m: ", M899, G899, "% ", "Siltstone, ", O899, 'Input Sheet'!C901, "% ", I899, " Sandstone, ", K899, J899, " FLUOR in SST. ", "TG ", 'Input Sheet'!I901, "U"))</f>
        <v/>
      </c>
      <c r="B899" s="28" t="str">
        <f>IF('Input Sheet'!C901="","",CONCATENATE("Sample ", 'Input Sheet'!B901, "m: ", N899, H899, "% ", "Siltstone, ", P899, 'Input Sheet'!C901, "% ", J899, " Sandstone "))</f>
        <v/>
      </c>
      <c r="C899" s="28" t="str">
        <f>IF('Input Sheet'!C901="","",CONCATENATE("Sample ", 'Input Sheet'!B901, "m: ", M899,, K899, J899, " FLUOR in SST. ", "TG ", 'Input Sheet'!I901, "U"))</f>
        <v/>
      </c>
      <c r="G899" s="31" t="str">
        <f>IF('Input Sheet'!C901="","",100-'Input Sheet'!C901)</f>
        <v/>
      </c>
      <c r="H8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9" s="31" t="str">
        <f t="shared" si="14"/>
        <v/>
      </c>
      <c r="J8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9" s="31" t="str">
        <f>IF('Input Sheet'!F900=0, "NO",CONCATENATE('Input Sheet'!F900, IF('Input Sheet'!F900&gt;0,"% ","")))</f>
        <v>NO</v>
      </c>
      <c r="L8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9" s="31" t="str">
        <f>CONCATENATE(L899, IF('Input Sheet'!J901="",""," siderite in "))</f>
        <v/>
      </c>
      <c r="N8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9" s="31" t="str">
        <f>CONCATENATE(N899, IF('Input Sheet'!K901="",""," siderite in "))</f>
        <v/>
      </c>
    </row>
    <row r="900" spans="1:15" x14ac:dyDescent="0.35">
      <c r="A900" s="42" t="str">
        <f>IF('Input Sheet'!C902="","",CONCATENATE("Sample ", 'Input Sheet'!B902, "m: ", M900, G900, "% ", "Siltstone, ", O900, 'Input Sheet'!C902, "% ", I900, " Sandstone, ", K900, J900, " FLUOR in SST. ", "TG ", 'Input Sheet'!I902, "U"))</f>
        <v/>
      </c>
      <c r="B900" s="28" t="str">
        <f>IF('Input Sheet'!C902="","",CONCATENATE("Sample ", 'Input Sheet'!B902, "m: ", N900, H900, "% ", "Siltstone, ", P900, 'Input Sheet'!C902, "% ", J900, " Sandstone "))</f>
        <v/>
      </c>
      <c r="C900" s="28" t="str">
        <f>IF('Input Sheet'!C902="","",CONCATENATE("Sample ", 'Input Sheet'!B902, "m: ", M900,, K900, J900, " FLUOR in SST. ", "TG ", 'Input Sheet'!I902, "U"))</f>
        <v/>
      </c>
      <c r="G900" s="31" t="str">
        <f>IF('Input Sheet'!C902="","",100-'Input Sheet'!C902)</f>
        <v/>
      </c>
      <c r="H9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0" s="31" t="str">
        <f t="shared" si="14"/>
        <v/>
      </c>
      <c r="J9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0" s="31" t="str">
        <f>IF('Input Sheet'!F901=0, "NO",CONCATENATE('Input Sheet'!F901, IF('Input Sheet'!F901&gt;0,"% ","")))</f>
        <v>NO</v>
      </c>
      <c r="L9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0" s="31" t="str">
        <f>CONCATENATE(L900, IF('Input Sheet'!J902="",""," siderite in "))</f>
        <v/>
      </c>
      <c r="N90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0" s="31" t="str">
        <f>CONCATENATE(N900, IF('Input Sheet'!K902="",""," siderite in "))</f>
        <v/>
      </c>
    </row>
    <row r="901" spans="1:15" x14ac:dyDescent="0.35">
      <c r="A901" s="42" t="str">
        <f>IF('Input Sheet'!C903="","",CONCATENATE("Sample ", 'Input Sheet'!B903, "m: ", M901, G901, "% ", "Siltstone, ", O901, 'Input Sheet'!C903, "% ", I901, " Sandstone, ", K901, J901, " FLUOR in SST. ", "TG ", 'Input Sheet'!I903, "U"))</f>
        <v/>
      </c>
      <c r="B901" s="28" t="str">
        <f>IF('Input Sheet'!C903="","",CONCATENATE("Sample ", 'Input Sheet'!B903, "m: ", N901, H901, "% ", "Siltstone, ", P901, 'Input Sheet'!C903, "% ", J901, " Sandstone "))</f>
        <v/>
      </c>
      <c r="C901" s="28" t="str">
        <f>IF('Input Sheet'!C903="","",CONCATENATE("Sample ", 'Input Sheet'!B903, "m: ", M901,, K901, J901, " FLUOR in SST. ", "TG ", 'Input Sheet'!I903, "U"))</f>
        <v/>
      </c>
      <c r="G901" s="31" t="str">
        <f>IF('Input Sheet'!C903="","",100-'Input Sheet'!C903)</f>
        <v/>
      </c>
      <c r="H9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1" s="31" t="str">
        <f t="shared" si="14"/>
        <v/>
      </c>
      <c r="J9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1" s="31" t="str">
        <f>IF('Input Sheet'!F902=0, "NO",CONCATENATE('Input Sheet'!F902, IF('Input Sheet'!F902&gt;0,"% ","")))</f>
        <v>NO</v>
      </c>
      <c r="L9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1" s="31" t="str">
        <f>CONCATENATE(L901, IF('Input Sheet'!J903="",""," siderite in "))</f>
        <v/>
      </c>
      <c r="N90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1" s="31" t="str">
        <f>CONCATENATE(N901, IF('Input Sheet'!K903="",""," siderite in "))</f>
        <v/>
      </c>
    </row>
    <row r="902" spans="1:15" x14ac:dyDescent="0.35">
      <c r="A902" s="42" t="str">
        <f>IF('Input Sheet'!C904="","",CONCATENATE("Sample ", 'Input Sheet'!B904, "m: ", M902, G902, "% ", "Siltstone, ", O902, 'Input Sheet'!C904, "% ", I902, " Sandstone, ", K902, J902, " FLUOR in SST. ", "TG ", 'Input Sheet'!I904, "U"))</f>
        <v/>
      </c>
      <c r="B902" s="28" t="str">
        <f>IF('Input Sheet'!C904="","",CONCATENATE("Sample ", 'Input Sheet'!B904, "m: ", N902, H902, "% ", "Siltstone, ", P902, 'Input Sheet'!C904, "% ", J902, " Sandstone "))</f>
        <v/>
      </c>
      <c r="C902" s="28" t="str">
        <f>IF('Input Sheet'!C904="","",CONCATENATE("Sample ", 'Input Sheet'!B904, "m: ", M902,, K902, J902, " FLUOR in SST. ", "TG ", 'Input Sheet'!I904, "U"))</f>
        <v/>
      </c>
      <c r="G902" s="31" t="str">
        <f>IF('Input Sheet'!C904="","",100-'Input Sheet'!C904)</f>
        <v/>
      </c>
      <c r="H9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2" s="31" t="str">
        <f t="shared" si="14"/>
        <v/>
      </c>
      <c r="J9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2" s="31" t="str">
        <f>IF('Input Sheet'!F903=0, "NO",CONCATENATE('Input Sheet'!F903, IF('Input Sheet'!F903&gt;0,"% ","")))</f>
        <v>NO</v>
      </c>
      <c r="L9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2" s="31" t="str">
        <f>CONCATENATE(L902, IF('Input Sheet'!J904="",""," siderite in "))</f>
        <v/>
      </c>
      <c r="N90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2" s="31" t="str">
        <f>CONCATENATE(N902, IF('Input Sheet'!K904="",""," siderite in "))</f>
        <v/>
      </c>
    </row>
    <row r="903" spans="1:15" x14ac:dyDescent="0.35">
      <c r="A903" s="42" t="str">
        <f>IF('Input Sheet'!C905="","",CONCATENATE("Sample ", 'Input Sheet'!B905, "m: ", M903, G903, "% ", "Siltstone, ", O903, 'Input Sheet'!C905, "% ", I903, " Sandstone, ", K903, J903, " FLUOR in SST. ", "TG ", 'Input Sheet'!I905, "U"))</f>
        <v/>
      </c>
      <c r="B903" s="28" t="str">
        <f>IF('Input Sheet'!C905="","",CONCATENATE("Sample ", 'Input Sheet'!B905, "m: ", N903, H903, "% ", "Siltstone, ", P903, 'Input Sheet'!C905, "% ", J903, " Sandstone "))</f>
        <v/>
      </c>
      <c r="C903" s="28" t="str">
        <f>IF('Input Sheet'!C905="","",CONCATENATE("Sample ", 'Input Sheet'!B905, "m: ", M903,, K903, J903, " FLUOR in SST. ", "TG ", 'Input Sheet'!I905, "U"))</f>
        <v/>
      </c>
      <c r="G903" s="31" t="str">
        <f>IF('Input Sheet'!C905="","",100-'Input Sheet'!C905)</f>
        <v/>
      </c>
      <c r="H9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3" s="31" t="str">
        <f t="shared" si="14"/>
        <v/>
      </c>
      <c r="J9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3" s="31" t="str">
        <f>IF('Input Sheet'!F904=0, "NO",CONCATENATE('Input Sheet'!F904, IF('Input Sheet'!F904&gt;0,"% ","")))</f>
        <v>NO</v>
      </c>
      <c r="L9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3" s="31" t="str">
        <f>CONCATENATE(L903, IF('Input Sheet'!J905="",""," siderite in "))</f>
        <v/>
      </c>
      <c r="N90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3" s="31" t="str">
        <f>CONCATENATE(N903, IF('Input Sheet'!K905="",""," siderite in "))</f>
        <v/>
      </c>
    </row>
    <row r="904" spans="1:15" x14ac:dyDescent="0.35">
      <c r="A904" s="42" t="str">
        <f>IF('Input Sheet'!C906="","",CONCATENATE("Sample ", 'Input Sheet'!B906, "m: ", M904, G904, "% ", "Siltstone, ", O904, 'Input Sheet'!C906, "% ", I904, " Sandstone, ", K904, J904, " FLUOR in SST. ", "TG ", 'Input Sheet'!I906, "U"))</f>
        <v/>
      </c>
      <c r="B904" s="28" t="str">
        <f>IF('Input Sheet'!C906="","",CONCATENATE("Sample ", 'Input Sheet'!B906, "m: ", N904, H904, "% ", "Siltstone, ", P904, 'Input Sheet'!C906, "% ", J904, " Sandstone "))</f>
        <v/>
      </c>
      <c r="C904" s="28" t="str">
        <f>IF('Input Sheet'!C906="","",CONCATENATE("Sample ", 'Input Sheet'!B906, "m: ", M904,, K904, J904, " FLUOR in SST. ", "TG ", 'Input Sheet'!I906, "U"))</f>
        <v/>
      </c>
      <c r="G904" s="31" t="str">
        <f>IF('Input Sheet'!C906="","",100-'Input Sheet'!C906)</f>
        <v/>
      </c>
      <c r="H9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4" s="31" t="str">
        <f t="shared" si="14"/>
        <v/>
      </c>
      <c r="J9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4" s="31" t="str">
        <f>IF('Input Sheet'!F905=0, "NO",CONCATENATE('Input Sheet'!F905, IF('Input Sheet'!F905&gt;0,"% ","")))</f>
        <v>NO</v>
      </c>
      <c r="L9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4" s="31" t="str">
        <f>CONCATENATE(L904, IF('Input Sheet'!J906="",""," siderite in "))</f>
        <v/>
      </c>
      <c r="N90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4" s="31" t="str">
        <f>CONCATENATE(N904, IF('Input Sheet'!K906="",""," siderite in "))</f>
        <v/>
      </c>
    </row>
    <row r="905" spans="1:15" x14ac:dyDescent="0.35">
      <c r="A905" s="42" t="str">
        <f>IF('Input Sheet'!C907="","",CONCATENATE("Sample ", 'Input Sheet'!B907, "m: ", M905, G905, "% ", "Siltstone, ", O905, 'Input Sheet'!C907, "% ", I905, " Sandstone, ", K905, J905, " FLUOR in SST. ", "TG ", 'Input Sheet'!I907, "U"))</f>
        <v/>
      </c>
      <c r="B905" s="28" t="str">
        <f>IF('Input Sheet'!C907="","",CONCATENATE("Sample ", 'Input Sheet'!B907, "m: ", N905, H905, "% ", "Siltstone, ", P905, 'Input Sheet'!C907, "% ", J905, " Sandstone "))</f>
        <v/>
      </c>
      <c r="C905" s="28" t="str">
        <f>IF('Input Sheet'!C907="","",CONCATENATE("Sample ", 'Input Sheet'!B907, "m: ", M905,, K905, J905, " FLUOR in SST. ", "TG ", 'Input Sheet'!I907, "U"))</f>
        <v/>
      </c>
      <c r="G905" s="31" t="str">
        <f>IF('Input Sheet'!C907="","",100-'Input Sheet'!C907)</f>
        <v/>
      </c>
      <c r="H9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5" s="31" t="str">
        <f t="shared" si="14"/>
        <v/>
      </c>
      <c r="J9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5" s="31" t="str">
        <f>IF('Input Sheet'!F906=0, "NO",CONCATENATE('Input Sheet'!F906, IF('Input Sheet'!F906&gt;0,"% ","")))</f>
        <v>NO</v>
      </c>
      <c r="L9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5" s="31" t="str">
        <f>CONCATENATE(L905, IF('Input Sheet'!J907="",""," siderite in "))</f>
        <v/>
      </c>
      <c r="N90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5" s="31" t="str">
        <f>CONCATENATE(N905, IF('Input Sheet'!K907="",""," siderite in "))</f>
        <v/>
      </c>
    </row>
    <row r="906" spans="1:15" x14ac:dyDescent="0.35">
      <c r="A906" s="42" t="str">
        <f>IF('Input Sheet'!C908="","",CONCATENATE("Sample ", 'Input Sheet'!B908, "m: ", M906, G906, "% ", "Siltstone, ", O906, 'Input Sheet'!C908, "% ", I906, " Sandstone, ", K906, J906, " FLUOR in SST. ", "TG ", 'Input Sheet'!I908, "U"))</f>
        <v/>
      </c>
      <c r="B906" s="28" t="str">
        <f>IF('Input Sheet'!C908="","",CONCATENATE("Sample ", 'Input Sheet'!B908, "m: ", N906, H906, "% ", "Siltstone, ", P906, 'Input Sheet'!C908, "% ", J906, " Sandstone "))</f>
        <v/>
      </c>
      <c r="C906" s="28" t="str">
        <f>IF('Input Sheet'!C908="","",CONCATENATE("Sample ", 'Input Sheet'!B908, "m: ", M906,, K906, J906, " FLUOR in SST. ", "TG ", 'Input Sheet'!I908, "U"))</f>
        <v/>
      </c>
      <c r="G906" s="31" t="str">
        <f>IF('Input Sheet'!C908="","",100-'Input Sheet'!C908)</f>
        <v/>
      </c>
      <c r="H9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6" s="31" t="str">
        <f t="shared" si="14"/>
        <v/>
      </c>
      <c r="J9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6" s="31" t="str">
        <f>IF('Input Sheet'!F907=0, "NO",CONCATENATE('Input Sheet'!F907, IF('Input Sheet'!F907&gt;0,"% ","")))</f>
        <v>NO</v>
      </c>
      <c r="L9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6" s="31" t="str">
        <f>CONCATENATE(L906, IF('Input Sheet'!J908="",""," siderite in "))</f>
        <v/>
      </c>
      <c r="N90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6" s="31" t="str">
        <f>CONCATENATE(N906, IF('Input Sheet'!K908="",""," siderite in "))</f>
        <v/>
      </c>
    </row>
    <row r="907" spans="1:15" x14ac:dyDescent="0.35">
      <c r="A907" s="42" t="str">
        <f>IF('Input Sheet'!C909="","",CONCATENATE("Sample ", 'Input Sheet'!B909, "m: ", M907, G907, "% ", "Siltstone, ", O907, 'Input Sheet'!C909, "% ", I907, " Sandstone, ", K907, J907, " FLUOR in SST. ", "TG ", 'Input Sheet'!I909, "U"))</f>
        <v/>
      </c>
      <c r="B907" s="28" t="str">
        <f>IF('Input Sheet'!C909="","",CONCATENATE("Sample ", 'Input Sheet'!B909, "m: ", N907, H907, "% ", "Siltstone, ", P907, 'Input Sheet'!C909, "% ", J907, " Sandstone "))</f>
        <v/>
      </c>
      <c r="C907" s="28" t="str">
        <f>IF('Input Sheet'!C909="","",CONCATENATE("Sample ", 'Input Sheet'!B909, "m: ", M907,, K907, J907, " FLUOR in SST. ", "TG ", 'Input Sheet'!I909, "U"))</f>
        <v/>
      </c>
      <c r="G907" s="31" t="str">
        <f>IF('Input Sheet'!C909="","",100-'Input Sheet'!C909)</f>
        <v/>
      </c>
      <c r="H9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7" s="31" t="str">
        <f t="shared" si="14"/>
        <v/>
      </c>
      <c r="J9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7" s="31" t="str">
        <f>IF('Input Sheet'!F908=0, "NO",CONCATENATE('Input Sheet'!F908, IF('Input Sheet'!F908&gt;0,"% ","")))</f>
        <v>NO</v>
      </c>
      <c r="L9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7" s="31" t="str">
        <f>CONCATENATE(L907, IF('Input Sheet'!J909="",""," siderite in "))</f>
        <v/>
      </c>
      <c r="N90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7" s="31" t="str">
        <f>CONCATENATE(N907, IF('Input Sheet'!K909="",""," siderite in "))</f>
        <v/>
      </c>
    </row>
    <row r="908" spans="1:15" x14ac:dyDescent="0.35">
      <c r="A908" s="42" t="str">
        <f>IF('Input Sheet'!C910="","",CONCATENATE("Sample ", 'Input Sheet'!B910, "m: ", M908, G908, "% ", "Siltstone, ", O908, 'Input Sheet'!C910, "% ", I908, " Sandstone, ", K908, J908, " FLUOR in SST. ", "TG ", 'Input Sheet'!I910, "U"))</f>
        <v/>
      </c>
      <c r="B908" s="28" t="str">
        <f>IF('Input Sheet'!C910="","",CONCATENATE("Sample ", 'Input Sheet'!B910, "m: ", N908, H908, "% ", "Siltstone, ", P908, 'Input Sheet'!C910, "% ", J908, " Sandstone "))</f>
        <v/>
      </c>
      <c r="C908" s="28" t="str">
        <f>IF('Input Sheet'!C910="","",CONCATENATE("Sample ", 'Input Sheet'!B910, "m: ", M908,, K908, J908, " FLUOR in SST. ", "TG ", 'Input Sheet'!I910, "U"))</f>
        <v/>
      </c>
      <c r="G908" s="31" t="str">
        <f>IF('Input Sheet'!C910="","",100-'Input Sheet'!C910)</f>
        <v/>
      </c>
      <c r="H9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8" s="31" t="str">
        <f t="shared" si="14"/>
        <v/>
      </c>
      <c r="J9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8" s="31" t="str">
        <f>IF('Input Sheet'!F909=0, "NO",CONCATENATE('Input Sheet'!F909, IF('Input Sheet'!F909&gt;0,"% ","")))</f>
        <v>NO</v>
      </c>
      <c r="L9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8" s="31" t="str">
        <f>CONCATENATE(L908, IF('Input Sheet'!J910="",""," siderite in "))</f>
        <v/>
      </c>
      <c r="N90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8" s="31" t="str">
        <f>CONCATENATE(N908, IF('Input Sheet'!K910="",""," siderite in "))</f>
        <v/>
      </c>
    </row>
    <row r="909" spans="1:15" x14ac:dyDescent="0.35">
      <c r="A909" s="42" t="str">
        <f>IF('Input Sheet'!C911="","",CONCATENATE("Sample ", 'Input Sheet'!B911, "m: ", M909, G909, "% ", "Siltstone, ", O909, 'Input Sheet'!C911, "% ", I909, " Sandstone, ", K909, J909, " FLUOR in SST. ", "TG ", 'Input Sheet'!I911, "U"))</f>
        <v/>
      </c>
      <c r="B909" s="28" t="str">
        <f>IF('Input Sheet'!C911="","",CONCATENATE("Sample ", 'Input Sheet'!B911, "m: ", N909, H909, "% ", "Siltstone, ", P909, 'Input Sheet'!C911, "% ", J909, " Sandstone "))</f>
        <v/>
      </c>
      <c r="C909" s="28" t="str">
        <f>IF('Input Sheet'!C911="","",CONCATENATE("Sample ", 'Input Sheet'!B911, "m: ", M909,, K909, J909, " FLUOR in SST. ", "TG ", 'Input Sheet'!I911, "U"))</f>
        <v/>
      </c>
      <c r="G909" s="31" t="str">
        <f>IF('Input Sheet'!C911="","",100-'Input Sheet'!C911)</f>
        <v/>
      </c>
      <c r="H9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9" s="31" t="str">
        <f t="shared" si="14"/>
        <v/>
      </c>
      <c r="J9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9" s="31" t="str">
        <f>IF('Input Sheet'!F910=0, "NO",CONCATENATE('Input Sheet'!F910, IF('Input Sheet'!F910&gt;0,"% ","")))</f>
        <v>NO</v>
      </c>
      <c r="L9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9" s="31" t="str">
        <f>CONCATENATE(L909, IF('Input Sheet'!J911="",""," siderite in "))</f>
        <v/>
      </c>
      <c r="N90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9" s="31" t="str">
        <f>CONCATENATE(N909, IF('Input Sheet'!K911="",""," siderite in "))</f>
        <v/>
      </c>
    </row>
    <row r="910" spans="1:15" x14ac:dyDescent="0.35">
      <c r="A910" s="42" t="str">
        <f>IF('Input Sheet'!C912="","",CONCATENATE("Sample ", 'Input Sheet'!B912, "m: ", M910, G910, "% ", "Siltstone, ", O910, 'Input Sheet'!C912, "% ", I910, " Sandstone, ", K910, J910, " FLUOR in SST. ", "TG ", 'Input Sheet'!I912, "U"))</f>
        <v/>
      </c>
      <c r="B910" s="28" t="str">
        <f>IF('Input Sheet'!C912="","",CONCATENATE("Sample ", 'Input Sheet'!B912, "m: ", N910, H910, "% ", "Siltstone, ", P910, 'Input Sheet'!C912, "% ", J910, " Sandstone "))</f>
        <v/>
      </c>
      <c r="C910" s="28" t="str">
        <f>IF('Input Sheet'!C912="","",CONCATENATE("Sample ", 'Input Sheet'!B912, "m: ", M910,, K910, J910, " FLUOR in SST. ", "TG ", 'Input Sheet'!I912, "U"))</f>
        <v/>
      </c>
      <c r="G910" s="31" t="str">
        <f>IF('Input Sheet'!C912="","",100-'Input Sheet'!C912)</f>
        <v/>
      </c>
      <c r="H9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0" s="31" t="str">
        <f t="shared" si="14"/>
        <v/>
      </c>
      <c r="J9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0" s="31" t="str">
        <f>IF('Input Sheet'!F911=0, "NO",CONCATENATE('Input Sheet'!F911, IF('Input Sheet'!F911&gt;0,"% ","")))</f>
        <v>NO</v>
      </c>
      <c r="L9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0" s="31" t="str">
        <f>CONCATENATE(L910, IF('Input Sheet'!J912="",""," siderite in "))</f>
        <v/>
      </c>
      <c r="N91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0" s="31" t="str">
        <f>CONCATENATE(N910, IF('Input Sheet'!K912="",""," siderite in "))</f>
        <v/>
      </c>
    </row>
    <row r="911" spans="1:15" x14ac:dyDescent="0.35">
      <c r="A911" s="42" t="str">
        <f>IF('Input Sheet'!C913="","",CONCATENATE("Sample ", 'Input Sheet'!B913, "m: ", M911, G911, "% ", "Siltstone, ", O911, 'Input Sheet'!C913, "% ", I911, " Sandstone, ", K911, J911, " FLUOR in SST. ", "TG ", 'Input Sheet'!I913, "U"))</f>
        <v/>
      </c>
      <c r="B911" s="28" t="str">
        <f>IF('Input Sheet'!C913="","",CONCATENATE("Sample ", 'Input Sheet'!B913, "m: ", N911, H911, "% ", "Siltstone, ", P911, 'Input Sheet'!C913, "% ", J911, " Sandstone "))</f>
        <v/>
      </c>
      <c r="C911" s="28" t="str">
        <f>IF('Input Sheet'!C913="","",CONCATENATE("Sample ", 'Input Sheet'!B913, "m: ", M911,, K911, J911, " FLUOR in SST. ", "TG ", 'Input Sheet'!I913, "U"))</f>
        <v/>
      </c>
      <c r="G911" s="31" t="str">
        <f>IF('Input Sheet'!C913="","",100-'Input Sheet'!C913)</f>
        <v/>
      </c>
      <c r="H9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1" s="31" t="str">
        <f t="shared" si="14"/>
        <v/>
      </c>
      <c r="J9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1" s="31" t="str">
        <f>IF('Input Sheet'!F912=0, "NO",CONCATENATE('Input Sheet'!F912, IF('Input Sheet'!F912&gt;0,"% ","")))</f>
        <v>NO</v>
      </c>
      <c r="L9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1" s="31" t="str">
        <f>CONCATENATE(L911, IF('Input Sheet'!J913="",""," siderite in "))</f>
        <v/>
      </c>
      <c r="N91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1" s="31" t="str">
        <f>CONCATENATE(N911, IF('Input Sheet'!K913="",""," siderite in "))</f>
        <v/>
      </c>
    </row>
    <row r="912" spans="1:15" x14ac:dyDescent="0.35">
      <c r="A912" s="42" t="str">
        <f>IF('Input Sheet'!C914="","",CONCATENATE("Sample ", 'Input Sheet'!B914, "m: ", M912, G912, "% ", "Siltstone, ", O912, 'Input Sheet'!C914, "% ", I912, " Sandstone, ", K912, J912, " FLUOR in SST. ", "TG ", 'Input Sheet'!I914, "U"))</f>
        <v/>
      </c>
      <c r="B912" s="28" t="str">
        <f>IF('Input Sheet'!C914="","",CONCATENATE("Sample ", 'Input Sheet'!B914, "m: ", N912, H912, "% ", "Siltstone, ", P912, 'Input Sheet'!C914, "% ", J912, " Sandstone "))</f>
        <v/>
      </c>
      <c r="C912" s="28" t="str">
        <f>IF('Input Sheet'!C914="","",CONCATENATE("Sample ", 'Input Sheet'!B914, "m: ", M912,, K912, J912, " FLUOR in SST. ", "TG ", 'Input Sheet'!I914, "U"))</f>
        <v/>
      </c>
      <c r="G912" s="31" t="str">
        <f>IF('Input Sheet'!C914="","",100-'Input Sheet'!C914)</f>
        <v/>
      </c>
      <c r="H9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2" s="31" t="str">
        <f t="shared" si="14"/>
        <v/>
      </c>
      <c r="J9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2" s="31" t="str">
        <f>IF('Input Sheet'!F913=0, "NO",CONCATENATE('Input Sheet'!F913, IF('Input Sheet'!F913&gt;0,"% ","")))</f>
        <v>NO</v>
      </c>
      <c r="L9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2" s="31" t="str">
        <f>CONCATENATE(L912, IF('Input Sheet'!J914="",""," siderite in "))</f>
        <v/>
      </c>
      <c r="N91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2" s="31" t="str">
        <f>CONCATENATE(N912, IF('Input Sheet'!K914="",""," siderite in "))</f>
        <v/>
      </c>
    </row>
    <row r="913" spans="1:15" x14ac:dyDescent="0.35">
      <c r="A913" s="42" t="str">
        <f>IF('Input Sheet'!C915="","",CONCATENATE("Sample ", 'Input Sheet'!B915, "m: ", M913, G913, "% ", "Siltstone, ", O913, 'Input Sheet'!C915, "% ", I913, " Sandstone, ", K913, J913, " FLUOR in SST. ", "TG ", 'Input Sheet'!I915, "U"))</f>
        <v/>
      </c>
      <c r="B913" s="28" t="str">
        <f>IF('Input Sheet'!C915="","",CONCATENATE("Sample ", 'Input Sheet'!B915, "m: ", N913, H913, "% ", "Siltstone, ", P913, 'Input Sheet'!C915, "% ", J913, " Sandstone "))</f>
        <v/>
      </c>
      <c r="C913" s="28" t="str">
        <f>IF('Input Sheet'!C915="","",CONCATENATE("Sample ", 'Input Sheet'!B915, "m: ", M913,, K913, J913, " FLUOR in SST. ", "TG ", 'Input Sheet'!I915, "U"))</f>
        <v/>
      </c>
      <c r="G913" s="31" t="str">
        <f>IF('Input Sheet'!C915="","",100-'Input Sheet'!C915)</f>
        <v/>
      </c>
      <c r="H9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3" s="31" t="str">
        <f t="shared" si="14"/>
        <v/>
      </c>
      <c r="J9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3" s="31" t="str">
        <f>IF('Input Sheet'!F914=0, "NO",CONCATENATE('Input Sheet'!F914, IF('Input Sheet'!F914&gt;0,"% ","")))</f>
        <v>NO</v>
      </c>
      <c r="L9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3" s="31" t="str">
        <f>CONCATENATE(L913, IF('Input Sheet'!J915="",""," siderite in "))</f>
        <v/>
      </c>
      <c r="N91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3" s="31" t="str">
        <f>CONCATENATE(N913, IF('Input Sheet'!K915="",""," siderite in "))</f>
        <v/>
      </c>
    </row>
    <row r="914" spans="1:15" x14ac:dyDescent="0.35">
      <c r="A914" s="42" t="str">
        <f>IF('Input Sheet'!C916="","",CONCATENATE("Sample ", 'Input Sheet'!B916, "m: ", M914, G914, "% ", "Siltstone, ", O914, 'Input Sheet'!C916, "% ", I914, " Sandstone, ", K914, J914, " FLUOR in SST. ", "TG ", 'Input Sheet'!I916, "U"))</f>
        <v/>
      </c>
      <c r="B914" s="28" t="str">
        <f>IF('Input Sheet'!C916="","",CONCATENATE("Sample ", 'Input Sheet'!B916, "m: ", N914, H914, "% ", "Siltstone, ", P914, 'Input Sheet'!C916, "% ", J914, " Sandstone "))</f>
        <v/>
      </c>
      <c r="C914" s="28" t="str">
        <f>IF('Input Sheet'!C916="","",CONCATENATE("Sample ", 'Input Sheet'!B916, "m: ", M914,, K914, J914, " FLUOR in SST. ", "TG ", 'Input Sheet'!I916, "U"))</f>
        <v/>
      </c>
      <c r="G914" s="31" t="str">
        <f>IF('Input Sheet'!C916="","",100-'Input Sheet'!C916)</f>
        <v/>
      </c>
      <c r="H9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4" s="31" t="str">
        <f t="shared" si="14"/>
        <v/>
      </c>
      <c r="J9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4" s="31" t="str">
        <f>IF('Input Sheet'!F915=0, "NO",CONCATENATE('Input Sheet'!F915, IF('Input Sheet'!F915&gt;0,"% ","")))</f>
        <v>NO</v>
      </c>
      <c r="L9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4" s="31" t="str">
        <f>CONCATENATE(L914, IF('Input Sheet'!J916="",""," siderite in "))</f>
        <v/>
      </c>
      <c r="N91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4" s="31" t="str">
        <f>CONCATENATE(N914, IF('Input Sheet'!K916="",""," siderite in "))</f>
        <v/>
      </c>
    </row>
    <row r="915" spans="1:15" x14ac:dyDescent="0.35">
      <c r="A915" s="42" t="str">
        <f>IF('Input Sheet'!C917="","",CONCATENATE("Sample ", 'Input Sheet'!B917, "m: ", M915, G915, "% ", "Siltstone, ", O915, 'Input Sheet'!C917, "% ", I915, " Sandstone, ", K915, J915, " FLUOR in SST. ", "TG ", 'Input Sheet'!I917, "U"))</f>
        <v/>
      </c>
      <c r="B915" s="28" t="str">
        <f>IF('Input Sheet'!C917="","",CONCATENATE("Sample ", 'Input Sheet'!B917, "m: ", N915, H915, "% ", "Siltstone, ", P915, 'Input Sheet'!C917, "% ", J915, " Sandstone "))</f>
        <v/>
      </c>
      <c r="C915" s="28" t="str">
        <f>IF('Input Sheet'!C917="","",CONCATENATE("Sample ", 'Input Sheet'!B917, "m: ", M915,, K915, J915, " FLUOR in SST. ", "TG ", 'Input Sheet'!I917, "U"))</f>
        <v/>
      </c>
      <c r="G915" s="31" t="str">
        <f>IF('Input Sheet'!C917="","",100-'Input Sheet'!C917)</f>
        <v/>
      </c>
      <c r="H9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5" s="31" t="str">
        <f t="shared" si="14"/>
        <v/>
      </c>
      <c r="J9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5" s="31" t="str">
        <f>IF('Input Sheet'!F916=0, "NO",CONCATENATE('Input Sheet'!F916, IF('Input Sheet'!F916&gt;0,"% ","")))</f>
        <v>NO</v>
      </c>
      <c r="L9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5" s="31" t="str">
        <f>CONCATENATE(L915, IF('Input Sheet'!J917="",""," siderite in "))</f>
        <v/>
      </c>
      <c r="N91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5" s="31" t="str">
        <f>CONCATENATE(N915, IF('Input Sheet'!K917="",""," siderite in "))</f>
        <v/>
      </c>
    </row>
    <row r="916" spans="1:15" x14ac:dyDescent="0.35">
      <c r="A916" s="42" t="str">
        <f>IF('Input Sheet'!C918="","",CONCATENATE("Sample ", 'Input Sheet'!B918, "m: ", M916, G916, "% ", "Siltstone, ", O916, 'Input Sheet'!C918, "% ", I916, " Sandstone, ", K916, J916, " FLUOR in SST. ", "TG ", 'Input Sheet'!I918, "U"))</f>
        <v/>
      </c>
      <c r="B916" s="28" t="str">
        <f>IF('Input Sheet'!C918="","",CONCATENATE("Sample ", 'Input Sheet'!B918, "m: ", N916, H916, "% ", "Siltstone, ", P916, 'Input Sheet'!C918, "% ", J916, " Sandstone "))</f>
        <v/>
      </c>
      <c r="C916" s="28" t="str">
        <f>IF('Input Sheet'!C918="","",CONCATENATE("Sample ", 'Input Sheet'!B918, "m: ", M916,, K916, J916, " FLUOR in SST. ", "TG ", 'Input Sheet'!I918, "U"))</f>
        <v/>
      </c>
      <c r="G916" s="31" t="str">
        <f>IF('Input Sheet'!C918="","",100-'Input Sheet'!C918)</f>
        <v/>
      </c>
      <c r="H9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6" s="31" t="str">
        <f t="shared" si="14"/>
        <v/>
      </c>
      <c r="J9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6" s="31" t="str">
        <f>IF('Input Sheet'!F917=0, "NO",CONCATENATE('Input Sheet'!F917, IF('Input Sheet'!F917&gt;0,"% ","")))</f>
        <v>NO</v>
      </c>
      <c r="L9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6" s="31" t="str">
        <f>CONCATENATE(L916, IF('Input Sheet'!J918="",""," siderite in "))</f>
        <v/>
      </c>
      <c r="N91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6" s="31" t="str">
        <f>CONCATENATE(N916, IF('Input Sheet'!K918="",""," siderite in "))</f>
        <v/>
      </c>
    </row>
    <row r="917" spans="1:15" x14ac:dyDescent="0.35">
      <c r="A917" s="42" t="str">
        <f>IF('Input Sheet'!C919="","",CONCATENATE("Sample ", 'Input Sheet'!B919, "m: ", M917, G917, "% ", "Siltstone, ", O917, 'Input Sheet'!C919, "% ", I917, " Sandstone, ", K917, J917, " FLUOR in SST. ", "TG ", 'Input Sheet'!I919, "U"))</f>
        <v/>
      </c>
      <c r="B917" s="28" t="str">
        <f>IF('Input Sheet'!C919="","",CONCATENATE("Sample ", 'Input Sheet'!B919, "m: ", N917, H917, "% ", "Siltstone, ", P917, 'Input Sheet'!C919, "% ", J917, " Sandstone "))</f>
        <v/>
      </c>
      <c r="C917" s="28" t="str">
        <f>IF('Input Sheet'!C919="","",CONCATENATE("Sample ", 'Input Sheet'!B919, "m: ", M917,, K917, J917, " FLUOR in SST. ", "TG ", 'Input Sheet'!I919, "U"))</f>
        <v/>
      </c>
      <c r="G917" s="31" t="str">
        <f>IF('Input Sheet'!C919="","",100-'Input Sheet'!C919)</f>
        <v/>
      </c>
      <c r="H9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7" s="31" t="str">
        <f t="shared" si="14"/>
        <v/>
      </c>
      <c r="J9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7" s="31" t="str">
        <f>IF('Input Sheet'!F918=0, "NO",CONCATENATE('Input Sheet'!F918, IF('Input Sheet'!F918&gt;0,"% ","")))</f>
        <v>NO</v>
      </c>
      <c r="L9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7" s="31" t="str">
        <f>CONCATENATE(L917, IF('Input Sheet'!J919="",""," siderite in "))</f>
        <v/>
      </c>
      <c r="N91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7" s="31" t="str">
        <f>CONCATENATE(N917, IF('Input Sheet'!K919="",""," siderite in "))</f>
        <v/>
      </c>
    </row>
    <row r="918" spans="1:15" x14ac:dyDescent="0.35">
      <c r="A918" s="42" t="str">
        <f>IF('Input Sheet'!C920="","",CONCATENATE("Sample ", 'Input Sheet'!B920, "m: ", M918, G918, "% ", "Siltstone, ", O918, 'Input Sheet'!C920, "% ", I918, " Sandstone, ", K918, J918, " FLUOR in SST. ", "TG ", 'Input Sheet'!I920, "U"))</f>
        <v/>
      </c>
      <c r="B918" s="28" t="str">
        <f>IF('Input Sheet'!C920="","",CONCATENATE("Sample ", 'Input Sheet'!B920, "m: ", N918, H918, "% ", "Siltstone, ", P918, 'Input Sheet'!C920, "% ", J918, " Sandstone "))</f>
        <v/>
      </c>
      <c r="C918" s="28" t="str">
        <f>IF('Input Sheet'!C920="","",CONCATENATE("Sample ", 'Input Sheet'!B920, "m: ", M918,, K918, J918, " FLUOR in SST. ", "TG ", 'Input Sheet'!I920, "U"))</f>
        <v/>
      </c>
      <c r="G918" s="31" t="str">
        <f>IF('Input Sheet'!C920="","",100-'Input Sheet'!C920)</f>
        <v/>
      </c>
      <c r="H9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8" s="31" t="str">
        <f t="shared" si="14"/>
        <v/>
      </c>
      <c r="J9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8" s="31" t="str">
        <f>IF('Input Sheet'!F919=0, "NO",CONCATENATE('Input Sheet'!F919, IF('Input Sheet'!F919&gt;0,"% ","")))</f>
        <v>NO</v>
      </c>
      <c r="L9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8" s="31" t="str">
        <f>CONCATENATE(L918, IF('Input Sheet'!J920="",""," siderite in "))</f>
        <v/>
      </c>
      <c r="N91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8" s="31" t="str">
        <f>CONCATENATE(N918, IF('Input Sheet'!K920="",""," siderite in "))</f>
        <v/>
      </c>
    </row>
    <row r="919" spans="1:15" x14ac:dyDescent="0.35">
      <c r="A919" s="42" t="str">
        <f>IF('Input Sheet'!C921="","",CONCATENATE("Sample ", 'Input Sheet'!B921, "m: ", M919, G919, "% ", "Siltstone, ", O919, 'Input Sheet'!C921, "% ", I919, " Sandstone, ", K919, J919, " FLUOR in SST. ", "TG ", 'Input Sheet'!I921, "U"))</f>
        <v/>
      </c>
      <c r="B919" s="28" t="str">
        <f>IF('Input Sheet'!C921="","",CONCATENATE("Sample ", 'Input Sheet'!B921, "m: ", N919, H919, "% ", "Siltstone, ", P919, 'Input Sheet'!C921, "% ", J919, " Sandstone "))</f>
        <v/>
      </c>
      <c r="C919" s="28" t="str">
        <f>IF('Input Sheet'!C921="","",CONCATENATE("Sample ", 'Input Sheet'!B921, "m: ", M919,, K919, J919, " FLUOR in SST. ", "TG ", 'Input Sheet'!I921, "U"))</f>
        <v/>
      </c>
      <c r="G919" s="31" t="str">
        <f>IF('Input Sheet'!C921="","",100-'Input Sheet'!C921)</f>
        <v/>
      </c>
      <c r="H9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9" s="31" t="str">
        <f t="shared" si="14"/>
        <v/>
      </c>
      <c r="J9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9" s="31" t="str">
        <f>IF('Input Sheet'!F920=0, "NO",CONCATENATE('Input Sheet'!F920, IF('Input Sheet'!F920&gt;0,"% ","")))</f>
        <v>NO</v>
      </c>
      <c r="L9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9" s="31" t="str">
        <f>CONCATENATE(L919, IF('Input Sheet'!J921="",""," siderite in "))</f>
        <v/>
      </c>
      <c r="N91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9" s="31" t="str">
        <f>CONCATENATE(N919, IF('Input Sheet'!K921="",""," siderite in "))</f>
        <v/>
      </c>
    </row>
    <row r="920" spans="1:15" x14ac:dyDescent="0.35">
      <c r="A920" s="42" t="str">
        <f>IF('Input Sheet'!C922="","",CONCATENATE("Sample ", 'Input Sheet'!B922, "m: ", M920, G920, "% ", "Siltstone, ", O920, 'Input Sheet'!C922, "% ", I920, " Sandstone, ", K920, J920, " FLUOR in SST. ", "TG ", 'Input Sheet'!I922, "U"))</f>
        <v/>
      </c>
      <c r="B920" s="28" t="str">
        <f>IF('Input Sheet'!C922="","",CONCATENATE("Sample ", 'Input Sheet'!B922, "m: ", N920, H920, "% ", "Siltstone, ", P920, 'Input Sheet'!C922, "% ", J920, " Sandstone "))</f>
        <v/>
      </c>
      <c r="C920" s="28" t="str">
        <f>IF('Input Sheet'!C922="","",CONCATENATE("Sample ", 'Input Sheet'!B922, "m: ", M920,, K920, J920, " FLUOR in SST. ", "TG ", 'Input Sheet'!I922, "U"))</f>
        <v/>
      </c>
      <c r="G920" s="31" t="str">
        <f>IF('Input Sheet'!C922="","",100-'Input Sheet'!C922)</f>
        <v/>
      </c>
      <c r="H9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0" s="31" t="str">
        <f t="shared" si="14"/>
        <v/>
      </c>
      <c r="J9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0" s="31" t="str">
        <f>IF('Input Sheet'!F921=0, "NO",CONCATENATE('Input Sheet'!F921, IF('Input Sheet'!F921&gt;0,"% ","")))</f>
        <v>NO</v>
      </c>
      <c r="L9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0" s="31" t="str">
        <f>CONCATENATE(L920, IF('Input Sheet'!J922="",""," siderite in "))</f>
        <v/>
      </c>
      <c r="N92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0" s="31" t="str">
        <f>CONCATENATE(N920, IF('Input Sheet'!K922="",""," siderite in "))</f>
        <v/>
      </c>
    </row>
    <row r="921" spans="1:15" x14ac:dyDescent="0.35">
      <c r="A921" s="42" t="str">
        <f>IF('Input Sheet'!C923="","",CONCATENATE("Sample ", 'Input Sheet'!B923, "m: ", M921, G921, "% ", "Siltstone, ", O921, 'Input Sheet'!C923, "% ", I921, " Sandstone, ", K921, J921, " FLUOR in SST. ", "TG ", 'Input Sheet'!I923, "U"))</f>
        <v/>
      </c>
      <c r="B921" s="28" t="str">
        <f>IF('Input Sheet'!C923="","",CONCATENATE("Sample ", 'Input Sheet'!B923, "m: ", N921, H921, "% ", "Siltstone, ", P921, 'Input Sheet'!C923, "% ", J921, " Sandstone "))</f>
        <v/>
      </c>
      <c r="C921" s="28" t="str">
        <f>IF('Input Sheet'!C923="","",CONCATENATE("Sample ", 'Input Sheet'!B923, "m: ", M921,, K921, J921, " FLUOR in SST. ", "TG ", 'Input Sheet'!I923, "U"))</f>
        <v/>
      </c>
      <c r="G921" s="31" t="str">
        <f>IF('Input Sheet'!C923="","",100-'Input Sheet'!C923)</f>
        <v/>
      </c>
      <c r="H9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1" s="31" t="str">
        <f t="shared" si="14"/>
        <v/>
      </c>
      <c r="J9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1" s="31" t="str">
        <f>IF('Input Sheet'!F922=0, "NO",CONCATENATE('Input Sheet'!F922, IF('Input Sheet'!F922&gt;0,"% ","")))</f>
        <v>NO</v>
      </c>
      <c r="L9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1" s="31" t="str">
        <f>CONCATENATE(L921, IF('Input Sheet'!J923="",""," siderite in "))</f>
        <v/>
      </c>
      <c r="N92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1" s="31" t="str">
        <f>CONCATENATE(N921, IF('Input Sheet'!K923="",""," siderite in "))</f>
        <v/>
      </c>
    </row>
    <row r="922" spans="1:15" x14ac:dyDescent="0.35">
      <c r="A922" s="42" t="str">
        <f>IF('Input Sheet'!C924="","",CONCATENATE("Sample ", 'Input Sheet'!B924, "m: ", M922, G922, "% ", "Siltstone, ", O922, 'Input Sheet'!C924, "% ", I922, " Sandstone, ", K922, J922, " FLUOR in SST. ", "TG ", 'Input Sheet'!I924, "U"))</f>
        <v/>
      </c>
      <c r="B922" s="28" t="str">
        <f>IF('Input Sheet'!C924="","",CONCATENATE("Sample ", 'Input Sheet'!B924, "m: ", N922, H922, "% ", "Siltstone, ", P922, 'Input Sheet'!C924, "% ", J922, " Sandstone "))</f>
        <v/>
      </c>
      <c r="C922" s="28" t="str">
        <f>IF('Input Sheet'!C924="","",CONCATENATE("Sample ", 'Input Sheet'!B924, "m: ", M922,, K922, J922, " FLUOR in SST. ", "TG ", 'Input Sheet'!I924, "U"))</f>
        <v/>
      </c>
      <c r="G922" s="31" t="str">
        <f>IF('Input Sheet'!C924="","",100-'Input Sheet'!C924)</f>
        <v/>
      </c>
      <c r="H9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2" s="31" t="str">
        <f t="shared" si="14"/>
        <v/>
      </c>
      <c r="J9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2" s="31" t="str">
        <f>IF('Input Sheet'!F923=0, "NO",CONCATENATE('Input Sheet'!F923, IF('Input Sheet'!F923&gt;0,"% ","")))</f>
        <v>NO</v>
      </c>
      <c r="L9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2" s="31" t="str">
        <f>CONCATENATE(L922, IF('Input Sheet'!J924="",""," siderite in "))</f>
        <v/>
      </c>
      <c r="N92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2" s="31" t="str">
        <f>CONCATENATE(N922, IF('Input Sheet'!K924="",""," siderite in "))</f>
        <v/>
      </c>
    </row>
    <row r="923" spans="1:15" x14ac:dyDescent="0.35">
      <c r="A923" s="42" t="str">
        <f>IF('Input Sheet'!C925="","",CONCATENATE("Sample ", 'Input Sheet'!B925, "m: ", M923, G923, "% ", "Siltstone, ", O923, 'Input Sheet'!C925, "% ", I923, " Sandstone, ", K923, J923, " FLUOR in SST. ", "TG ", 'Input Sheet'!I925, "U"))</f>
        <v/>
      </c>
      <c r="B923" s="28" t="str">
        <f>IF('Input Sheet'!C925="","",CONCATENATE("Sample ", 'Input Sheet'!B925, "m: ", N923, H923, "% ", "Siltstone, ", P923, 'Input Sheet'!C925, "% ", J923, " Sandstone "))</f>
        <v/>
      </c>
      <c r="C923" s="28" t="str">
        <f>IF('Input Sheet'!C925="","",CONCATENATE("Sample ", 'Input Sheet'!B925, "m: ", M923,, K923, J923, " FLUOR in SST. ", "TG ", 'Input Sheet'!I925, "U"))</f>
        <v/>
      </c>
      <c r="G923" s="31" t="str">
        <f>IF('Input Sheet'!C925="","",100-'Input Sheet'!C925)</f>
        <v/>
      </c>
      <c r="H9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3" s="31" t="str">
        <f t="shared" si="14"/>
        <v/>
      </c>
      <c r="J9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3" s="31" t="str">
        <f>IF('Input Sheet'!F924=0, "NO",CONCATENATE('Input Sheet'!F924, IF('Input Sheet'!F924&gt;0,"% ","")))</f>
        <v>NO</v>
      </c>
      <c r="L9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3" s="31" t="str">
        <f>CONCATENATE(L923, IF('Input Sheet'!J925="",""," siderite in "))</f>
        <v/>
      </c>
      <c r="N92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3" s="31" t="str">
        <f>CONCATENATE(N923, IF('Input Sheet'!K925="",""," siderite in "))</f>
        <v/>
      </c>
    </row>
    <row r="924" spans="1:15" x14ac:dyDescent="0.35">
      <c r="A924" s="42" t="str">
        <f>IF('Input Sheet'!C926="","",CONCATENATE("Sample ", 'Input Sheet'!B926, "m: ", M924, G924, "% ", "Siltstone, ", O924, 'Input Sheet'!C926, "% ", I924, " Sandstone, ", K924, J924, " FLUOR in SST. ", "TG ", 'Input Sheet'!I926, "U"))</f>
        <v/>
      </c>
      <c r="B924" s="28" t="str">
        <f>IF('Input Sheet'!C926="","",CONCATENATE("Sample ", 'Input Sheet'!B926, "m: ", N924, H924, "% ", "Siltstone, ", P924, 'Input Sheet'!C926, "% ", J924, " Sandstone "))</f>
        <v/>
      </c>
      <c r="C924" s="28" t="str">
        <f>IF('Input Sheet'!C926="","",CONCATENATE("Sample ", 'Input Sheet'!B926, "m: ", M924,, K924, J924, " FLUOR in SST. ", "TG ", 'Input Sheet'!I926, "U"))</f>
        <v/>
      </c>
      <c r="G924" s="31" t="str">
        <f>IF('Input Sheet'!C926="","",100-'Input Sheet'!C926)</f>
        <v/>
      </c>
      <c r="H9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4" s="31" t="str">
        <f t="shared" si="14"/>
        <v/>
      </c>
      <c r="J9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4" s="31" t="str">
        <f>IF('Input Sheet'!F925=0, "NO",CONCATENATE('Input Sheet'!F925, IF('Input Sheet'!F925&gt;0,"% ","")))</f>
        <v>NO</v>
      </c>
      <c r="L9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4" s="31" t="str">
        <f>CONCATENATE(L924, IF('Input Sheet'!J926="",""," siderite in "))</f>
        <v/>
      </c>
      <c r="N92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4" s="31" t="str">
        <f>CONCATENATE(N924, IF('Input Sheet'!K926="",""," siderite in "))</f>
        <v/>
      </c>
    </row>
    <row r="925" spans="1:15" x14ac:dyDescent="0.35">
      <c r="A925" s="42" t="str">
        <f>IF('Input Sheet'!C927="","",CONCATENATE("Sample ", 'Input Sheet'!B927, "m: ", M925, G925, "% ", "Siltstone, ", O925, 'Input Sheet'!C927, "% ", I925, " Sandstone, ", K925, J925, " FLUOR in SST. ", "TG ", 'Input Sheet'!I927, "U"))</f>
        <v/>
      </c>
      <c r="B925" s="28" t="str">
        <f>IF('Input Sheet'!C927="","",CONCATENATE("Sample ", 'Input Sheet'!B927, "m: ", N925, H925, "% ", "Siltstone, ", P925, 'Input Sheet'!C927, "% ", J925, " Sandstone "))</f>
        <v/>
      </c>
      <c r="C925" s="28" t="str">
        <f>IF('Input Sheet'!C927="","",CONCATENATE("Sample ", 'Input Sheet'!B927, "m: ", M925,, K925, J925, " FLUOR in SST. ", "TG ", 'Input Sheet'!I927, "U"))</f>
        <v/>
      </c>
      <c r="G925" s="31" t="str">
        <f>IF('Input Sheet'!C927="","",100-'Input Sheet'!C927)</f>
        <v/>
      </c>
      <c r="H9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5" s="31" t="str">
        <f t="shared" si="14"/>
        <v/>
      </c>
      <c r="J9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5" s="31" t="str">
        <f>IF('Input Sheet'!F926=0, "NO",CONCATENATE('Input Sheet'!F926, IF('Input Sheet'!F926&gt;0,"% ","")))</f>
        <v>NO</v>
      </c>
      <c r="L9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5" s="31" t="str">
        <f>CONCATENATE(L925, IF('Input Sheet'!J927="",""," siderite in "))</f>
        <v/>
      </c>
      <c r="N92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5" s="31" t="str">
        <f>CONCATENATE(N925, IF('Input Sheet'!K927="",""," siderite in "))</f>
        <v/>
      </c>
    </row>
    <row r="926" spans="1:15" x14ac:dyDescent="0.35">
      <c r="A926" s="42" t="str">
        <f>IF('Input Sheet'!C928="","",CONCATENATE("Sample ", 'Input Sheet'!B928, "m: ", M926, G926, "% ", "Siltstone, ", O926, 'Input Sheet'!C928, "% ", I926, " Sandstone, ", K926, J926, " FLUOR in SST. ", "TG ", 'Input Sheet'!I928, "U"))</f>
        <v/>
      </c>
      <c r="B926" s="28" t="str">
        <f>IF('Input Sheet'!C928="","",CONCATENATE("Sample ", 'Input Sheet'!B928, "m: ", N926, H926, "% ", "Siltstone, ", P926, 'Input Sheet'!C928, "% ", J926, " Sandstone "))</f>
        <v/>
      </c>
      <c r="C926" s="28" t="str">
        <f>IF('Input Sheet'!C928="","",CONCATENATE("Sample ", 'Input Sheet'!B928, "m: ", M926,, K926, J926, " FLUOR in SST. ", "TG ", 'Input Sheet'!I928, "U"))</f>
        <v/>
      </c>
      <c r="G926" s="31" t="str">
        <f>IF('Input Sheet'!C928="","",100-'Input Sheet'!C928)</f>
        <v/>
      </c>
      <c r="H9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6" s="31" t="str">
        <f t="shared" si="14"/>
        <v/>
      </c>
      <c r="J9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6" s="31" t="str">
        <f>IF('Input Sheet'!F927=0, "NO",CONCATENATE('Input Sheet'!F927, IF('Input Sheet'!F927&gt;0,"% ","")))</f>
        <v>NO</v>
      </c>
      <c r="L9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6" s="31" t="str">
        <f>CONCATENATE(L926, IF('Input Sheet'!J928="",""," siderite in "))</f>
        <v/>
      </c>
      <c r="N92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6" s="31" t="str">
        <f>CONCATENATE(N926, IF('Input Sheet'!K928="",""," siderite in "))</f>
        <v/>
      </c>
    </row>
    <row r="927" spans="1:15" x14ac:dyDescent="0.35">
      <c r="A927" s="42" t="str">
        <f>IF('Input Sheet'!C929="","",CONCATENATE("Sample ", 'Input Sheet'!B929, "m: ", M927, G927, "% ", "Siltstone, ", O927, 'Input Sheet'!C929, "% ", I927, " Sandstone, ", K927, J927, " FLUOR in SST. ", "TG ", 'Input Sheet'!I929, "U"))</f>
        <v/>
      </c>
      <c r="B927" s="28" t="str">
        <f>IF('Input Sheet'!C929="","",CONCATENATE("Sample ", 'Input Sheet'!B929, "m: ", N927, H927, "% ", "Siltstone, ", P927, 'Input Sheet'!C929, "% ", J927, " Sandstone "))</f>
        <v/>
      </c>
      <c r="C927" s="28" t="str">
        <f>IF('Input Sheet'!C929="","",CONCATENATE("Sample ", 'Input Sheet'!B929, "m: ", M927,, K927, J927, " FLUOR in SST. ", "TG ", 'Input Sheet'!I929, "U"))</f>
        <v/>
      </c>
      <c r="G927" s="31" t="str">
        <f>IF('Input Sheet'!C929="","",100-'Input Sheet'!C929)</f>
        <v/>
      </c>
      <c r="H9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7" s="31" t="str">
        <f t="shared" si="14"/>
        <v/>
      </c>
      <c r="J9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7" s="31" t="str">
        <f>IF('Input Sheet'!F928=0, "NO",CONCATENATE('Input Sheet'!F928, IF('Input Sheet'!F928&gt;0,"% ","")))</f>
        <v>NO</v>
      </c>
      <c r="L9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7" s="31" t="str">
        <f>CONCATENATE(L927, IF('Input Sheet'!J929="",""," siderite in "))</f>
        <v/>
      </c>
      <c r="N92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7" s="31" t="str">
        <f>CONCATENATE(N927, IF('Input Sheet'!K929="",""," siderite in "))</f>
        <v/>
      </c>
    </row>
    <row r="928" spans="1:15" x14ac:dyDescent="0.35">
      <c r="A928" s="42" t="str">
        <f>IF('Input Sheet'!C930="","",CONCATENATE("Sample ", 'Input Sheet'!B930, "m: ", M928, G928, "% ", "Siltstone, ", O928, 'Input Sheet'!C930, "% ", I928, " Sandstone, ", K928, J928, " FLUOR in SST. ", "TG ", 'Input Sheet'!I930, "U"))</f>
        <v/>
      </c>
      <c r="B928" s="28" t="str">
        <f>IF('Input Sheet'!C930="","",CONCATENATE("Sample ", 'Input Sheet'!B930, "m: ", N928, H928, "% ", "Siltstone, ", P928, 'Input Sheet'!C930, "% ", J928, " Sandstone "))</f>
        <v/>
      </c>
      <c r="C928" s="28" t="str">
        <f>IF('Input Sheet'!C930="","",CONCATENATE("Sample ", 'Input Sheet'!B930, "m: ", M928,, K928, J928, " FLUOR in SST. ", "TG ", 'Input Sheet'!I930, "U"))</f>
        <v/>
      </c>
      <c r="G928" s="31" t="str">
        <f>IF('Input Sheet'!C930="","",100-'Input Sheet'!C930)</f>
        <v/>
      </c>
      <c r="H9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8" s="31" t="str">
        <f t="shared" si="14"/>
        <v/>
      </c>
      <c r="J9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8" s="31" t="str">
        <f>IF('Input Sheet'!F929=0, "NO",CONCATENATE('Input Sheet'!F929, IF('Input Sheet'!F929&gt;0,"% ","")))</f>
        <v>NO</v>
      </c>
      <c r="L9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8" s="31" t="str">
        <f>CONCATENATE(L928, IF('Input Sheet'!J930="",""," siderite in "))</f>
        <v/>
      </c>
      <c r="N92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8" s="31" t="str">
        <f>CONCATENATE(N928, IF('Input Sheet'!K930="",""," siderite in "))</f>
        <v/>
      </c>
    </row>
    <row r="929" spans="1:15" x14ac:dyDescent="0.35">
      <c r="A929" s="42" t="str">
        <f>IF('Input Sheet'!C931="","",CONCATENATE("Sample ", 'Input Sheet'!B931, "m: ", M929, G929, "% ", "Siltstone, ", O929, 'Input Sheet'!C931, "% ", I929, " Sandstone, ", K929, J929, " FLUOR in SST. ", "TG ", 'Input Sheet'!I931, "U"))</f>
        <v/>
      </c>
      <c r="B929" s="28" t="str">
        <f>IF('Input Sheet'!C931="","",CONCATENATE("Sample ", 'Input Sheet'!B931, "m: ", N929, H929, "% ", "Siltstone, ", P929, 'Input Sheet'!C931, "% ", J929, " Sandstone "))</f>
        <v/>
      </c>
      <c r="C929" s="28" t="str">
        <f>IF('Input Sheet'!C931="","",CONCATENATE("Sample ", 'Input Sheet'!B931, "m: ", M929,, K929, J929, " FLUOR in SST. ", "TG ", 'Input Sheet'!I931, "U"))</f>
        <v/>
      </c>
      <c r="G929" s="31" t="str">
        <f>IF('Input Sheet'!C931="","",100-'Input Sheet'!C931)</f>
        <v/>
      </c>
      <c r="H9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9" s="31" t="str">
        <f t="shared" si="14"/>
        <v/>
      </c>
      <c r="J9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9" s="31" t="str">
        <f>IF('Input Sheet'!F930=0, "NO",CONCATENATE('Input Sheet'!F930, IF('Input Sheet'!F930&gt;0,"% ","")))</f>
        <v>NO</v>
      </c>
      <c r="L9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9" s="31" t="str">
        <f>CONCATENATE(L929, IF('Input Sheet'!J931="",""," siderite in "))</f>
        <v/>
      </c>
      <c r="N92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9" s="31" t="str">
        <f>CONCATENATE(N929, IF('Input Sheet'!K931="",""," siderite in "))</f>
        <v/>
      </c>
    </row>
    <row r="930" spans="1:15" x14ac:dyDescent="0.35">
      <c r="A930" s="42" t="str">
        <f>IF('Input Sheet'!C932="","",CONCATENATE("Sample ", 'Input Sheet'!B932, "m: ", M930, G930, "% ", "Siltstone, ", O930, 'Input Sheet'!C932, "% ", I930, " Sandstone, ", K930, J930, " FLUOR in SST. ", "TG ", 'Input Sheet'!I932, "U"))</f>
        <v/>
      </c>
      <c r="B930" s="28" t="str">
        <f>IF('Input Sheet'!C932="","",CONCATENATE("Sample ", 'Input Sheet'!B932, "m: ", N930, H930, "% ", "Siltstone, ", P930, 'Input Sheet'!C932, "% ", J930, " Sandstone "))</f>
        <v/>
      </c>
      <c r="C930" s="28" t="str">
        <f>IF('Input Sheet'!C932="","",CONCATENATE("Sample ", 'Input Sheet'!B932, "m: ", M930,, K930, J930, " FLUOR in SST. ", "TG ", 'Input Sheet'!I932, "U"))</f>
        <v/>
      </c>
      <c r="G930" s="31" t="str">
        <f>IF('Input Sheet'!C932="","",100-'Input Sheet'!C932)</f>
        <v/>
      </c>
      <c r="H9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0" s="31" t="str">
        <f t="shared" si="14"/>
        <v/>
      </c>
      <c r="J9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0" s="31" t="str">
        <f>IF('Input Sheet'!F931=0, "NO",CONCATENATE('Input Sheet'!F931, IF('Input Sheet'!F931&gt;0,"% ","")))</f>
        <v>NO</v>
      </c>
      <c r="L9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0" s="31" t="str">
        <f>CONCATENATE(L930, IF('Input Sheet'!J932="",""," siderite in "))</f>
        <v/>
      </c>
      <c r="N93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0" s="31" t="str">
        <f>CONCATENATE(N930, IF('Input Sheet'!K932="",""," siderite in "))</f>
        <v/>
      </c>
    </row>
    <row r="931" spans="1:15" x14ac:dyDescent="0.35">
      <c r="A931" s="42" t="str">
        <f>IF('Input Sheet'!C933="","",CONCATENATE("Sample ", 'Input Sheet'!B933, "m: ", M931, G931, "% ", "Siltstone, ", O931, 'Input Sheet'!C933, "% ", I931, " Sandstone, ", K931, J931, " FLUOR in SST. ", "TG ", 'Input Sheet'!I933, "U"))</f>
        <v/>
      </c>
      <c r="B931" s="28" t="str">
        <f>IF('Input Sheet'!C933="","",CONCATENATE("Sample ", 'Input Sheet'!B933, "m: ", N931, H931, "% ", "Siltstone, ", P931, 'Input Sheet'!C933, "% ", J931, " Sandstone "))</f>
        <v/>
      </c>
      <c r="C931" s="28" t="str">
        <f>IF('Input Sheet'!C933="","",CONCATENATE("Sample ", 'Input Sheet'!B933, "m: ", M931,, K931, J931, " FLUOR in SST. ", "TG ", 'Input Sheet'!I933, "U"))</f>
        <v/>
      </c>
      <c r="G931" s="31" t="str">
        <f>IF('Input Sheet'!C933="","",100-'Input Sheet'!C933)</f>
        <v/>
      </c>
      <c r="H9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1" s="31" t="str">
        <f t="shared" si="14"/>
        <v/>
      </c>
      <c r="J9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1" s="31" t="str">
        <f>IF('Input Sheet'!F932=0, "NO",CONCATENATE('Input Sheet'!F932, IF('Input Sheet'!F932&gt;0,"% ","")))</f>
        <v>NO</v>
      </c>
      <c r="L9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1" s="31" t="str">
        <f>CONCATENATE(L931, IF('Input Sheet'!J933="",""," siderite in "))</f>
        <v/>
      </c>
      <c r="N93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1" s="31" t="str">
        <f>CONCATENATE(N931, IF('Input Sheet'!K933="",""," siderite in "))</f>
        <v/>
      </c>
    </row>
    <row r="932" spans="1:15" x14ac:dyDescent="0.35">
      <c r="A932" s="42" t="str">
        <f>IF('Input Sheet'!C934="","",CONCATENATE("Sample ", 'Input Sheet'!B934, "m: ", M932, G932, "% ", "Siltstone, ", O932, 'Input Sheet'!C934, "% ", I932, " Sandstone, ", K932, J932, " FLUOR in SST. ", "TG ", 'Input Sheet'!I934, "U"))</f>
        <v/>
      </c>
      <c r="B932" s="28" t="str">
        <f>IF('Input Sheet'!C934="","",CONCATENATE("Sample ", 'Input Sheet'!B934, "m: ", N932, H932, "% ", "Siltstone, ", P932, 'Input Sheet'!C934, "% ", J932, " Sandstone "))</f>
        <v/>
      </c>
      <c r="C932" s="28" t="str">
        <f>IF('Input Sheet'!C934="","",CONCATENATE("Sample ", 'Input Sheet'!B934, "m: ", M932,, K932, J932, " FLUOR in SST. ", "TG ", 'Input Sheet'!I934, "U"))</f>
        <v/>
      </c>
      <c r="G932" s="31" t="str">
        <f>IF('Input Sheet'!C934="","",100-'Input Sheet'!C934)</f>
        <v/>
      </c>
      <c r="H9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2" s="31" t="str">
        <f t="shared" si="14"/>
        <v/>
      </c>
      <c r="J9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2" s="31" t="str">
        <f>IF('Input Sheet'!F933=0, "NO",CONCATENATE('Input Sheet'!F933, IF('Input Sheet'!F933&gt;0,"% ","")))</f>
        <v>NO</v>
      </c>
      <c r="L9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2" s="31" t="str">
        <f>CONCATENATE(L932, IF('Input Sheet'!J934="",""," siderite in "))</f>
        <v/>
      </c>
      <c r="N93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2" s="31" t="str">
        <f>CONCATENATE(N932, IF('Input Sheet'!K934="",""," siderite in "))</f>
        <v/>
      </c>
    </row>
    <row r="933" spans="1:15" x14ac:dyDescent="0.35">
      <c r="A933" s="42" t="str">
        <f>IF('Input Sheet'!C935="","",CONCATENATE("Sample ", 'Input Sheet'!B935, "m: ", M933, G933, "% ", "Siltstone, ", O933, 'Input Sheet'!C935, "% ", I933, " Sandstone, ", K933, J933, " FLUOR in SST. ", "TG ", 'Input Sheet'!I935, "U"))</f>
        <v/>
      </c>
      <c r="B933" s="28" t="str">
        <f>IF('Input Sheet'!C935="","",CONCATENATE("Sample ", 'Input Sheet'!B935, "m: ", N933, H933, "% ", "Siltstone, ", P933, 'Input Sheet'!C935, "% ", J933, " Sandstone "))</f>
        <v/>
      </c>
      <c r="C933" s="28" t="str">
        <f>IF('Input Sheet'!C935="","",CONCATENATE("Sample ", 'Input Sheet'!B935, "m: ", M933,, K933, J933, " FLUOR in SST. ", "TG ", 'Input Sheet'!I935, "U"))</f>
        <v/>
      </c>
      <c r="G933" s="31" t="str">
        <f>IF('Input Sheet'!C935="","",100-'Input Sheet'!C935)</f>
        <v/>
      </c>
      <c r="H9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3" s="31" t="str">
        <f t="shared" si="14"/>
        <v/>
      </c>
      <c r="J9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3" s="31" t="str">
        <f>IF('Input Sheet'!F934=0, "NO",CONCATENATE('Input Sheet'!F934, IF('Input Sheet'!F934&gt;0,"% ","")))</f>
        <v>NO</v>
      </c>
      <c r="L9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3" s="31" t="str">
        <f>CONCATENATE(L933, IF('Input Sheet'!J935="",""," siderite in "))</f>
        <v/>
      </c>
      <c r="N93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3" s="31" t="str">
        <f>CONCATENATE(N933, IF('Input Sheet'!K935="",""," siderite in "))</f>
        <v/>
      </c>
    </row>
    <row r="934" spans="1:15" x14ac:dyDescent="0.35">
      <c r="A934" s="42" t="str">
        <f>IF('Input Sheet'!C936="","",CONCATENATE("Sample ", 'Input Sheet'!B936, "m: ", M934, G934, "% ", "Siltstone, ", O934, 'Input Sheet'!C936, "% ", I934, " Sandstone, ", K934, J934, " FLUOR in SST. ", "TG ", 'Input Sheet'!I936, "U"))</f>
        <v/>
      </c>
      <c r="B934" s="28" t="str">
        <f>IF('Input Sheet'!C936="","",CONCATENATE("Sample ", 'Input Sheet'!B936, "m: ", N934, H934, "% ", "Siltstone, ", P934, 'Input Sheet'!C936, "% ", J934, " Sandstone "))</f>
        <v/>
      </c>
      <c r="C934" s="28" t="str">
        <f>IF('Input Sheet'!C936="","",CONCATENATE("Sample ", 'Input Sheet'!B936, "m: ", M934,, K934, J934, " FLUOR in SST. ", "TG ", 'Input Sheet'!I936, "U"))</f>
        <v/>
      </c>
      <c r="G934" s="31" t="str">
        <f>IF('Input Sheet'!C936="","",100-'Input Sheet'!C936)</f>
        <v/>
      </c>
      <c r="H9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4" s="31" t="str">
        <f t="shared" si="14"/>
        <v/>
      </c>
      <c r="J9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4" s="31" t="str">
        <f>IF('Input Sheet'!F935=0, "NO",CONCATENATE('Input Sheet'!F935, IF('Input Sheet'!F935&gt;0,"% ","")))</f>
        <v>NO</v>
      </c>
      <c r="L9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4" s="31" t="str">
        <f>CONCATENATE(L934, IF('Input Sheet'!J936="",""," siderite in "))</f>
        <v/>
      </c>
      <c r="N93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4" s="31" t="str">
        <f>CONCATENATE(N934, IF('Input Sheet'!K936="",""," siderite in "))</f>
        <v/>
      </c>
    </row>
    <row r="935" spans="1:15" x14ac:dyDescent="0.35">
      <c r="A935" s="42" t="str">
        <f>IF('Input Sheet'!C937="","",CONCATENATE("Sample ", 'Input Sheet'!B937, "m: ", M935, G935, "% ", "Siltstone, ", O935, 'Input Sheet'!C937, "% ", I935, " Sandstone, ", K935, J935, " FLUOR in SST. ", "TG ", 'Input Sheet'!I937, "U"))</f>
        <v/>
      </c>
      <c r="B935" s="28" t="str">
        <f>IF('Input Sheet'!C937="","",CONCATENATE("Sample ", 'Input Sheet'!B937, "m: ", N935, H935, "% ", "Siltstone, ", P935, 'Input Sheet'!C937, "% ", J935, " Sandstone "))</f>
        <v/>
      </c>
      <c r="C935" s="28" t="str">
        <f>IF('Input Sheet'!C937="","",CONCATENATE("Sample ", 'Input Sheet'!B937, "m: ", M935,, K935, J935, " FLUOR in SST. ", "TG ", 'Input Sheet'!I937, "U"))</f>
        <v/>
      </c>
      <c r="G935" s="31" t="str">
        <f>IF('Input Sheet'!C937="","",100-'Input Sheet'!C937)</f>
        <v/>
      </c>
      <c r="H9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5" s="31" t="str">
        <f t="shared" si="14"/>
        <v/>
      </c>
      <c r="J9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5" s="31" t="str">
        <f>IF('Input Sheet'!F936=0, "NO",CONCATENATE('Input Sheet'!F936, IF('Input Sheet'!F936&gt;0,"% ","")))</f>
        <v>NO</v>
      </c>
      <c r="L9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5" s="31" t="str">
        <f>CONCATENATE(L935, IF('Input Sheet'!J937="",""," siderite in "))</f>
        <v/>
      </c>
      <c r="N93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5" s="31" t="str">
        <f>CONCATENATE(N935, IF('Input Sheet'!K937="",""," siderite in "))</f>
        <v/>
      </c>
    </row>
    <row r="936" spans="1:15" x14ac:dyDescent="0.35">
      <c r="A936" s="42" t="str">
        <f>IF('Input Sheet'!C938="","",CONCATENATE("Sample ", 'Input Sheet'!B938, "m: ", M936, G936, "% ", "Siltstone, ", O936, 'Input Sheet'!C938, "% ", I936, " Sandstone, ", K936, J936, " FLUOR in SST. ", "TG ", 'Input Sheet'!I938, "U"))</f>
        <v/>
      </c>
      <c r="B936" s="28" t="str">
        <f>IF('Input Sheet'!C938="","",CONCATENATE("Sample ", 'Input Sheet'!B938, "m: ", N936, H936, "% ", "Siltstone, ", P936, 'Input Sheet'!C938, "% ", J936, " Sandstone "))</f>
        <v/>
      </c>
      <c r="C936" s="28" t="str">
        <f>IF('Input Sheet'!C938="","",CONCATENATE("Sample ", 'Input Sheet'!B938, "m: ", M936,, K936, J936, " FLUOR in SST. ", "TG ", 'Input Sheet'!I938, "U"))</f>
        <v/>
      </c>
      <c r="G936" s="31" t="str">
        <f>IF('Input Sheet'!C938="","",100-'Input Sheet'!C938)</f>
        <v/>
      </c>
      <c r="H9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6" s="31" t="str">
        <f t="shared" si="14"/>
        <v/>
      </c>
      <c r="J9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6" s="31" t="str">
        <f>IF('Input Sheet'!F937=0, "NO",CONCATENATE('Input Sheet'!F937, IF('Input Sheet'!F937&gt;0,"% ","")))</f>
        <v>NO</v>
      </c>
      <c r="L9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6" s="31" t="str">
        <f>CONCATENATE(L936, IF('Input Sheet'!J938="",""," siderite in "))</f>
        <v/>
      </c>
      <c r="N93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6" s="31" t="str">
        <f>CONCATENATE(N936, IF('Input Sheet'!K938="",""," siderite in "))</f>
        <v/>
      </c>
    </row>
    <row r="937" spans="1:15" x14ac:dyDescent="0.35">
      <c r="A937" s="42" t="str">
        <f>IF('Input Sheet'!C939="","",CONCATENATE("Sample ", 'Input Sheet'!B939, "m: ", M937, G937, "% ", "Siltstone, ", O937, 'Input Sheet'!C939, "% ", I937, " Sandstone, ", K937, J937, " FLUOR in SST. ", "TG ", 'Input Sheet'!I939, "U"))</f>
        <v/>
      </c>
      <c r="B937" s="28" t="str">
        <f>IF('Input Sheet'!C939="","",CONCATENATE("Sample ", 'Input Sheet'!B939, "m: ", N937, H937, "% ", "Siltstone, ", P937, 'Input Sheet'!C939, "% ", J937, " Sandstone "))</f>
        <v/>
      </c>
      <c r="C937" s="28" t="str">
        <f>IF('Input Sheet'!C939="","",CONCATENATE("Sample ", 'Input Sheet'!B939, "m: ", M937,, K937, J937, " FLUOR in SST. ", "TG ", 'Input Sheet'!I939, "U"))</f>
        <v/>
      </c>
      <c r="G937" s="31" t="str">
        <f>IF('Input Sheet'!C939="","",100-'Input Sheet'!C939)</f>
        <v/>
      </c>
      <c r="H9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7" s="31" t="str">
        <f t="shared" si="14"/>
        <v/>
      </c>
      <c r="J9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7" s="31" t="str">
        <f>IF('Input Sheet'!F938=0, "NO",CONCATENATE('Input Sheet'!F938, IF('Input Sheet'!F938&gt;0,"% ","")))</f>
        <v>NO</v>
      </c>
      <c r="L9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7" s="31" t="str">
        <f>CONCATENATE(L937, IF('Input Sheet'!J939="",""," siderite in "))</f>
        <v/>
      </c>
      <c r="N93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7" s="31" t="str">
        <f>CONCATENATE(N937, IF('Input Sheet'!K939="",""," siderite in "))</f>
        <v/>
      </c>
    </row>
    <row r="938" spans="1:15" x14ac:dyDescent="0.35">
      <c r="A938" s="42" t="str">
        <f>IF('Input Sheet'!C940="","",CONCATENATE("Sample ", 'Input Sheet'!B940, "m: ", M938, G938, "% ", "Siltstone, ", O938, 'Input Sheet'!C940, "% ", I938, " Sandstone, ", K938, J938, " FLUOR in SST. ", "TG ", 'Input Sheet'!I940, "U"))</f>
        <v/>
      </c>
      <c r="B938" s="28" t="str">
        <f>IF('Input Sheet'!C940="","",CONCATENATE("Sample ", 'Input Sheet'!B940, "m: ", N938, H938, "% ", "Siltstone, ", P938, 'Input Sheet'!C940, "% ", J938, " Sandstone "))</f>
        <v/>
      </c>
      <c r="C938" s="28" t="str">
        <f>IF('Input Sheet'!C940="","",CONCATENATE("Sample ", 'Input Sheet'!B940, "m: ", M938,, K938, J938, " FLUOR in SST. ", "TG ", 'Input Sheet'!I940, "U"))</f>
        <v/>
      </c>
      <c r="G938" s="31" t="str">
        <f>IF('Input Sheet'!C940="","",100-'Input Sheet'!C940)</f>
        <v/>
      </c>
      <c r="H9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8" s="31" t="str">
        <f t="shared" si="14"/>
        <v/>
      </c>
      <c r="J9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8" s="31" t="str">
        <f>IF('Input Sheet'!F939=0, "NO",CONCATENATE('Input Sheet'!F939, IF('Input Sheet'!F939&gt;0,"% ","")))</f>
        <v>NO</v>
      </c>
      <c r="L9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8" s="31" t="str">
        <f>CONCATENATE(L938, IF('Input Sheet'!J940="",""," siderite in "))</f>
        <v/>
      </c>
      <c r="N93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8" s="31" t="str">
        <f>CONCATENATE(N938, IF('Input Sheet'!K940="",""," siderite in "))</f>
        <v/>
      </c>
    </row>
    <row r="939" spans="1:15" x14ac:dyDescent="0.35">
      <c r="A939" s="42" t="str">
        <f>IF('Input Sheet'!C941="","",CONCATENATE("Sample ", 'Input Sheet'!B941, "m: ", M939, G939, "% ", "Siltstone, ", O939, 'Input Sheet'!C941, "% ", I939, " Sandstone, ", K939, J939, " FLUOR in SST. ", "TG ", 'Input Sheet'!I941, "U"))</f>
        <v/>
      </c>
      <c r="B939" s="28" t="str">
        <f>IF('Input Sheet'!C941="","",CONCATENATE("Sample ", 'Input Sheet'!B941, "m: ", N939, H939, "% ", "Siltstone, ", P939, 'Input Sheet'!C941, "% ", J939, " Sandstone "))</f>
        <v/>
      </c>
      <c r="C939" s="28" t="str">
        <f>IF('Input Sheet'!C941="","",CONCATENATE("Sample ", 'Input Sheet'!B941, "m: ", M939,, K939, J939, " FLUOR in SST. ", "TG ", 'Input Sheet'!I941, "U"))</f>
        <v/>
      </c>
      <c r="G939" s="31" t="str">
        <f>IF('Input Sheet'!C941="","",100-'Input Sheet'!C941)</f>
        <v/>
      </c>
      <c r="H9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9" s="31" t="str">
        <f t="shared" si="14"/>
        <v/>
      </c>
      <c r="J9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9" s="31" t="str">
        <f>IF('Input Sheet'!F940=0, "NO",CONCATENATE('Input Sheet'!F940, IF('Input Sheet'!F940&gt;0,"% ","")))</f>
        <v>NO</v>
      </c>
      <c r="L9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9" s="31" t="str">
        <f>CONCATENATE(L939, IF('Input Sheet'!J941="",""," siderite in "))</f>
        <v/>
      </c>
      <c r="N93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9" s="31" t="str">
        <f>CONCATENATE(N939, IF('Input Sheet'!K941="",""," siderite in "))</f>
        <v/>
      </c>
    </row>
    <row r="940" spans="1:15" x14ac:dyDescent="0.35">
      <c r="A940" s="42" t="str">
        <f>IF('Input Sheet'!C942="","",CONCATENATE("Sample ", 'Input Sheet'!B942, "m: ", M940, G940, "% ", "Siltstone, ", O940, 'Input Sheet'!C942, "% ", I940, " Sandstone, ", K940, J940, " FLUOR in SST. ", "TG ", 'Input Sheet'!I942, "U"))</f>
        <v/>
      </c>
      <c r="B940" s="28" t="str">
        <f>IF('Input Sheet'!C942="","",CONCATENATE("Sample ", 'Input Sheet'!B942, "m: ", N940, H940, "% ", "Siltstone, ", P940, 'Input Sheet'!C942, "% ", J940, " Sandstone "))</f>
        <v/>
      </c>
      <c r="C940" s="28" t="str">
        <f>IF('Input Sheet'!C942="","",CONCATENATE("Sample ", 'Input Sheet'!B942, "m: ", M940,, K940, J940, " FLUOR in SST. ", "TG ", 'Input Sheet'!I942, "U"))</f>
        <v/>
      </c>
      <c r="G940" s="31" t="str">
        <f>IF('Input Sheet'!C942="","",100-'Input Sheet'!C942)</f>
        <v/>
      </c>
      <c r="H9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0" s="31" t="str">
        <f t="shared" si="14"/>
        <v/>
      </c>
      <c r="J9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0" s="31" t="str">
        <f>IF('Input Sheet'!F941=0, "NO",CONCATENATE('Input Sheet'!F941, IF('Input Sheet'!F941&gt;0,"% ","")))</f>
        <v>NO</v>
      </c>
      <c r="L9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0" s="31" t="str">
        <f>CONCATENATE(L940, IF('Input Sheet'!J942="",""," siderite in "))</f>
        <v/>
      </c>
      <c r="N94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0" s="31" t="str">
        <f>CONCATENATE(N940, IF('Input Sheet'!K942="",""," siderite in "))</f>
        <v/>
      </c>
    </row>
    <row r="941" spans="1:15" x14ac:dyDescent="0.35">
      <c r="A941" s="42" t="str">
        <f>IF('Input Sheet'!C943="","",CONCATENATE("Sample ", 'Input Sheet'!B943, "m: ", M941, G941, "% ", "Siltstone, ", O941, 'Input Sheet'!C943, "% ", I941, " Sandstone, ", K941, J941, " FLUOR in SST. ", "TG ", 'Input Sheet'!I943, "U"))</f>
        <v/>
      </c>
      <c r="B941" s="28" t="str">
        <f>IF('Input Sheet'!C943="","",CONCATENATE("Sample ", 'Input Sheet'!B943, "m: ", N941, H941, "% ", "Siltstone, ", P941, 'Input Sheet'!C943, "% ", J941, " Sandstone "))</f>
        <v/>
      </c>
      <c r="C941" s="28" t="str">
        <f>IF('Input Sheet'!C943="","",CONCATENATE("Sample ", 'Input Sheet'!B943, "m: ", M941,, K941, J941, " FLUOR in SST. ", "TG ", 'Input Sheet'!I943, "U"))</f>
        <v/>
      </c>
      <c r="G941" s="31" t="str">
        <f>IF('Input Sheet'!C943="","",100-'Input Sheet'!C943)</f>
        <v/>
      </c>
      <c r="H9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1" s="31" t="str">
        <f t="shared" si="14"/>
        <v/>
      </c>
      <c r="J9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1" s="31" t="str">
        <f>IF('Input Sheet'!F942=0, "NO",CONCATENATE('Input Sheet'!F942, IF('Input Sheet'!F942&gt;0,"% ","")))</f>
        <v>NO</v>
      </c>
      <c r="L9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1" s="31" t="str">
        <f>CONCATENATE(L941, IF('Input Sheet'!J943="",""," siderite in "))</f>
        <v/>
      </c>
      <c r="N94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1" s="31" t="str">
        <f>CONCATENATE(N941, IF('Input Sheet'!K943="",""," siderite in "))</f>
        <v/>
      </c>
    </row>
    <row r="942" spans="1:15" x14ac:dyDescent="0.35">
      <c r="A942" s="42" t="str">
        <f>IF('Input Sheet'!C944="","",CONCATENATE("Sample ", 'Input Sheet'!B944, "m: ", M942, G942, "% ", "Siltstone, ", O942, 'Input Sheet'!C944, "% ", I942, " Sandstone, ", K942, J942, " FLUOR in SST. ", "TG ", 'Input Sheet'!I944, "U"))</f>
        <v/>
      </c>
      <c r="B942" s="28" t="str">
        <f>IF('Input Sheet'!C944="","",CONCATENATE("Sample ", 'Input Sheet'!B944, "m: ", N942, H942, "% ", "Siltstone, ", P942, 'Input Sheet'!C944, "% ", J942, " Sandstone "))</f>
        <v/>
      </c>
      <c r="C942" s="28" t="str">
        <f>IF('Input Sheet'!C944="","",CONCATENATE("Sample ", 'Input Sheet'!B944, "m: ", M942,, K942, J942, " FLUOR in SST. ", "TG ", 'Input Sheet'!I944, "U"))</f>
        <v/>
      </c>
      <c r="G942" s="31" t="str">
        <f>IF('Input Sheet'!C944="","",100-'Input Sheet'!C944)</f>
        <v/>
      </c>
      <c r="H9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2" s="31" t="str">
        <f t="shared" si="14"/>
        <v/>
      </c>
      <c r="J9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2" s="31" t="str">
        <f>IF('Input Sheet'!F943=0, "NO",CONCATENATE('Input Sheet'!F943, IF('Input Sheet'!F943&gt;0,"% ","")))</f>
        <v>NO</v>
      </c>
      <c r="L9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2" s="31" t="str">
        <f>CONCATENATE(L942, IF('Input Sheet'!J944="",""," siderite in "))</f>
        <v/>
      </c>
      <c r="N94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2" s="31" t="str">
        <f>CONCATENATE(N942, IF('Input Sheet'!K944="",""," siderite in "))</f>
        <v/>
      </c>
    </row>
    <row r="943" spans="1:15" x14ac:dyDescent="0.35">
      <c r="A943" s="42" t="str">
        <f>IF('Input Sheet'!C945="","",CONCATENATE("Sample ", 'Input Sheet'!B945, "m: ", M943, G943, "% ", "Siltstone, ", O943, 'Input Sheet'!C945, "% ", I943, " Sandstone, ", K943, J943, " FLUOR in SST. ", "TG ", 'Input Sheet'!I945, "U"))</f>
        <v/>
      </c>
      <c r="B943" s="28" t="str">
        <f>IF('Input Sheet'!C945="","",CONCATENATE("Sample ", 'Input Sheet'!B945, "m: ", N943, H943, "% ", "Siltstone, ", P943, 'Input Sheet'!C945, "% ", J943, " Sandstone "))</f>
        <v/>
      </c>
      <c r="C943" s="28" t="str">
        <f>IF('Input Sheet'!C945="","",CONCATENATE("Sample ", 'Input Sheet'!B945, "m: ", M943,, K943, J943, " FLUOR in SST. ", "TG ", 'Input Sheet'!I945, "U"))</f>
        <v/>
      </c>
      <c r="G943" s="31" t="str">
        <f>IF('Input Sheet'!C945="","",100-'Input Sheet'!C945)</f>
        <v/>
      </c>
      <c r="H9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3" s="31" t="str">
        <f t="shared" si="14"/>
        <v/>
      </c>
      <c r="J9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3" s="31" t="str">
        <f>IF('Input Sheet'!F944=0, "NO",CONCATENATE('Input Sheet'!F944, IF('Input Sheet'!F944&gt;0,"% ","")))</f>
        <v>NO</v>
      </c>
      <c r="L9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3" s="31" t="str">
        <f>CONCATENATE(L943, IF('Input Sheet'!J945="",""," siderite in "))</f>
        <v/>
      </c>
      <c r="N94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3" s="31" t="str">
        <f>CONCATENATE(N943, IF('Input Sheet'!K945="",""," siderite in "))</f>
        <v/>
      </c>
    </row>
    <row r="944" spans="1:15" x14ac:dyDescent="0.35">
      <c r="A944" s="42" t="str">
        <f>IF('Input Sheet'!C946="","",CONCATENATE("Sample ", 'Input Sheet'!B946, "m: ", M944, G944, "% ", "Siltstone, ", O944, 'Input Sheet'!C946, "% ", I944, " Sandstone, ", K944, J944, " FLUOR in SST. ", "TG ", 'Input Sheet'!I946, "U"))</f>
        <v/>
      </c>
      <c r="B944" s="28" t="str">
        <f>IF('Input Sheet'!C946="","",CONCATENATE("Sample ", 'Input Sheet'!B946, "m: ", N944, H944, "% ", "Siltstone, ", P944, 'Input Sheet'!C946, "% ", J944, " Sandstone "))</f>
        <v/>
      </c>
      <c r="C944" s="28" t="str">
        <f>IF('Input Sheet'!C946="","",CONCATENATE("Sample ", 'Input Sheet'!B946, "m: ", M944,, K944, J944, " FLUOR in SST. ", "TG ", 'Input Sheet'!I946, "U"))</f>
        <v/>
      </c>
      <c r="G944" s="31" t="str">
        <f>IF('Input Sheet'!C946="","",100-'Input Sheet'!C946)</f>
        <v/>
      </c>
      <c r="H9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4" s="31" t="str">
        <f t="shared" si="14"/>
        <v/>
      </c>
      <c r="J9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4" s="31" t="str">
        <f>IF('Input Sheet'!F945=0, "NO",CONCATENATE('Input Sheet'!F945, IF('Input Sheet'!F945&gt;0,"% ","")))</f>
        <v>NO</v>
      </c>
      <c r="L9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4" s="31" t="str">
        <f>CONCATENATE(L944, IF('Input Sheet'!J946="",""," siderite in "))</f>
        <v/>
      </c>
      <c r="N94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4" s="31" t="str">
        <f>CONCATENATE(N944, IF('Input Sheet'!K946="",""," siderite in "))</f>
        <v/>
      </c>
    </row>
    <row r="945" spans="1:15" x14ac:dyDescent="0.35">
      <c r="A945" s="42" t="str">
        <f>IF('Input Sheet'!C947="","",CONCATENATE("Sample ", 'Input Sheet'!B947, "m: ", M945, G945, "% ", "Siltstone, ", O945, 'Input Sheet'!C947, "% ", I945, " Sandstone, ", K945, J945, " FLUOR in SST. ", "TG ", 'Input Sheet'!I947, "U"))</f>
        <v/>
      </c>
      <c r="B945" s="28" t="str">
        <f>IF('Input Sheet'!C947="","",CONCATENATE("Sample ", 'Input Sheet'!B947, "m: ", N945, H945, "% ", "Siltstone, ", P945, 'Input Sheet'!C947, "% ", J945, " Sandstone "))</f>
        <v/>
      </c>
      <c r="C945" s="28" t="str">
        <f>IF('Input Sheet'!C947="","",CONCATENATE("Sample ", 'Input Sheet'!B947, "m: ", M945,, K945, J945, " FLUOR in SST. ", "TG ", 'Input Sheet'!I947, "U"))</f>
        <v/>
      </c>
      <c r="G945" s="31" t="str">
        <f>IF('Input Sheet'!C947="","",100-'Input Sheet'!C947)</f>
        <v/>
      </c>
      <c r="H9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5" s="31" t="str">
        <f t="shared" si="14"/>
        <v/>
      </c>
      <c r="J9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5" s="31" t="str">
        <f>IF('Input Sheet'!F946=0, "NO",CONCATENATE('Input Sheet'!F946, IF('Input Sheet'!F946&gt;0,"% ","")))</f>
        <v>NO</v>
      </c>
      <c r="L9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5" s="31" t="str">
        <f>CONCATENATE(L945, IF('Input Sheet'!J947="",""," siderite in "))</f>
        <v/>
      </c>
      <c r="N94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5" s="31" t="str">
        <f>CONCATENATE(N945, IF('Input Sheet'!K947="",""," siderite in "))</f>
        <v/>
      </c>
    </row>
    <row r="946" spans="1:15" x14ac:dyDescent="0.35">
      <c r="A946" s="42" t="str">
        <f>IF('Input Sheet'!C948="","",CONCATENATE("Sample ", 'Input Sheet'!B948, "m: ", M946, G946, "% ", "Siltstone, ", O946, 'Input Sheet'!C948, "% ", I946, " Sandstone, ", K946, J946, " FLUOR in SST. ", "TG ", 'Input Sheet'!I948, "U"))</f>
        <v/>
      </c>
      <c r="B946" s="28" t="str">
        <f>IF('Input Sheet'!C948="","",CONCATENATE("Sample ", 'Input Sheet'!B948, "m: ", N946, H946, "% ", "Siltstone, ", P946, 'Input Sheet'!C948, "% ", J946, " Sandstone "))</f>
        <v/>
      </c>
      <c r="C946" s="28" t="str">
        <f>IF('Input Sheet'!C948="","",CONCATENATE("Sample ", 'Input Sheet'!B948, "m: ", M946,, K946, J946, " FLUOR in SST. ", "TG ", 'Input Sheet'!I948, "U"))</f>
        <v/>
      </c>
      <c r="G946" s="31" t="str">
        <f>IF('Input Sheet'!C948="","",100-'Input Sheet'!C948)</f>
        <v/>
      </c>
      <c r="H9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6" s="31" t="str">
        <f t="shared" si="14"/>
        <v/>
      </c>
      <c r="J9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6" s="31" t="str">
        <f>IF('Input Sheet'!F947=0, "NO",CONCATENATE('Input Sheet'!F947, IF('Input Sheet'!F947&gt;0,"% ","")))</f>
        <v>NO</v>
      </c>
      <c r="L9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6" s="31" t="str">
        <f>CONCATENATE(L946, IF('Input Sheet'!J948="",""," siderite in "))</f>
        <v/>
      </c>
      <c r="N94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6" s="31" t="str">
        <f>CONCATENATE(N946, IF('Input Sheet'!K948="",""," siderite in "))</f>
        <v/>
      </c>
    </row>
    <row r="947" spans="1:15" x14ac:dyDescent="0.35">
      <c r="A947" s="42" t="str">
        <f>IF('Input Sheet'!C949="","",CONCATENATE("Sample ", 'Input Sheet'!B949, "m: ", M947, G947, "% ", "Siltstone, ", O947, 'Input Sheet'!C949, "% ", I947, " Sandstone, ", K947, J947, " FLUOR in SST. ", "TG ", 'Input Sheet'!I949, "U"))</f>
        <v/>
      </c>
      <c r="B947" s="28" t="str">
        <f>IF('Input Sheet'!C949="","",CONCATENATE("Sample ", 'Input Sheet'!B949, "m: ", N947, H947, "% ", "Siltstone, ", P947, 'Input Sheet'!C949, "% ", J947, " Sandstone "))</f>
        <v/>
      </c>
      <c r="C947" s="28" t="str">
        <f>IF('Input Sheet'!C949="","",CONCATENATE("Sample ", 'Input Sheet'!B949, "m: ", M947,, K947, J947, " FLUOR in SST. ", "TG ", 'Input Sheet'!I949, "U"))</f>
        <v/>
      </c>
      <c r="G947" s="31" t="str">
        <f>IF('Input Sheet'!C949="","",100-'Input Sheet'!C949)</f>
        <v/>
      </c>
      <c r="H9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7" s="31" t="str">
        <f t="shared" si="14"/>
        <v/>
      </c>
      <c r="J9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7" s="31" t="str">
        <f>IF('Input Sheet'!F948=0, "NO",CONCATENATE('Input Sheet'!F948, IF('Input Sheet'!F948&gt;0,"% ","")))</f>
        <v>NO</v>
      </c>
      <c r="L9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7" s="31" t="str">
        <f>CONCATENATE(L947, IF('Input Sheet'!J949="",""," siderite in "))</f>
        <v/>
      </c>
      <c r="N94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7" s="31" t="str">
        <f>CONCATENATE(N947, IF('Input Sheet'!K949="",""," siderite in "))</f>
        <v/>
      </c>
    </row>
    <row r="948" spans="1:15" x14ac:dyDescent="0.35">
      <c r="A948" s="42" t="str">
        <f>IF('Input Sheet'!C950="","",CONCATENATE("Sample ", 'Input Sheet'!B950, "m: ", M948, G948, "% ", "Siltstone, ", O948, 'Input Sheet'!C950, "% ", I948, " Sandstone, ", K948, J948, " FLUOR in SST. ", "TG ", 'Input Sheet'!I950, "U"))</f>
        <v/>
      </c>
      <c r="B948" s="28" t="str">
        <f>IF('Input Sheet'!C950="","",CONCATENATE("Sample ", 'Input Sheet'!B950, "m: ", N948, H948, "% ", "Siltstone, ", P948, 'Input Sheet'!C950, "% ", J948, " Sandstone "))</f>
        <v/>
      </c>
      <c r="C948" s="28" t="str">
        <f>IF('Input Sheet'!C950="","",CONCATENATE("Sample ", 'Input Sheet'!B950, "m: ", M948,, K948, J948, " FLUOR in SST. ", "TG ", 'Input Sheet'!I950, "U"))</f>
        <v/>
      </c>
      <c r="G948" s="31" t="str">
        <f>IF('Input Sheet'!C950="","",100-'Input Sheet'!C950)</f>
        <v/>
      </c>
      <c r="H9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8" s="31" t="str">
        <f t="shared" si="14"/>
        <v/>
      </c>
      <c r="J9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8" s="31" t="str">
        <f>IF('Input Sheet'!F949=0, "NO",CONCATENATE('Input Sheet'!F949, IF('Input Sheet'!F949&gt;0,"% ","")))</f>
        <v>NO</v>
      </c>
      <c r="L9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8" s="31" t="str">
        <f>CONCATENATE(L948, IF('Input Sheet'!J950="",""," siderite in "))</f>
        <v/>
      </c>
      <c r="N94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8" s="31" t="str">
        <f>CONCATENATE(N948, IF('Input Sheet'!K950="",""," siderite in "))</f>
        <v/>
      </c>
    </row>
    <row r="949" spans="1:15" x14ac:dyDescent="0.35">
      <c r="A949" s="42" t="str">
        <f>IF('Input Sheet'!C951="","",CONCATENATE("Sample ", 'Input Sheet'!B951, "m: ", M949, G949, "% ", "Siltstone, ", O949, 'Input Sheet'!C951, "% ", I949, " Sandstone, ", K949, J949, " FLUOR in SST. ", "TG ", 'Input Sheet'!I951, "U"))</f>
        <v/>
      </c>
      <c r="B949" s="28" t="str">
        <f>IF('Input Sheet'!C951="","",CONCATENATE("Sample ", 'Input Sheet'!B951, "m: ", N949, H949, "% ", "Siltstone, ", P949, 'Input Sheet'!C951, "% ", J949, " Sandstone "))</f>
        <v/>
      </c>
      <c r="C949" s="28" t="str">
        <f>IF('Input Sheet'!C951="","",CONCATENATE("Sample ", 'Input Sheet'!B951, "m: ", M949,, K949, J949, " FLUOR in SST. ", "TG ", 'Input Sheet'!I951, "U"))</f>
        <v/>
      </c>
      <c r="G949" s="31" t="str">
        <f>IF('Input Sheet'!C951="","",100-'Input Sheet'!C951)</f>
        <v/>
      </c>
      <c r="H9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9" s="31" t="str">
        <f t="shared" si="14"/>
        <v/>
      </c>
      <c r="J9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9" s="31" t="str">
        <f>IF('Input Sheet'!F950=0, "NO",CONCATENATE('Input Sheet'!F950, IF('Input Sheet'!F950&gt;0,"% ","")))</f>
        <v>NO</v>
      </c>
      <c r="L9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9" s="31" t="str">
        <f>CONCATENATE(L949, IF('Input Sheet'!J951="",""," siderite in "))</f>
        <v/>
      </c>
      <c r="N94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9" s="31" t="str">
        <f>CONCATENATE(N949, IF('Input Sheet'!K951="",""," siderite in "))</f>
        <v/>
      </c>
    </row>
    <row r="950" spans="1:15" x14ac:dyDescent="0.35">
      <c r="A950" s="42" t="str">
        <f>IF('Input Sheet'!C952="","",CONCATENATE("Sample ", 'Input Sheet'!B952, "m: ", M950, G950, "% ", "Siltstone, ", O950, 'Input Sheet'!C952, "% ", I950, " Sandstone, ", K950, J950, " FLUOR in SST. ", "TG ", 'Input Sheet'!I952, "U"))</f>
        <v/>
      </c>
      <c r="B950" s="28" t="str">
        <f>IF('Input Sheet'!C952="","",CONCATENATE("Sample ", 'Input Sheet'!B952, "m: ", N950, H950, "% ", "Siltstone, ", P950, 'Input Sheet'!C952, "% ", J950, " Sandstone "))</f>
        <v/>
      </c>
      <c r="C950" s="28" t="str">
        <f>IF('Input Sheet'!C952="","",CONCATENATE("Sample ", 'Input Sheet'!B952, "m: ", M950,, K950, J950, " FLUOR in SST. ", "TG ", 'Input Sheet'!I952, "U"))</f>
        <v/>
      </c>
      <c r="G950" s="31" t="str">
        <f>IF('Input Sheet'!C952="","",100-'Input Sheet'!C952)</f>
        <v/>
      </c>
      <c r="H9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0" s="31" t="str">
        <f t="shared" si="14"/>
        <v/>
      </c>
      <c r="J9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0" s="31" t="str">
        <f>IF('Input Sheet'!F951=0, "NO",CONCATENATE('Input Sheet'!F951, IF('Input Sheet'!F951&gt;0,"% ","")))</f>
        <v>NO</v>
      </c>
      <c r="L9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0" s="31" t="str">
        <f>CONCATENATE(L950, IF('Input Sheet'!J952="",""," siderite in "))</f>
        <v/>
      </c>
      <c r="N95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0" s="31" t="str">
        <f>CONCATENATE(N950, IF('Input Sheet'!K952="",""," siderite in "))</f>
        <v/>
      </c>
    </row>
    <row r="951" spans="1:15" x14ac:dyDescent="0.35">
      <c r="A951" s="42" t="str">
        <f>IF('Input Sheet'!C953="","",CONCATENATE("Sample ", 'Input Sheet'!B953, "m: ", M951, G951, "% ", "Siltstone, ", O951, 'Input Sheet'!C953, "% ", I951, " Sandstone, ", K951, J951, " FLUOR in SST. ", "TG ", 'Input Sheet'!I953, "U"))</f>
        <v/>
      </c>
      <c r="B951" s="28" t="str">
        <f>IF('Input Sheet'!C953="","",CONCATENATE("Sample ", 'Input Sheet'!B953, "m: ", N951, H951, "% ", "Siltstone, ", P951, 'Input Sheet'!C953, "% ", J951, " Sandstone "))</f>
        <v/>
      </c>
      <c r="C951" s="28" t="str">
        <f>IF('Input Sheet'!C953="","",CONCATENATE("Sample ", 'Input Sheet'!B953, "m: ", M951,, K951, J951, " FLUOR in SST. ", "TG ", 'Input Sheet'!I953, "U"))</f>
        <v/>
      </c>
      <c r="G951" s="31" t="str">
        <f>IF('Input Sheet'!C953="","",100-'Input Sheet'!C953)</f>
        <v/>
      </c>
      <c r="H9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1" s="31" t="str">
        <f t="shared" si="14"/>
        <v/>
      </c>
      <c r="J9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1" s="31" t="str">
        <f>IF('Input Sheet'!F952=0, "NO",CONCATENATE('Input Sheet'!F952, IF('Input Sheet'!F952&gt;0,"% ","")))</f>
        <v>NO</v>
      </c>
      <c r="L9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1" s="31" t="str">
        <f>CONCATENATE(L951, IF('Input Sheet'!J953="",""," siderite in "))</f>
        <v/>
      </c>
      <c r="N95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1" s="31" t="str">
        <f>CONCATENATE(N951, IF('Input Sheet'!K953="",""," siderite in "))</f>
        <v/>
      </c>
    </row>
    <row r="952" spans="1:15" x14ac:dyDescent="0.35">
      <c r="A952" s="42" t="str">
        <f>IF('Input Sheet'!C954="","",CONCATENATE("Sample ", 'Input Sheet'!B954, "m: ", M952, G952, "% ", "Siltstone, ", O952, 'Input Sheet'!C954, "% ", I952, " Sandstone, ", K952, J952, " FLUOR in SST. ", "TG ", 'Input Sheet'!I954, "U"))</f>
        <v/>
      </c>
      <c r="B952" s="28" t="str">
        <f>IF('Input Sheet'!C954="","",CONCATENATE("Sample ", 'Input Sheet'!B954, "m: ", N952, H952, "% ", "Siltstone, ", P952, 'Input Sheet'!C954, "% ", J952, " Sandstone "))</f>
        <v/>
      </c>
      <c r="C952" s="28" t="str">
        <f>IF('Input Sheet'!C954="","",CONCATENATE("Sample ", 'Input Sheet'!B954, "m: ", M952,, K952, J952, " FLUOR in SST. ", "TG ", 'Input Sheet'!I954, "U"))</f>
        <v/>
      </c>
      <c r="G952" s="31" t="str">
        <f>IF('Input Sheet'!C954="","",100-'Input Sheet'!C954)</f>
        <v/>
      </c>
      <c r="H9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2" s="31" t="str">
        <f t="shared" si="14"/>
        <v/>
      </c>
      <c r="J9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2" s="31" t="str">
        <f>IF('Input Sheet'!F953=0, "NO",CONCATENATE('Input Sheet'!F953, IF('Input Sheet'!F953&gt;0,"% ","")))</f>
        <v>NO</v>
      </c>
      <c r="L9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2" s="31" t="str">
        <f>CONCATENATE(L952, IF('Input Sheet'!J954="",""," siderite in "))</f>
        <v/>
      </c>
      <c r="N95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2" s="31" t="str">
        <f>CONCATENATE(N952, IF('Input Sheet'!K954="",""," siderite in "))</f>
        <v/>
      </c>
    </row>
    <row r="953" spans="1:15" x14ac:dyDescent="0.35">
      <c r="A953" s="42" t="str">
        <f>IF('Input Sheet'!C955="","",CONCATENATE("Sample ", 'Input Sheet'!B955, "m: ", M953, G953, "% ", "Siltstone, ", O953, 'Input Sheet'!C955, "% ", I953, " Sandstone, ", K953, J953, " FLUOR in SST. ", "TG ", 'Input Sheet'!I955, "U"))</f>
        <v/>
      </c>
      <c r="B953" s="28" t="str">
        <f>IF('Input Sheet'!C955="","",CONCATENATE("Sample ", 'Input Sheet'!B955, "m: ", N953, H953, "% ", "Siltstone, ", P953, 'Input Sheet'!C955, "% ", J953, " Sandstone "))</f>
        <v/>
      </c>
      <c r="C953" s="28" t="str">
        <f>IF('Input Sheet'!C955="","",CONCATENATE("Sample ", 'Input Sheet'!B955, "m: ", M953,, K953, J953, " FLUOR in SST. ", "TG ", 'Input Sheet'!I955, "U"))</f>
        <v/>
      </c>
      <c r="G953" s="31" t="str">
        <f>IF('Input Sheet'!C955="","",100-'Input Sheet'!C955)</f>
        <v/>
      </c>
      <c r="H9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3" s="31" t="str">
        <f t="shared" si="14"/>
        <v/>
      </c>
      <c r="J9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3" s="31" t="str">
        <f>IF('Input Sheet'!F954=0, "NO",CONCATENATE('Input Sheet'!F954, IF('Input Sheet'!F954&gt;0,"% ","")))</f>
        <v>NO</v>
      </c>
      <c r="L9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3" s="31" t="str">
        <f>CONCATENATE(L953, IF('Input Sheet'!J955="",""," siderite in "))</f>
        <v/>
      </c>
      <c r="N95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3" s="31" t="str">
        <f>CONCATENATE(N953, IF('Input Sheet'!K955="",""," siderite in "))</f>
        <v/>
      </c>
    </row>
    <row r="954" spans="1:15" x14ac:dyDescent="0.35">
      <c r="A954" s="42" t="str">
        <f>IF('Input Sheet'!C956="","",CONCATENATE("Sample ", 'Input Sheet'!B956, "m: ", M954, G954, "% ", "Siltstone, ", O954, 'Input Sheet'!C956, "% ", I954, " Sandstone, ", K954, J954, " FLUOR in SST. ", "TG ", 'Input Sheet'!I956, "U"))</f>
        <v/>
      </c>
      <c r="B954" s="28" t="str">
        <f>IF('Input Sheet'!C956="","",CONCATENATE("Sample ", 'Input Sheet'!B956, "m: ", N954, H954, "% ", "Siltstone, ", P954, 'Input Sheet'!C956, "% ", J954, " Sandstone "))</f>
        <v/>
      </c>
      <c r="C954" s="28" t="str">
        <f>IF('Input Sheet'!C956="","",CONCATENATE("Sample ", 'Input Sheet'!B956, "m: ", M954,, K954, J954, " FLUOR in SST. ", "TG ", 'Input Sheet'!I956, "U"))</f>
        <v/>
      </c>
      <c r="G954" s="31" t="str">
        <f>IF('Input Sheet'!C956="","",100-'Input Sheet'!C956)</f>
        <v/>
      </c>
      <c r="H9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4" s="31" t="str">
        <f t="shared" si="14"/>
        <v/>
      </c>
      <c r="J9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4" s="31" t="str">
        <f>IF('Input Sheet'!F955=0, "NO",CONCATENATE('Input Sheet'!F955, IF('Input Sheet'!F955&gt;0,"% ","")))</f>
        <v>NO</v>
      </c>
      <c r="L9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4" s="31" t="str">
        <f>CONCATENATE(L954, IF('Input Sheet'!J956="",""," siderite in "))</f>
        <v/>
      </c>
      <c r="N95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4" s="31" t="str">
        <f>CONCATENATE(N954, IF('Input Sheet'!K956="",""," siderite in "))</f>
        <v/>
      </c>
    </row>
    <row r="955" spans="1:15" x14ac:dyDescent="0.35">
      <c r="A955" s="42" t="str">
        <f>IF('Input Sheet'!C957="","",CONCATENATE("Sample ", 'Input Sheet'!B957, "m: ", M955, G955, "% ", "Siltstone, ", O955, 'Input Sheet'!C957, "% ", I955, " Sandstone, ", K955, J955, " FLUOR in SST. ", "TG ", 'Input Sheet'!I957, "U"))</f>
        <v/>
      </c>
      <c r="B955" s="28" t="str">
        <f>IF('Input Sheet'!C957="","",CONCATENATE("Sample ", 'Input Sheet'!B957, "m: ", N955, H955, "% ", "Siltstone, ", P955, 'Input Sheet'!C957, "% ", J955, " Sandstone "))</f>
        <v/>
      </c>
      <c r="C955" s="28" t="str">
        <f>IF('Input Sheet'!C957="","",CONCATENATE("Sample ", 'Input Sheet'!B957, "m: ", M955,, K955, J955, " FLUOR in SST. ", "TG ", 'Input Sheet'!I957, "U"))</f>
        <v/>
      </c>
      <c r="G955" s="31" t="str">
        <f>IF('Input Sheet'!C957="","",100-'Input Sheet'!C957)</f>
        <v/>
      </c>
      <c r="H9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5" s="31" t="str">
        <f t="shared" si="14"/>
        <v/>
      </c>
      <c r="J9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5" s="31" t="str">
        <f>IF('Input Sheet'!F956=0, "NO",CONCATENATE('Input Sheet'!F956, IF('Input Sheet'!F956&gt;0,"% ","")))</f>
        <v>NO</v>
      </c>
      <c r="L9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5" s="31" t="str">
        <f>CONCATENATE(L955, IF('Input Sheet'!J957="",""," siderite in "))</f>
        <v/>
      </c>
      <c r="N95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5" s="31" t="str">
        <f>CONCATENATE(N955, IF('Input Sheet'!K957="",""," siderite in "))</f>
        <v/>
      </c>
    </row>
    <row r="956" spans="1:15" x14ac:dyDescent="0.35">
      <c r="A956" s="42" t="str">
        <f>IF('Input Sheet'!C958="","",CONCATENATE("Sample ", 'Input Sheet'!B958, "m: ", M956, G956, "% ", "Siltstone, ", O956, 'Input Sheet'!C958, "% ", I956, " Sandstone, ", K956, J956, " FLUOR in SST. ", "TG ", 'Input Sheet'!I958, "U"))</f>
        <v/>
      </c>
      <c r="B956" s="28" t="str">
        <f>IF('Input Sheet'!C958="","",CONCATENATE("Sample ", 'Input Sheet'!B958, "m: ", N956, H956, "% ", "Siltstone, ", P956, 'Input Sheet'!C958, "% ", J956, " Sandstone "))</f>
        <v/>
      </c>
      <c r="C956" s="28" t="str">
        <f>IF('Input Sheet'!C958="","",CONCATENATE("Sample ", 'Input Sheet'!B958, "m: ", M956,, K956, J956, " FLUOR in SST. ", "TG ", 'Input Sheet'!I958, "U"))</f>
        <v/>
      </c>
      <c r="G956" s="31" t="str">
        <f>IF('Input Sheet'!C958="","",100-'Input Sheet'!C958)</f>
        <v/>
      </c>
      <c r="H9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6" s="31" t="str">
        <f t="shared" si="14"/>
        <v/>
      </c>
      <c r="J9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6" s="31" t="str">
        <f>IF('Input Sheet'!F957=0, "NO",CONCATENATE('Input Sheet'!F957, IF('Input Sheet'!F957&gt;0,"% ","")))</f>
        <v>NO</v>
      </c>
      <c r="L9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6" s="31" t="str">
        <f>CONCATENATE(L956, IF('Input Sheet'!J958="",""," siderite in "))</f>
        <v/>
      </c>
      <c r="N95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6" s="31" t="str">
        <f>CONCATENATE(N956, IF('Input Sheet'!K958="",""," siderite in "))</f>
        <v/>
      </c>
    </row>
    <row r="957" spans="1:15" x14ac:dyDescent="0.35">
      <c r="A957" s="42" t="str">
        <f>IF('Input Sheet'!C959="","",CONCATENATE("Sample ", 'Input Sheet'!B959, "m: ", M957, G957, "% ", "Siltstone, ", O957, 'Input Sheet'!C959, "% ", I957, " Sandstone, ", K957, J957, " FLUOR in SST. ", "TG ", 'Input Sheet'!I959, "U"))</f>
        <v/>
      </c>
      <c r="B957" s="28" t="str">
        <f>IF('Input Sheet'!C959="","",CONCATENATE("Sample ", 'Input Sheet'!B959, "m: ", N957, H957, "% ", "Siltstone, ", P957, 'Input Sheet'!C959, "% ", J957, " Sandstone "))</f>
        <v/>
      </c>
      <c r="C957" s="28" t="str">
        <f>IF('Input Sheet'!C959="","",CONCATENATE("Sample ", 'Input Sheet'!B959, "m: ", M957,, K957, J957, " FLUOR in SST. ", "TG ", 'Input Sheet'!I959, "U"))</f>
        <v/>
      </c>
      <c r="G957" s="31" t="str">
        <f>IF('Input Sheet'!C959="","",100-'Input Sheet'!C959)</f>
        <v/>
      </c>
      <c r="H9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7" s="31" t="str">
        <f t="shared" si="14"/>
        <v/>
      </c>
      <c r="J9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7" s="31" t="str">
        <f>IF('Input Sheet'!F958=0, "NO",CONCATENATE('Input Sheet'!F958, IF('Input Sheet'!F958&gt;0,"% ","")))</f>
        <v>NO</v>
      </c>
      <c r="L9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7" s="31" t="str">
        <f>CONCATENATE(L957, IF('Input Sheet'!J959="",""," siderite in "))</f>
        <v/>
      </c>
      <c r="N95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7" s="31" t="str">
        <f>CONCATENATE(N957, IF('Input Sheet'!K959="",""," siderite in "))</f>
        <v/>
      </c>
    </row>
    <row r="958" spans="1:15" x14ac:dyDescent="0.35">
      <c r="A958" s="42" t="str">
        <f>IF('Input Sheet'!C960="","",CONCATENATE("Sample ", 'Input Sheet'!B960, "m: ", M958, G958, "% ", "Siltstone, ", O958, 'Input Sheet'!C960, "% ", I958, " Sandstone, ", K958, J958, " FLUOR in SST. ", "TG ", 'Input Sheet'!I960, "U"))</f>
        <v/>
      </c>
      <c r="B958" s="28" t="str">
        <f>IF('Input Sheet'!C960="","",CONCATENATE("Sample ", 'Input Sheet'!B960, "m: ", N958, H958, "% ", "Siltstone, ", P958, 'Input Sheet'!C960, "% ", J958, " Sandstone "))</f>
        <v/>
      </c>
      <c r="C958" s="28" t="str">
        <f>IF('Input Sheet'!C960="","",CONCATENATE("Sample ", 'Input Sheet'!B960, "m: ", M958,, K958, J958, " FLUOR in SST. ", "TG ", 'Input Sheet'!I960, "U"))</f>
        <v/>
      </c>
      <c r="G958" s="31" t="str">
        <f>IF('Input Sheet'!C960="","",100-'Input Sheet'!C960)</f>
        <v/>
      </c>
      <c r="H9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8" s="31" t="str">
        <f t="shared" si="14"/>
        <v/>
      </c>
      <c r="J9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8" s="31" t="str">
        <f>IF('Input Sheet'!F959=0, "NO",CONCATENATE('Input Sheet'!F959, IF('Input Sheet'!F959&gt;0,"% ","")))</f>
        <v>NO</v>
      </c>
      <c r="L9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8" s="31" t="str">
        <f>CONCATENATE(L958, IF('Input Sheet'!J960="",""," siderite in "))</f>
        <v/>
      </c>
      <c r="N95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8" s="31" t="str">
        <f>CONCATENATE(N958, IF('Input Sheet'!K960="",""," siderite in "))</f>
        <v/>
      </c>
    </row>
    <row r="959" spans="1:15" x14ac:dyDescent="0.35">
      <c r="A959" s="42" t="str">
        <f>IF('Input Sheet'!C961="","",CONCATENATE("Sample ", 'Input Sheet'!B961, "m: ", M959, G959, "% ", "Siltstone, ", O959, 'Input Sheet'!C961, "% ", I959, " Sandstone, ", K959, J959, " FLUOR in SST. ", "TG ", 'Input Sheet'!I961, "U"))</f>
        <v/>
      </c>
      <c r="B959" s="28" t="str">
        <f>IF('Input Sheet'!C961="","",CONCATENATE("Sample ", 'Input Sheet'!B961, "m: ", N959, H959, "% ", "Siltstone, ", P959, 'Input Sheet'!C961, "% ", J959, " Sandstone "))</f>
        <v/>
      </c>
      <c r="C959" s="28" t="str">
        <f>IF('Input Sheet'!C961="","",CONCATENATE("Sample ", 'Input Sheet'!B961, "m: ", M959,, K959, J959, " FLUOR in SST. ", "TG ", 'Input Sheet'!I961, "U"))</f>
        <v/>
      </c>
      <c r="G959" s="31" t="str">
        <f>IF('Input Sheet'!C961="","",100-'Input Sheet'!C961)</f>
        <v/>
      </c>
      <c r="H9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9" s="31" t="str">
        <f t="shared" si="14"/>
        <v/>
      </c>
      <c r="J9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9" s="31" t="str">
        <f>IF('Input Sheet'!F960=0, "NO",CONCATENATE('Input Sheet'!F960, IF('Input Sheet'!F960&gt;0,"% ","")))</f>
        <v>NO</v>
      </c>
      <c r="L9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9" s="31" t="str">
        <f>CONCATENATE(L959, IF('Input Sheet'!J961="",""," siderite in "))</f>
        <v/>
      </c>
      <c r="N95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9" s="31" t="str">
        <f>CONCATENATE(N959, IF('Input Sheet'!K961="",""," siderite in "))</f>
        <v/>
      </c>
    </row>
    <row r="960" spans="1:15" x14ac:dyDescent="0.35">
      <c r="A960" s="42" t="str">
        <f>IF('Input Sheet'!C962="","",CONCATENATE("Sample ", 'Input Sheet'!B962, "m: ", M960, G960, "% ", "Siltstone, ", O960, 'Input Sheet'!C962, "% ", I960, " Sandstone, ", K960, J960, " FLUOR in SST. ", "TG ", 'Input Sheet'!I962, "U"))</f>
        <v/>
      </c>
      <c r="B960" s="28" t="str">
        <f>IF('Input Sheet'!C962="","",CONCATENATE("Sample ", 'Input Sheet'!B962, "m: ", N960, H960, "% ", "Siltstone, ", P960, 'Input Sheet'!C962, "% ", J960, " Sandstone "))</f>
        <v/>
      </c>
      <c r="C960" s="28" t="str">
        <f>IF('Input Sheet'!C962="","",CONCATENATE("Sample ", 'Input Sheet'!B962, "m: ", M960,, K960, J960, " FLUOR in SST. ", "TG ", 'Input Sheet'!I962, "U"))</f>
        <v/>
      </c>
      <c r="G960" s="31" t="str">
        <f>IF('Input Sheet'!C962="","",100-'Input Sheet'!C962)</f>
        <v/>
      </c>
      <c r="H9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0" s="31" t="str">
        <f t="shared" si="14"/>
        <v/>
      </c>
      <c r="J9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0" s="31" t="str">
        <f>IF('Input Sheet'!F961=0, "NO",CONCATENATE('Input Sheet'!F961, IF('Input Sheet'!F961&gt;0,"% ","")))</f>
        <v>NO</v>
      </c>
      <c r="L9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0" s="31" t="str">
        <f>CONCATENATE(L960, IF('Input Sheet'!J962="",""," siderite in "))</f>
        <v/>
      </c>
      <c r="N96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0" s="31" t="str">
        <f>CONCATENATE(N960, IF('Input Sheet'!K962="",""," siderite in "))</f>
        <v/>
      </c>
    </row>
    <row r="961" spans="1:15" x14ac:dyDescent="0.35">
      <c r="A961" s="42" t="str">
        <f>IF('Input Sheet'!C963="","",CONCATENATE("Sample ", 'Input Sheet'!B963, "m: ", M961, G961, "% ", "Siltstone, ", O961, 'Input Sheet'!C963, "% ", I961, " Sandstone, ", K961, J961, " FLUOR in SST. ", "TG ", 'Input Sheet'!I963, "U"))</f>
        <v/>
      </c>
      <c r="B961" s="28" t="str">
        <f>IF('Input Sheet'!C963="","",CONCATENATE("Sample ", 'Input Sheet'!B963, "m: ", N961, H961, "% ", "Siltstone, ", P961, 'Input Sheet'!C963, "% ", J961, " Sandstone "))</f>
        <v/>
      </c>
      <c r="C961" s="28" t="str">
        <f>IF('Input Sheet'!C963="","",CONCATENATE("Sample ", 'Input Sheet'!B963, "m: ", M961,, K961, J961, " FLUOR in SST. ", "TG ", 'Input Sheet'!I963, "U"))</f>
        <v/>
      </c>
      <c r="G961" s="31" t="str">
        <f>IF('Input Sheet'!C963="","",100-'Input Sheet'!C963)</f>
        <v/>
      </c>
      <c r="H9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1" s="31" t="str">
        <f t="shared" si="14"/>
        <v/>
      </c>
      <c r="J9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1" s="31" t="str">
        <f>IF('Input Sheet'!F962=0, "NO",CONCATENATE('Input Sheet'!F962, IF('Input Sheet'!F962&gt;0,"% ","")))</f>
        <v>NO</v>
      </c>
      <c r="L9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1" s="31" t="str">
        <f>CONCATENATE(L961, IF('Input Sheet'!J963="",""," siderite in "))</f>
        <v/>
      </c>
      <c r="N96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1" s="31" t="str">
        <f>CONCATENATE(N961, IF('Input Sheet'!K963="",""," siderite in "))</f>
        <v/>
      </c>
    </row>
    <row r="962" spans="1:15" x14ac:dyDescent="0.35">
      <c r="A962" s="42" t="str">
        <f>IF('Input Sheet'!C964="","",CONCATENATE("Sample ", 'Input Sheet'!B964, "m: ", M962, G962, "% ", "Siltstone, ", O962, 'Input Sheet'!C964, "% ", I962, " Sandstone, ", K962, J962, " FLUOR in SST. ", "TG ", 'Input Sheet'!I964, "U"))</f>
        <v/>
      </c>
      <c r="B962" s="28" t="str">
        <f>IF('Input Sheet'!C964="","",CONCATENATE("Sample ", 'Input Sheet'!B964, "m: ", N962, H962, "% ", "Siltstone, ", P962, 'Input Sheet'!C964, "% ", J962, " Sandstone "))</f>
        <v/>
      </c>
      <c r="C962" s="28" t="str">
        <f>IF('Input Sheet'!C964="","",CONCATENATE("Sample ", 'Input Sheet'!B964, "m: ", M962,, K962, J962, " FLUOR in SST. ", "TG ", 'Input Sheet'!I964, "U"))</f>
        <v/>
      </c>
      <c r="G962" s="31" t="str">
        <f>IF('Input Sheet'!C964="","",100-'Input Sheet'!C964)</f>
        <v/>
      </c>
      <c r="H9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2" s="31" t="str">
        <f t="shared" ref="I962:I999" si="15">SUBSTITUTE(H962, "veryfine", "very fine")</f>
        <v/>
      </c>
      <c r="J9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2" s="31" t="str">
        <f>IF('Input Sheet'!F963=0, "NO",CONCATENATE('Input Sheet'!F963, IF('Input Sheet'!F963&gt;0,"% ","")))</f>
        <v>NO</v>
      </c>
      <c r="L9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2" s="31" t="str">
        <f>CONCATENATE(L962, IF('Input Sheet'!J964="",""," siderite in "))</f>
        <v/>
      </c>
      <c r="N96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2" s="31" t="str">
        <f>CONCATENATE(N962, IF('Input Sheet'!K964="",""," siderite in "))</f>
        <v/>
      </c>
    </row>
    <row r="963" spans="1:15" x14ac:dyDescent="0.35">
      <c r="A963" s="42" t="str">
        <f>IF('Input Sheet'!C965="","",CONCATENATE("Sample ", 'Input Sheet'!B965, "m: ", M963, G963, "% ", "Siltstone, ", O963, 'Input Sheet'!C965, "% ", I963, " Sandstone, ", K963, J963, " FLUOR in SST. ", "TG ", 'Input Sheet'!I965, "U"))</f>
        <v/>
      </c>
      <c r="B963" s="28" t="str">
        <f>IF('Input Sheet'!C965="","",CONCATENATE("Sample ", 'Input Sheet'!B965, "m: ", N963, H963, "% ", "Siltstone, ", P963, 'Input Sheet'!C965, "% ", J963, " Sandstone "))</f>
        <v/>
      </c>
      <c r="C963" s="28" t="str">
        <f>IF('Input Sheet'!C965="","",CONCATENATE("Sample ", 'Input Sheet'!B965, "m: ", M963,, K963, J963, " FLUOR in SST. ", "TG ", 'Input Sheet'!I965, "U"))</f>
        <v/>
      </c>
      <c r="G963" s="31" t="str">
        <f>IF('Input Sheet'!C965="","",100-'Input Sheet'!C965)</f>
        <v/>
      </c>
      <c r="H9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3" s="31" t="str">
        <f t="shared" si="15"/>
        <v/>
      </c>
      <c r="J9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3" s="31" t="str">
        <f>IF('Input Sheet'!F964=0, "NO",CONCATENATE('Input Sheet'!F964, IF('Input Sheet'!F964&gt;0,"% ","")))</f>
        <v>NO</v>
      </c>
      <c r="L9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3" s="31" t="str">
        <f>CONCATENATE(L963, IF('Input Sheet'!J965="",""," siderite in "))</f>
        <v/>
      </c>
      <c r="N96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3" s="31" t="str">
        <f>CONCATENATE(N963, IF('Input Sheet'!K965="",""," siderite in "))</f>
        <v/>
      </c>
    </row>
    <row r="964" spans="1:15" x14ac:dyDescent="0.35">
      <c r="A964" s="42" t="str">
        <f>IF('Input Sheet'!C966="","",CONCATENATE("Sample ", 'Input Sheet'!B966, "m: ", M964, G964, "% ", "Siltstone, ", O964, 'Input Sheet'!C966, "% ", I964, " Sandstone, ", K964, J964, " FLUOR in SST. ", "TG ", 'Input Sheet'!I966, "U"))</f>
        <v/>
      </c>
      <c r="B964" s="28" t="str">
        <f>IF('Input Sheet'!C966="","",CONCATENATE("Sample ", 'Input Sheet'!B966, "m: ", N964, H964, "% ", "Siltstone, ", P964, 'Input Sheet'!C966, "% ", J964, " Sandstone "))</f>
        <v/>
      </c>
      <c r="C964" s="28" t="str">
        <f>IF('Input Sheet'!C966="","",CONCATENATE("Sample ", 'Input Sheet'!B966, "m: ", M964,, K964, J964, " FLUOR in SST. ", "TG ", 'Input Sheet'!I966, "U"))</f>
        <v/>
      </c>
      <c r="G964" s="31" t="str">
        <f>IF('Input Sheet'!C966="","",100-'Input Sheet'!C966)</f>
        <v/>
      </c>
      <c r="H9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4" s="31" t="str">
        <f t="shared" si="15"/>
        <v/>
      </c>
      <c r="J9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4" s="31" t="str">
        <f>IF('Input Sheet'!F965=0, "NO",CONCATENATE('Input Sheet'!F965, IF('Input Sheet'!F965&gt;0,"% ","")))</f>
        <v>NO</v>
      </c>
      <c r="L9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4" s="31" t="str">
        <f>CONCATENATE(L964, IF('Input Sheet'!J966="",""," siderite in "))</f>
        <v/>
      </c>
      <c r="N96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4" s="31" t="str">
        <f>CONCATENATE(N964, IF('Input Sheet'!K966="",""," siderite in "))</f>
        <v/>
      </c>
    </row>
    <row r="965" spans="1:15" x14ac:dyDescent="0.35">
      <c r="A965" s="42" t="str">
        <f>IF('Input Sheet'!C967="","",CONCATENATE("Sample ", 'Input Sheet'!B967, "m: ", M965, G965, "% ", "Siltstone, ", O965, 'Input Sheet'!C967, "% ", I965, " Sandstone, ", K965, J965, " FLUOR in SST. ", "TG ", 'Input Sheet'!I967, "U"))</f>
        <v/>
      </c>
      <c r="B965" s="28" t="str">
        <f>IF('Input Sheet'!C967="","",CONCATENATE("Sample ", 'Input Sheet'!B967, "m: ", N965, H965, "% ", "Siltstone, ", P965, 'Input Sheet'!C967, "% ", J965, " Sandstone "))</f>
        <v/>
      </c>
      <c r="C965" s="28" t="str">
        <f>IF('Input Sheet'!C967="","",CONCATENATE("Sample ", 'Input Sheet'!B967, "m: ", M965,, K965, J965, " FLUOR in SST. ", "TG ", 'Input Sheet'!I967, "U"))</f>
        <v/>
      </c>
      <c r="G965" s="31" t="str">
        <f>IF('Input Sheet'!C967="","",100-'Input Sheet'!C967)</f>
        <v/>
      </c>
      <c r="H9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5" s="31" t="str">
        <f t="shared" si="15"/>
        <v/>
      </c>
      <c r="J9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5" s="31" t="str">
        <f>IF('Input Sheet'!F966=0, "NO",CONCATENATE('Input Sheet'!F966, IF('Input Sheet'!F966&gt;0,"% ","")))</f>
        <v>NO</v>
      </c>
      <c r="L9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5" s="31" t="str">
        <f>CONCATENATE(L965, IF('Input Sheet'!J967="",""," siderite in "))</f>
        <v/>
      </c>
      <c r="N96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5" s="31" t="str">
        <f>CONCATENATE(N965, IF('Input Sheet'!K967="",""," siderite in "))</f>
        <v/>
      </c>
    </row>
    <row r="966" spans="1:15" x14ac:dyDescent="0.35">
      <c r="A966" s="42" t="str">
        <f>IF('Input Sheet'!C968="","",CONCATENATE("Sample ", 'Input Sheet'!B968, "m: ", M966, G966, "% ", "Siltstone, ", O966, 'Input Sheet'!C968, "% ", I966, " Sandstone, ", K966, J966, " FLUOR in SST. ", "TG ", 'Input Sheet'!I968, "U"))</f>
        <v/>
      </c>
      <c r="B966" s="28" t="str">
        <f>IF('Input Sheet'!C968="","",CONCATENATE("Sample ", 'Input Sheet'!B968, "m: ", N966, H966, "% ", "Siltstone, ", P966, 'Input Sheet'!C968, "% ", J966, " Sandstone "))</f>
        <v/>
      </c>
      <c r="C966" s="28" t="str">
        <f>IF('Input Sheet'!C968="","",CONCATENATE("Sample ", 'Input Sheet'!B968, "m: ", M966,, K966, J966, " FLUOR in SST. ", "TG ", 'Input Sheet'!I968, "U"))</f>
        <v/>
      </c>
      <c r="G966" s="31" t="str">
        <f>IF('Input Sheet'!C968="","",100-'Input Sheet'!C968)</f>
        <v/>
      </c>
      <c r="H9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6" s="31" t="str">
        <f t="shared" si="15"/>
        <v/>
      </c>
      <c r="J9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6" s="31" t="str">
        <f>IF('Input Sheet'!F967=0, "NO",CONCATENATE('Input Sheet'!F967, IF('Input Sheet'!F967&gt;0,"% ","")))</f>
        <v>NO</v>
      </c>
      <c r="L9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6" s="31" t="str">
        <f>CONCATENATE(L966, IF('Input Sheet'!J968="",""," siderite in "))</f>
        <v/>
      </c>
      <c r="N96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6" s="31" t="str">
        <f>CONCATENATE(N966, IF('Input Sheet'!K968="",""," siderite in "))</f>
        <v/>
      </c>
    </row>
    <row r="967" spans="1:15" x14ac:dyDescent="0.35">
      <c r="A967" s="42" t="str">
        <f>IF('Input Sheet'!C969="","",CONCATENATE("Sample ", 'Input Sheet'!B969, "m: ", M967, G967, "% ", "Siltstone, ", O967, 'Input Sheet'!C969, "% ", I967, " Sandstone, ", K967, J967, " FLUOR in SST. ", "TG ", 'Input Sheet'!I969, "U"))</f>
        <v/>
      </c>
      <c r="B967" s="28" t="str">
        <f>IF('Input Sheet'!C969="","",CONCATENATE("Sample ", 'Input Sheet'!B969, "m: ", N967, H967, "% ", "Siltstone, ", P967, 'Input Sheet'!C969, "% ", J967, " Sandstone "))</f>
        <v/>
      </c>
      <c r="C967" s="28" t="str">
        <f>IF('Input Sheet'!C969="","",CONCATENATE("Sample ", 'Input Sheet'!B969, "m: ", M967,, K967, J967, " FLUOR in SST. ", "TG ", 'Input Sheet'!I969, "U"))</f>
        <v/>
      </c>
      <c r="G967" s="31" t="str">
        <f>IF('Input Sheet'!C969="","",100-'Input Sheet'!C969)</f>
        <v/>
      </c>
      <c r="H9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7" s="31" t="str">
        <f t="shared" si="15"/>
        <v/>
      </c>
      <c r="J9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7" s="31" t="str">
        <f>IF('Input Sheet'!F968=0, "NO",CONCATENATE('Input Sheet'!F968, IF('Input Sheet'!F968&gt;0,"% ","")))</f>
        <v>NO</v>
      </c>
      <c r="L9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7" s="31" t="str">
        <f>CONCATENATE(L967, IF('Input Sheet'!J969="",""," siderite in "))</f>
        <v/>
      </c>
      <c r="N96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7" s="31" t="str">
        <f>CONCATENATE(N967, IF('Input Sheet'!K969="",""," siderite in "))</f>
        <v/>
      </c>
    </row>
    <row r="968" spans="1:15" x14ac:dyDescent="0.35">
      <c r="A968" s="42" t="str">
        <f>IF('Input Sheet'!C970="","",CONCATENATE("Sample ", 'Input Sheet'!B970, "m: ", M968, G968, "% ", "Siltstone, ", O968, 'Input Sheet'!C970, "% ", I968, " Sandstone, ", K968, J968, " FLUOR in SST. ", "TG ", 'Input Sheet'!I970, "U"))</f>
        <v/>
      </c>
      <c r="B968" s="28" t="str">
        <f>IF('Input Sheet'!C970="","",CONCATENATE("Sample ", 'Input Sheet'!B970, "m: ", N968, H968, "% ", "Siltstone, ", P968, 'Input Sheet'!C970, "% ", J968, " Sandstone "))</f>
        <v/>
      </c>
      <c r="C968" s="28" t="str">
        <f>IF('Input Sheet'!C970="","",CONCATENATE("Sample ", 'Input Sheet'!B970, "m: ", M968,, K968, J968, " FLUOR in SST. ", "TG ", 'Input Sheet'!I970, "U"))</f>
        <v/>
      </c>
      <c r="G968" s="31" t="str">
        <f>IF('Input Sheet'!C970="","",100-'Input Sheet'!C970)</f>
        <v/>
      </c>
      <c r="H9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8" s="31" t="str">
        <f t="shared" si="15"/>
        <v/>
      </c>
      <c r="J9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8" s="31" t="str">
        <f>IF('Input Sheet'!F969=0, "NO",CONCATENATE('Input Sheet'!F969, IF('Input Sheet'!F969&gt;0,"% ","")))</f>
        <v>NO</v>
      </c>
      <c r="L9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8" s="31" t="str">
        <f>CONCATENATE(L968, IF('Input Sheet'!J970="",""," siderite in "))</f>
        <v/>
      </c>
      <c r="N96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8" s="31" t="str">
        <f>CONCATENATE(N968, IF('Input Sheet'!K970="",""," siderite in "))</f>
        <v/>
      </c>
    </row>
    <row r="969" spans="1:15" x14ac:dyDescent="0.35">
      <c r="A969" s="42" t="str">
        <f>IF('Input Sheet'!C971="","",CONCATENATE("Sample ", 'Input Sheet'!B971, "m: ", M969, G969, "% ", "Siltstone, ", O969, 'Input Sheet'!C971, "% ", I969, " Sandstone, ", K969, J969, " FLUOR in SST. ", "TG ", 'Input Sheet'!I971, "U"))</f>
        <v/>
      </c>
      <c r="B969" s="28" t="str">
        <f>IF('Input Sheet'!C971="","",CONCATENATE("Sample ", 'Input Sheet'!B971, "m: ", N969, H969, "% ", "Siltstone, ", P969, 'Input Sheet'!C971, "% ", J969, " Sandstone "))</f>
        <v/>
      </c>
      <c r="C969" s="28" t="str">
        <f>IF('Input Sheet'!C971="","",CONCATENATE("Sample ", 'Input Sheet'!B971, "m: ", M969,, K969, J969, " FLUOR in SST. ", "TG ", 'Input Sheet'!I971, "U"))</f>
        <v/>
      </c>
      <c r="G969" s="31" t="str">
        <f>IF('Input Sheet'!C971="","",100-'Input Sheet'!C971)</f>
        <v/>
      </c>
      <c r="H9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9" s="31" t="str">
        <f t="shared" si="15"/>
        <v/>
      </c>
      <c r="J9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9" s="31" t="str">
        <f>IF('Input Sheet'!F970=0, "NO",CONCATENATE('Input Sheet'!F970, IF('Input Sheet'!F970&gt;0,"% ","")))</f>
        <v>NO</v>
      </c>
      <c r="L9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9" s="31" t="str">
        <f>CONCATENATE(L969, IF('Input Sheet'!J971="",""," siderite in "))</f>
        <v/>
      </c>
      <c r="N96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9" s="31" t="str">
        <f>CONCATENATE(N969, IF('Input Sheet'!K971="",""," siderite in "))</f>
        <v/>
      </c>
    </row>
    <row r="970" spans="1:15" x14ac:dyDescent="0.35">
      <c r="A970" s="42" t="str">
        <f>IF('Input Sheet'!C972="","",CONCATENATE("Sample ", 'Input Sheet'!B972, "m: ", M970, G970, "% ", "Siltstone, ", O970, 'Input Sheet'!C972, "% ", I970, " Sandstone, ", K970, J970, " FLUOR in SST. ", "TG ", 'Input Sheet'!I972, "U"))</f>
        <v/>
      </c>
      <c r="B970" s="28" t="str">
        <f>IF('Input Sheet'!C972="","",CONCATENATE("Sample ", 'Input Sheet'!B972, "m: ", N970, H970, "% ", "Siltstone, ", P970, 'Input Sheet'!C972, "% ", J970, " Sandstone "))</f>
        <v/>
      </c>
      <c r="C970" s="28" t="str">
        <f>IF('Input Sheet'!C972="","",CONCATENATE("Sample ", 'Input Sheet'!B972, "m: ", M970,, K970, J970, " FLUOR in SST. ", "TG ", 'Input Sheet'!I972, "U"))</f>
        <v/>
      </c>
      <c r="G970" s="31" t="str">
        <f>IF('Input Sheet'!C972="","",100-'Input Sheet'!C972)</f>
        <v/>
      </c>
      <c r="H9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0" s="31" t="str">
        <f t="shared" si="15"/>
        <v/>
      </c>
      <c r="J9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0" s="31" t="str">
        <f>IF('Input Sheet'!F971=0, "NO",CONCATENATE('Input Sheet'!F971, IF('Input Sheet'!F971&gt;0,"% ","")))</f>
        <v>NO</v>
      </c>
      <c r="L9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0" s="31" t="str">
        <f>CONCATENATE(L970, IF('Input Sheet'!J972="",""," siderite in "))</f>
        <v/>
      </c>
      <c r="N97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0" s="31" t="str">
        <f>CONCATENATE(N970, IF('Input Sheet'!K972="",""," siderite in "))</f>
        <v/>
      </c>
    </row>
    <row r="971" spans="1:15" x14ac:dyDescent="0.35">
      <c r="A971" s="42" t="str">
        <f>IF('Input Sheet'!C973="","",CONCATENATE("Sample ", 'Input Sheet'!B973, "m: ", M971, G971, "% ", "Siltstone, ", O971, 'Input Sheet'!C973, "% ", I971, " Sandstone, ", K971, J971, " FLUOR in SST. ", "TG ", 'Input Sheet'!I973, "U"))</f>
        <v/>
      </c>
      <c r="B971" s="28" t="str">
        <f>IF('Input Sheet'!C973="","",CONCATENATE("Sample ", 'Input Sheet'!B973, "m: ", N971, H971, "% ", "Siltstone, ", P971, 'Input Sheet'!C973, "% ", J971, " Sandstone "))</f>
        <v/>
      </c>
      <c r="C971" s="28" t="str">
        <f>IF('Input Sheet'!C973="","",CONCATENATE("Sample ", 'Input Sheet'!B973, "m: ", M971,, K971, J971, " FLUOR in SST. ", "TG ", 'Input Sheet'!I973, "U"))</f>
        <v/>
      </c>
      <c r="G971" s="31" t="str">
        <f>IF('Input Sheet'!C973="","",100-'Input Sheet'!C973)</f>
        <v/>
      </c>
      <c r="H9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1" s="31" t="str">
        <f t="shared" si="15"/>
        <v/>
      </c>
      <c r="J9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1" s="31" t="str">
        <f>IF('Input Sheet'!F972=0, "NO",CONCATENATE('Input Sheet'!F972, IF('Input Sheet'!F972&gt;0,"% ","")))</f>
        <v>NO</v>
      </c>
      <c r="L9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1" s="31" t="str">
        <f>CONCATENATE(L971, IF('Input Sheet'!J973="",""," siderite in "))</f>
        <v/>
      </c>
      <c r="N97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1" s="31" t="str">
        <f>CONCATENATE(N971, IF('Input Sheet'!K973="",""," siderite in "))</f>
        <v/>
      </c>
    </row>
    <row r="972" spans="1:15" x14ac:dyDescent="0.35">
      <c r="A972" s="42" t="str">
        <f>IF('Input Sheet'!C974="","",CONCATENATE("Sample ", 'Input Sheet'!B974, "m: ", M972, G972, "% ", "Siltstone, ", O972, 'Input Sheet'!C974, "% ", I972, " Sandstone, ", K972, J972, " FLUOR in SST. ", "TG ", 'Input Sheet'!I974, "U"))</f>
        <v/>
      </c>
      <c r="B972" s="28" t="str">
        <f>IF('Input Sheet'!C974="","",CONCATENATE("Sample ", 'Input Sheet'!B974, "m: ", N972, H972, "% ", "Siltstone, ", P972, 'Input Sheet'!C974, "% ", J972, " Sandstone "))</f>
        <v/>
      </c>
      <c r="C972" s="28" t="str">
        <f>IF('Input Sheet'!C974="","",CONCATENATE("Sample ", 'Input Sheet'!B974, "m: ", M972,, K972, J972, " FLUOR in SST. ", "TG ", 'Input Sheet'!I974, "U"))</f>
        <v/>
      </c>
      <c r="G972" s="31" t="str">
        <f>IF('Input Sheet'!C974="","",100-'Input Sheet'!C974)</f>
        <v/>
      </c>
      <c r="H9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2" s="31" t="str">
        <f t="shared" si="15"/>
        <v/>
      </c>
      <c r="J9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2" s="31" t="str">
        <f>IF('Input Sheet'!F973=0, "NO",CONCATENATE('Input Sheet'!F973, IF('Input Sheet'!F973&gt;0,"% ","")))</f>
        <v>NO</v>
      </c>
      <c r="L9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2" s="31" t="str">
        <f>CONCATENATE(L972, IF('Input Sheet'!J974="",""," siderite in "))</f>
        <v/>
      </c>
      <c r="N97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2" s="31" t="str">
        <f>CONCATENATE(N972, IF('Input Sheet'!K974="",""," siderite in "))</f>
        <v/>
      </c>
    </row>
    <row r="973" spans="1:15" x14ac:dyDescent="0.35">
      <c r="A973" s="42" t="str">
        <f>IF('Input Sheet'!C975="","",CONCATENATE("Sample ", 'Input Sheet'!B975, "m: ", M973, G973, "% ", "Siltstone, ", O973, 'Input Sheet'!C975, "% ", I973, " Sandstone, ", K973, J973, " FLUOR in SST. ", "TG ", 'Input Sheet'!I975, "U"))</f>
        <v/>
      </c>
      <c r="B973" s="28" t="str">
        <f>IF('Input Sheet'!C975="","",CONCATENATE("Sample ", 'Input Sheet'!B975, "m: ", N973, H973, "% ", "Siltstone, ", P973, 'Input Sheet'!C975, "% ", J973, " Sandstone "))</f>
        <v/>
      </c>
      <c r="C973" s="28" t="str">
        <f>IF('Input Sheet'!C975="","",CONCATENATE("Sample ", 'Input Sheet'!B975, "m: ", M973,, K973, J973, " FLUOR in SST. ", "TG ", 'Input Sheet'!I975, "U"))</f>
        <v/>
      </c>
      <c r="G973" s="31" t="str">
        <f>IF('Input Sheet'!C975="","",100-'Input Sheet'!C975)</f>
        <v/>
      </c>
      <c r="H9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3" s="31" t="str">
        <f t="shared" si="15"/>
        <v/>
      </c>
      <c r="J9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3" s="31" t="str">
        <f>IF('Input Sheet'!F974=0, "NO",CONCATENATE('Input Sheet'!F974, IF('Input Sheet'!F974&gt;0,"% ","")))</f>
        <v>NO</v>
      </c>
      <c r="L9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3" s="31" t="str">
        <f>CONCATENATE(L973, IF('Input Sheet'!J975="",""," siderite in "))</f>
        <v/>
      </c>
      <c r="N97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3" s="31" t="str">
        <f>CONCATENATE(N973, IF('Input Sheet'!K975="",""," siderite in "))</f>
        <v/>
      </c>
    </row>
    <row r="974" spans="1:15" x14ac:dyDescent="0.35">
      <c r="A974" s="42" t="str">
        <f>IF('Input Sheet'!C976="","",CONCATENATE("Sample ", 'Input Sheet'!B976, "m: ", M974, G974, "% ", "Siltstone, ", O974, 'Input Sheet'!C976, "% ", I974, " Sandstone, ", K974, J974, " FLUOR in SST. ", "TG ", 'Input Sheet'!I976, "U"))</f>
        <v/>
      </c>
      <c r="B974" s="28" t="str">
        <f>IF('Input Sheet'!C976="","",CONCATENATE("Sample ", 'Input Sheet'!B976, "m: ", N974, H974, "% ", "Siltstone, ", P974, 'Input Sheet'!C976, "% ", J974, " Sandstone "))</f>
        <v/>
      </c>
      <c r="C974" s="28" t="str">
        <f>IF('Input Sheet'!C976="","",CONCATENATE("Sample ", 'Input Sheet'!B976, "m: ", M974,, K974, J974, " FLUOR in SST. ", "TG ", 'Input Sheet'!I976, "U"))</f>
        <v/>
      </c>
      <c r="G974" s="31" t="str">
        <f>IF('Input Sheet'!C976="","",100-'Input Sheet'!C976)</f>
        <v/>
      </c>
      <c r="H9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4" s="31" t="str">
        <f t="shared" si="15"/>
        <v/>
      </c>
      <c r="J9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4" s="31" t="str">
        <f>IF('Input Sheet'!F975=0, "NO",CONCATENATE('Input Sheet'!F975, IF('Input Sheet'!F975&gt;0,"% ","")))</f>
        <v>NO</v>
      </c>
      <c r="L9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4" s="31" t="str">
        <f>CONCATENATE(L974, IF('Input Sheet'!J976="",""," siderite in "))</f>
        <v/>
      </c>
      <c r="N97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4" s="31" t="str">
        <f>CONCATENATE(N974, IF('Input Sheet'!K976="",""," siderite in "))</f>
        <v/>
      </c>
    </row>
    <row r="975" spans="1:15" x14ac:dyDescent="0.35">
      <c r="A975" s="42" t="str">
        <f>IF('Input Sheet'!C977="","",CONCATENATE("Sample ", 'Input Sheet'!B977, "m: ", M975, G975, "% ", "Siltstone, ", O975, 'Input Sheet'!C977, "% ", I975, " Sandstone, ", K975, J975, " FLUOR in SST. ", "TG ", 'Input Sheet'!I977, "U"))</f>
        <v/>
      </c>
      <c r="B975" s="28" t="str">
        <f>IF('Input Sheet'!C977="","",CONCATENATE("Sample ", 'Input Sheet'!B977, "m: ", N975, H975, "% ", "Siltstone, ", P975, 'Input Sheet'!C977, "% ", J975, " Sandstone "))</f>
        <v/>
      </c>
      <c r="C975" s="28" t="str">
        <f>IF('Input Sheet'!C977="","",CONCATENATE("Sample ", 'Input Sheet'!B977, "m: ", M975,, K975, J975, " FLUOR in SST. ", "TG ", 'Input Sheet'!I977, "U"))</f>
        <v/>
      </c>
      <c r="G975" s="31" t="str">
        <f>IF('Input Sheet'!C977="","",100-'Input Sheet'!C977)</f>
        <v/>
      </c>
      <c r="H9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5" s="31" t="str">
        <f t="shared" si="15"/>
        <v/>
      </c>
      <c r="J9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5" s="31" t="str">
        <f>IF('Input Sheet'!F976=0, "NO",CONCATENATE('Input Sheet'!F976, IF('Input Sheet'!F976&gt;0,"% ","")))</f>
        <v>NO</v>
      </c>
      <c r="L9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5" s="31" t="str">
        <f>CONCATENATE(L975, IF('Input Sheet'!J977="",""," siderite in "))</f>
        <v/>
      </c>
      <c r="N97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5" s="31" t="str">
        <f>CONCATENATE(N975, IF('Input Sheet'!K977="",""," siderite in "))</f>
        <v/>
      </c>
    </row>
    <row r="976" spans="1:15" x14ac:dyDescent="0.35">
      <c r="A976" s="42" t="str">
        <f>IF('Input Sheet'!C978="","",CONCATENATE("Sample ", 'Input Sheet'!B978, "m: ", M976, G976, "% ", "Siltstone, ", O976, 'Input Sheet'!C978, "% ", I976, " Sandstone, ", K976, J976, " FLUOR in SST. ", "TG ", 'Input Sheet'!I978, "U"))</f>
        <v/>
      </c>
      <c r="B976" s="28" t="str">
        <f>IF('Input Sheet'!C978="","",CONCATENATE("Sample ", 'Input Sheet'!B978, "m: ", N976, H976, "% ", "Siltstone, ", P976, 'Input Sheet'!C978, "% ", J976, " Sandstone "))</f>
        <v/>
      </c>
      <c r="C976" s="28" t="str">
        <f>IF('Input Sheet'!C978="","",CONCATENATE("Sample ", 'Input Sheet'!B978, "m: ", M976,, K976, J976, " FLUOR in SST. ", "TG ", 'Input Sheet'!I978, "U"))</f>
        <v/>
      </c>
      <c r="G976" s="31" t="str">
        <f>IF('Input Sheet'!C978="","",100-'Input Sheet'!C978)</f>
        <v/>
      </c>
      <c r="H9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6" s="31" t="str">
        <f t="shared" si="15"/>
        <v/>
      </c>
      <c r="J9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6" s="31" t="str">
        <f>IF('Input Sheet'!F977=0, "NO",CONCATENATE('Input Sheet'!F977, IF('Input Sheet'!F977&gt;0,"% ","")))</f>
        <v>NO</v>
      </c>
      <c r="L9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6" s="31" t="str">
        <f>CONCATENATE(L976, IF('Input Sheet'!J978="",""," siderite in "))</f>
        <v/>
      </c>
      <c r="N97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6" s="31" t="str">
        <f>CONCATENATE(N976, IF('Input Sheet'!K978="",""," siderite in "))</f>
        <v/>
      </c>
    </row>
    <row r="977" spans="1:15" x14ac:dyDescent="0.35">
      <c r="A977" s="42" t="str">
        <f>IF('Input Sheet'!C979="","",CONCATENATE("Sample ", 'Input Sheet'!B979, "m: ", M977, G977, "% ", "Siltstone, ", O977, 'Input Sheet'!C979, "% ", I977, " Sandstone, ", K977, J977, " FLUOR in SST. ", "TG ", 'Input Sheet'!I979, "U"))</f>
        <v/>
      </c>
      <c r="B977" s="28" t="str">
        <f>IF('Input Sheet'!C979="","",CONCATENATE("Sample ", 'Input Sheet'!B979, "m: ", N977, H977, "% ", "Siltstone, ", P977, 'Input Sheet'!C979, "% ", J977, " Sandstone "))</f>
        <v/>
      </c>
      <c r="C977" s="28" t="str">
        <f>IF('Input Sheet'!C979="","",CONCATENATE("Sample ", 'Input Sheet'!B979, "m: ", M977,, K977, J977, " FLUOR in SST. ", "TG ", 'Input Sheet'!I979, "U"))</f>
        <v/>
      </c>
      <c r="G977" s="31" t="str">
        <f>IF('Input Sheet'!C979="","",100-'Input Sheet'!C979)</f>
        <v/>
      </c>
      <c r="H9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7" s="31" t="str">
        <f t="shared" si="15"/>
        <v/>
      </c>
      <c r="J9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7" s="31" t="str">
        <f>IF('Input Sheet'!F978=0, "NO",CONCATENATE('Input Sheet'!F978, IF('Input Sheet'!F978&gt;0,"% ","")))</f>
        <v>NO</v>
      </c>
      <c r="L9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7" s="31" t="str">
        <f>CONCATENATE(L977, IF('Input Sheet'!J979="",""," siderite in "))</f>
        <v/>
      </c>
      <c r="N97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7" s="31" t="str">
        <f>CONCATENATE(N977, IF('Input Sheet'!K979="",""," siderite in "))</f>
        <v/>
      </c>
    </row>
    <row r="978" spans="1:15" x14ac:dyDescent="0.35">
      <c r="A978" s="42" t="str">
        <f>IF('Input Sheet'!C980="","",CONCATENATE("Sample ", 'Input Sheet'!B980, "m: ", M978, G978, "% ", "Siltstone, ", O978, 'Input Sheet'!C980, "% ", I978, " Sandstone, ", K978, J978, " FLUOR in SST. ", "TG ", 'Input Sheet'!I980, "U"))</f>
        <v/>
      </c>
      <c r="B978" s="28" t="str">
        <f>IF('Input Sheet'!C980="","",CONCATENATE("Sample ", 'Input Sheet'!B980, "m: ", N978, H978, "% ", "Siltstone, ", P978, 'Input Sheet'!C980, "% ", J978, " Sandstone "))</f>
        <v/>
      </c>
      <c r="C978" s="28" t="str">
        <f>IF('Input Sheet'!C980="","",CONCATENATE("Sample ", 'Input Sheet'!B980, "m: ", M978,, K978, J978, " FLUOR in SST. ", "TG ", 'Input Sheet'!I980, "U"))</f>
        <v/>
      </c>
      <c r="G978" s="31" t="str">
        <f>IF('Input Sheet'!C980="","",100-'Input Sheet'!C980)</f>
        <v/>
      </c>
      <c r="H9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8" s="31" t="str">
        <f t="shared" si="15"/>
        <v/>
      </c>
      <c r="J9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8" s="31" t="str">
        <f>IF('Input Sheet'!F979=0, "NO",CONCATENATE('Input Sheet'!F979, IF('Input Sheet'!F979&gt;0,"% ","")))</f>
        <v>NO</v>
      </c>
      <c r="L9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8" s="31" t="str">
        <f>CONCATENATE(L978, IF('Input Sheet'!J980="",""," siderite in "))</f>
        <v/>
      </c>
      <c r="N97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8" s="31" t="str">
        <f>CONCATENATE(N978, IF('Input Sheet'!K980="",""," siderite in "))</f>
        <v/>
      </c>
    </row>
    <row r="979" spans="1:15" x14ac:dyDescent="0.35">
      <c r="A979" s="42" t="str">
        <f>IF('Input Sheet'!C981="","",CONCATENATE("Sample ", 'Input Sheet'!B981, "m: ", M979, G979, "% ", "Siltstone, ", O979, 'Input Sheet'!C981, "% ", I979, " Sandstone, ", K979, J979, " FLUOR in SST. ", "TG ", 'Input Sheet'!I981, "U"))</f>
        <v/>
      </c>
      <c r="B979" s="28" t="str">
        <f>IF('Input Sheet'!C981="","",CONCATENATE("Sample ", 'Input Sheet'!B981, "m: ", N979, H979, "% ", "Siltstone, ", P979, 'Input Sheet'!C981, "% ", J979, " Sandstone "))</f>
        <v/>
      </c>
      <c r="C979" s="28" t="str">
        <f>IF('Input Sheet'!C981="","",CONCATENATE("Sample ", 'Input Sheet'!B981, "m: ", M979,, K979, J979, " FLUOR in SST. ", "TG ", 'Input Sheet'!I981, "U"))</f>
        <v/>
      </c>
      <c r="G979" s="31" t="str">
        <f>IF('Input Sheet'!C981="","",100-'Input Sheet'!C981)</f>
        <v/>
      </c>
      <c r="H9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9" s="31" t="str">
        <f t="shared" si="15"/>
        <v/>
      </c>
      <c r="J9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9" s="31" t="str">
        <f>IF('Input Sheet'!F980=0, "NO",CONCATENATE('Input Sheet'!F980, IF('Input Sheet'!F980&gt;0,"% ","")))</f>
        <v>NO</v>
      </c>
      <c r="L9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9" s="31" t="str">
        <f>CONCATENATE(L979, IF('Input Sheet'!J981="",""," siderite in "))</f>
        <v/>
      </c>
      <c r="N97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9" s="31" t="str">
        <f>CONCATENATE(N979, IF('Input Sheet'!K981="",""," siderite in "))</f>
        <v/>
      </c>
    </row>
    <row r="980" spans="1:15" x14ac:dyDescent="0.35">
      <c r="A980" s="42" t="str">
        <f>IF('Input Sheet'!C982="","",CONCATENATE("Sample ", 'Input Sheet'!B982, "m: ", M980, G980, "% ", "Siltstone, ", O980, 'Input Sheet'!C982, "% ", I980, " Sandstone, ", K980, J980, " FLUOR in SST. ", "TG ", 'Input Sheet'!I982, "U"))</f>
        <v/>
      </c>
      <c r="B980" s="28" t="str">
        <f>IF('Input Sheet'!C982="","",CONCATENATE("Sample ", 'Input Sheet'!B982, "m: ", N980, H980, "% ", "Siltstone, ", P980, 'Input Sheet'!C982, "% ", J980, " Sandstone "))</f>
        <v/>
      </c>
      <c r="C980" s="28" t="str">
        <f>IF('Input Sheet'!C982="","",CONCATENATE("Sample ", 'Input Sheet'!B982, "m: ", M980,, K980, J980, " FLUOR in SST. ", "TG ", 'Input Sheet'!I982, "U"))</f>
        <v/>
      </c>
      <c r="G980" s="31" t="str">
        <f>IF('Input Sheet'!C982="","",100-'Input Sheet'!C982)</f>
        <v/>
      </c>
      <c r="H9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0" s="31" t="str">
        <f t="shared" si="15"/>
        <v/>
      </c>
      <c r="J9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0" s="31" t="str">
        <f>IF('Input Sheet'!F981=0, "NO",CONCATENATE('Input Sheet'!F981, IF('Input Sheet'!F981&gt;0,"% ","")))</f>
        <v>NO</v>
      </c>
      <c r="L9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0" s="31" t="str">
        <f>CONCATENATE(L980, IF('Input Sheet'!J982="",""," siderite in "))</f>
        <v/>
      </c>
      <c r="N98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0" s="31" t="str">
        <f>CONCATENATE(N980, IF('Input Sheet'!K982="",""," siderite in "))</f>
        <v/>
      </c>
    </row>
    <row r="981" spans="1:15" x14ac:dyDescent="0.35">
      <c r="A981" s="42" t="str">
        <f>IF('Input Sheet'!C983="","",CONCATENATE("Sample ", 'Input Sheet'!B983, "m: ", M981, G981, "% ", "Siltstone, ", O981, 'Input Sheet'!C983, "% ", I981, " Sandstone, ", K981, J981, " FLUOR in SST. ", "TG ", 'Input Sheet'!I983, "U"))</f>
        <v/>
      </c>
      <c r="B981" s="28" t="str">
        <f>IF('Input Sheet'!C983="","",CONCATENATE("Sample ", 'Input Sheet'!B983, "m: ", N981, H981, "% ", "Siltstone, ", P981, 'Input Sheet'!C983, "% ", J981, " Sandstone "))</f>
        <v/>
      </c>
      <c r="C981" s="28" t="str">
        <f>IF('Input Sheet'!C983="","",CONCATENATE("Sample ", 'Input Sheet'!B983, "m: ", M981,, K981, J981, " FLUOR in SST. ", "TG ", 'Input Sheet'!I983, "U"))</f>
        <v/>
      </c>
      <c r="G981" s="31" t="str">
        <f>IF('Input Sheet'!C983="","",100-'Input Sheet'!C983)</f>
        <v/>
      </c>
      <c r="H9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1" s="31" t="str">
        <f t="shared" si="15"/>
        <v/>
      </c>
      <c r="J9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1" s="31" t="str">
        <f>IF('Input Sheet'!F982=0, "NO",CONCATENATE('Input Sheet'!F982, IF('Input Sheet'!F982&gt;0,"% ","")))</f>
        <v>NO</v>
      </c>
      <c r="L9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1" s="31" t="str">
        <f>CONCATENATE(L981, IF('Input Sheet'!J983="",""," siderite in "))</f>
        <v/>
      </c>
      <c r="N98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1" s="31" t="str">
        <f>CONCATENATE(N981, IF('Input Sheet'!K983="",""," siderite in "))</f>
        <v/>
      </c>
    </row>
    <row r="982" spans="1:15" x14ac:dyDescent="0.35">
      <c r="A982" s="42" t="str">
        <f>IF('Input Sheet'!C984="","",CONCATENATE("Sample ", 'Input Sheet'!B984, "m: ", M982, G982, "% ", "Siltstone, ", O982, 'Input Sheet'!C984, "% ", I982, " Sandstone, ", K982, J982, " FLUOR in SST. ", "TG ", 'Input Sheet'!I984, "U"))</f>
        <v/>
      </c>
      <c r="B982" s="28" t="str">
        <f>IF('Input Sheet'!C984="","",CONCATENATE("Sample ", 'Input Sheet'!B984, "m: ", N982, H982, "% ", "Siltstone, ", P982, 'Input Sheet'!C984, "% ", J982, " Sandstone "))</f>
        <v/>
      </c>
      <c r="C982" s="28" t="str">
        <f>IF('Input Sheet'!C984="","",CONCATENATE("Sample ", 'Input Sheet'!B984, "m: ", M982,, K982, J982, " FLUOR in SST. ", "TG ", 'Input Sheet'!I984, "U"))</f>
        <v/>
      </c>
      <c r="G982" s="31" t="str">
        <f>IF('Input Sheet'!C984="","",100-'Input Sheet'!C984)</f>
        <v/>
      </c>
      <c r="H9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2" s="31" t="str">
        <f t="shared" si="15"/>
        <v/>
      </c>
      <c r="J9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2" s="31" t="str">
        <f>IF('Input Sheet'!F983=0, "NO",CONCATENATE('Input Sheet'!F983, IF('Input Sheet'!F983&gt;0,"% ","")))</f>
        <v>NO</v>
      </c>
      <c r="L9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2" s="31" t="str">
        <f>CONCATENATE(L982, IF('Input Sheet'!J984="",""," siderite in "))</f>
        <v/>
      </c>
      <c r="N98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2" s="31" t="str">
        <f>CONCATENATE(N982, IF('Input Sheet'!K984="",""," siderite in "))</f>
        <v/>
      </c>
    </row>
    <row r="983" spans="1:15" x14ac:dyDescent="0.35">
      <c r="A983" s="42" t="str">
        <f>IF('Input Sheet'!C985="","",CONCATENATE("Sample ", 'Input Sheet'!B985, "m: ", M983, G983, "% ", "Siltstone, ", O983, 'Input Sheet'!C985, "% ", I983, " Sandstone, ", K983, J983, " FLUOR in SST. ", "TG ", 'Input Sheet'!I985, "U"))</f>
        <v/>
      </c>
      <c r="B983" s="28" t="str">
        <f>IF('Input Sheet'!C985="","",CONCATENATE("Sample ", 'Input Sheet'!B985, "m: ", N983, H983, "% ", "Siltstone, ", P983, 'Input Sheet'!C985, "% ", J983, " Sandstone "))</f>
        <v/>
      </c>
      <c r="C983" s="28" t="str">
        <f>IF('Input Sheet'!C985="","",CONCATENATE("Sample ", 'Input Sheet'!B985, "m: ", M983,, K983, J983, " FLUOR in SST. ", "TG ", 'Input Sheet'!I985, "U"))</f>
        <v/>
      </c>
      <c r="G983" s="31" t="str">
        <f>IF('Input Sheet'!C985="","",100-'Input Sheet'!C985)</f>
        <v/>
      </c>
      <c r="H9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3" s="31" t="str">
        <f t="shared" si="15"/>
        <v/>
      </c>
      <c r="J9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3" s="31" t="str">
        <f>IF('Input Sheet'!F984=0, "NO",CONCATENATE('Input Sheet'!F984, IF('Input Sheet'!F984&gt;0,"% ","")))</f>
        <v>NO</v>
      </c>
      <c r="L9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3" s="31" t="str">
        <f>CONCATENATE(L983, IF('Input Sheet'!J985="",""," siderite in "))</f>
        <v/>
      </c>
      <c r="N98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3" s="31" t="str">
        <f>CONCATENATE(N983, IF('Input Sheet'!K985="",""," siderite in "))</f>
        <v/>
      </c>
    </row>
    <row r="984" spans="1:15" x14ac:dyDescent="0.35">
      <c r="A984" s="42" t="str">
        <f>IF('Input Sheet'!C986="","",CONCATENATE("Sample ", 'Input Sheet'!B986, "m: ", M984, G984, "% ", "Siltstone, ", O984, 'Input Sheet'!C986, "% ", I984, " Sandstone, ", K984, J984, " FLUOR in SST. ", "TG ", 'Input Sheet'!I986, "U"))</f>
        <v/>
      </c>
      <c r="B984" s="28" t="str">
        <f>IF('Input Sheet'!C986="","",CONCATENATE("Sample ", 'Input Sheet'!B986, "m: ", N984, H984, "% ", "Siltstone, ", P984, 'Input Sheet'!C986, "% ", J984, " Sandstone "))</f>
        <v/>
      </c>
      <c r="C984" s="28" t="str">
        <f>IF('Input Sheet'!C986="","",CONCATENATE("Sample ", 'Input Sheet'!B986, "m: ", M984,, K984, J984, " FLUOR in SST. ", "TG ", 'Input Sheet'!I986, "U"))</f>
        <v/>
      </c>
      <c r="G984" s="31" t="str">
        <f>IF('Input Sheet'!C986="","",100-'Input Sheet'!C986)</f>
        <v/>
      </c>
      <c r="H9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4" s="31" t="str">
        <f t="shared" si="15"/>
        <v/>
      </c>
      <c r="J9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4" s="31" t="str">
        <f>IF('Input Sheet'!F985=0, "NO",CONCATENATE('Input Sheet'!F985, IF('Input Sheet'!F985&gt;0,"% ","")))</f>
        <v>NO</v>
      </c>
      <c r="L9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4" s="31" t="str">
        <f>CONCATENATE(L984, IF('Input Sheet'!J986="",""," siderite in "))</f>
        <v/>
      </c>
      <c r="N98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4" s="31" t="str">
        <f>CONCATENATE(N984, IF('Input Sheet'!K986="",""," siderite in "))</f>
        <v/>
      </c>
    </row>
    <row r="985" spans="1:15" x14ac:dyDescent="0.35">
      <c r="A985" s="42" t="str">
        <f>IF('Input Sheet'!C987="","",CONCATENATE("Sample ", 'Input Sheet'!B987, "m: ", M985, G985, "% ", "Siltstone, ", O985, 'Input Sheet'!C987, "% ", I985, " Sandstone, ", K985, J985, " FLUOR in SST. ", "TG ", 'Input Sheet'!I987, "U"))</f>
        <v/>
      </c>
      <c r="B985" s="28" t="str">
        <f>IF('Input Sheet'!C987="","",CONCATENATE("Sample ", 'Input Sheet'!B987, "m: ", N985, H985, "% ", "Siltstone, ", P985, 'Input Sheet'!C987, "% ", J985, " Sandstone "))</f>
        <v/>
      </c>
      <c r="C985" s="28" t="str">
        <f>IF('Input Sheet'!C987="","",CONCATENATE("Sample ", 'Input Sheet'!B987, "m: ", M985,, K985, J985, " FLUOR in SST. ", "TG ", 'Input Sheet'!I987, "U"))</f>
        <v/>
      </c>
      <c r="G985" s="31" t="str">
        <f>IF('Input Sheet'!C987="","",100-'Input Sheet'!C987)</f>
        <v/>
      </c>
      <c r="H9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5" s="31" t="str">
        <f t="shared" si="15"/>
        <v/>
      </c>
      <c r="J9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5" s="31" t="str">
        <f>IF('Input Sheet'!F986=0, "NO",CONCATENATE('Input Sheet'!F986, IF('Input Sheet'!F986&gt;0,"% ","")))</f>
        <v>NO</v>
      </c>
      <c r="L9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5" s="31" t="str">
        <f>CONCATENATE(L985, IF('Input Sheet'!J987="",""," siderite in "))</f>
        <v/>
      </c>
      <c r="N98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5" s="31" t="str">
        <f>CONCATENATE(N985, IF('Input Sheet'!K987="",""," siderite in "))</f>
        <v/>
      </c>
    </row>
    <row r="986" spans="1:15" x14ac:dyDescent="0.35">
      <c r="A986" s="42" t="str">
        <f>IF('Input Sheet'!C988="","",CONCATENATE("Sample ", 'Input Sheet'!B988, "m: ", M986, G986, "% ", "Siltstone, ", O986, 'Input Sheet'!C988, "% ", I986, " Sandstone, ", K986, J986, " FLUOR in SST. ", "TG ", 'Input Sheet'!I988, "U"))</f>
        <v/>
      </c>
      <c r="B986" s="28" t="str">
        <f>IF('Input Sheet'!C988="","",CONCATENATE("Sample ", 'Input Sheet'!B988, "m: ", N986, H986, "% ", "Siltstone, ", P986, 'Input Sheet'!C988, "% ", J986, " Sandstone "))</f>
        <v/>
      </c>
      <c r="C986" s="28" t="str">
        <f>IF('Input Sheet'!C988="","",CONCATENATE("Sample ", 'Input Sheet'!B988, "m: ", M986,, K986, J986, " FLUOR in SST. ", "TG ", 'Input Sheet'!I988, "U"))</f>
        <v/>
      </c>
      <c r="G986" s="31" t="str">
        <f>IF('Input Sheet'!C988="","",100-'Input Sheet'!C988)</f>
        <v/>
      </c>
      <c r="H9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6" s="31" t="str">
        <f t="shared" si="15"/>
        <v/>
      </c>
      <c r="J9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6" s="31" t="str">
        <f>IF('Input Sheet'!F987=0, "NO",CONCATENATE('Input Sheet'!F987, IF('Input Sheet'!F987&gt;0,"% ","")))</f>
        <v>NO</v>
      </c>
      <c r="L9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6" s="31" t="str">
        <f>CONCATENATE(L986, IF('Input Sheet'!J988="",""," siderite in "))</f>
        <v/>
      </c>
      <c r="N98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6" s="31" t="str">
        <f>CONCATENATE(N986, IF('Input Sheet'!K988="",""," siderite in "))</f>
        <v/>
      </c>
    </row>
    <row r="987" spans="1:15" x14ac:dyDescent="0.35">
      <c r="A987" s="42" t="str">
        <f>IF('Input Sheet'!C989="","",CONCATENATE("Sample ", 'Input Sheet'!B989, "m: ", M987, G987, "% ", "Siltstone, ", O987, 'Input Sheet'!C989, "% ", I987, " Sandstone, ", K987, J987, " FLUOR in SST. ", "TG ", 'Input Sheet'!I989, "U"))</f>
        <v/>
      </c>
      <c r="B987" s="28" t="str">
        <f>IF('Input Sheet'!C989="","",CONCATENATE("Sample ", 'Input Sheet'!B989, "m: ", N987, H987, "% ", "Siltstone, ", P987, 'Input Sheet'!C989, "% ", J987, " Sandstone "))</f>
        <v/>
      </c>
      <c r="C987" s="28" t="str">
        <f>IF('Input Sheet'!C989="","",CONCATENATE("Sample ", 'Input Sheet'!B989, "m: ", M987,, K987, J987, " FLUOR in SST. ", "TG ", 'Input Sheet'!I989, "U"))</f>
        <v/>
      </c>
      <c r="G987" s="31" t="str">
        <f>IF('Input Sheet'!C989="","",100-'Input Sheet'!C989)</f>
        <v/>
      </c>
      <c r="H9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7" s="31" t="str">
        <f t="shared" si="15"/>
        <v/>
      </c>
      <c r="J9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7" s="31" t="str">
        <f>IF('Input Sheet'!F988=0, "NO",CONCATENATE('Input Sheet'!F988, IF('Input Sheet'!F988&gt;0,"% ","")))</f>
        <v>NO</v>
      </c>
      <c r="L9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7" s="31" t="str">
        <f>CONCATENATE(L987, IF('Input Sheet'!J989="",""," siderite in "))</f>
        <v/>
      </c>
      <c r="N98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7" s="31" t="str">
        <f>CONCATENATE(N987, IF('Input Sheet'!K989="",""," siderite in "))</f>
        <v/>
      </c>
    </row>
    <row r="988" spans="1:15" x14ac:dyDescent="0.35">
      <c r="A988" s="42" t="str">
        <f>IF('Input Sheet'!C990="","",CONCATENATE("Sample ", 'Input Sheet'!B990, "m: ", M988, G988, "% ", "Siltstone, ", O988, 'Input Sheet'!C990, "% ", I988, " Sandstone, ", K988, J988, " FLUOR in SST. ", "TG ", 'Input Sheet'!I990, "U"))</f>
        <v/>
      </c>
      <c r="B988" s="28" t="str">
        <f>IF('Input Sheet'!C990="","",CONCATENATE("Sample ", 'Input Sheet'!B990, "m: ", N988, H988, "% ", "Siltstone, ", P988, 'Input Sheet'!C990, "% ", J988, " Sandstone "))</f>
        <v/>
      </c>
      <c r="C988" s="28" t="str">
        <f>IF('Input Sheet'!C990="","",CONCATENATE("Sample ", 'Input Sheet'!B990, "m: ", M988,, K988, J988, " FLUOR in SST. ", "TG ", 'Input Sheet'!I990, "U"))</f>
        <v/>
      </c>
      <c r="G988" s="31" t="str">
        <f>IF('Input Sheet'!C990="","",100-'Input Sheet'!C990)</f>
        <v/>
      </c>
      <c r="H9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8" s="31" t="str">
        <f t="shared" si="15"/>
        <v/>
      </c>
      <c r="J9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8" s="31" t="str">
        <f>IF('Input Sheet'!F989=0, "NO",CONCATENATE('Input Sheet'!F989, IF('Input Sheet'!F989&gt;0,"% ","")))</f>
        <v>NO</v>
      </c>
      <c r="L9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8" s="31" t="str">
        <f>CONCATENATE(L988, IF('Input Sheet'!J990="",""," siderite in "))</f>
        <v/>
      </c>
      <c r="N98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8" s="31" t="str">
        <f>CONCATENATE(N988, IF('Input Sheet'!K990="",""," siderite in "))</f>
        <v/>
      </c>
    </row>
    <row r="989" spans="1:15" x14ac:dyDescent="0.35">
      <c r="A989" s="42" t="str">
        <f>IF('Input Sheet'!C991="","",CONCATENATE("Sample ", 'Input Sheet'!B991, "m: ", M989, G989, "% ", "Siltstone, ", O989, 'Input Sheet'!C991, "% ", I989, " Sandstone, ", K989, J989, " FLUOR in SST. ", "TG ", 'Input Sheet'!I991, "U"))</f>
        <v/>
      </c>
      <c r="B989" s="28" t="str">
        <f>IF('Input Sheet'!C991="","",CONCATENATE("Sample ", 'Input Sheet'!B991, "m: ", N989, H989, "% ", "Siltstone, ", P989, 'Input Sheet'!C991, "% ", J989, " Sandstone "))</f>
        <v/>
      </c>
      <c r="C989" s="28" t="str">
        <f>IF('Input Sheet'!C991="","",CONCATENATE("Sample ", 'Input Sheet'!B991, "m: ", M989,, K989, J989, " FLUOR in SST. ", "TG ", 'Input Sheet'!I991, "U"))</f>
        <v/>
      </c>
      <c r="G989" s="31" t="str">
        <f>IF('Input Sheet'!C991="","",100-'Input Sheet'!C991)</f>
        <v/>
      </c>
      <c r="H9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9" s="31" t="str">
        <f t="shared" si="15"/>
        <v/>
      </c>
      <c r="J9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9" s="31" t="str">
        <f>IF('Input Sheet'!F990=0, "NO",CONCATENATE('Input Sheet'!F990, IF('Input Sheet'!F990&gt;0,"% ","")))</f>
        <v>NO</v>
      </c>
      <c r="L9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9" s="31" t="str">
        <f>CONCATENATE(L989, IF('Input Sheet'!J991="",""," siderite in "))</f>
        <v/>
      </c>
      <c r="N98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9" s="31" t="str">
        <f>CONCATENATE(N989, IF('Input Sheet'!K991="",""," siderite in "))</f>
        <v/>
      </c>
    </row>
    <row r="990" spans="1:15" x14ac:dyDescent="0.35">
      <c r="A990" s="42" t="str">
        <f>IF('Input Sheet'!C992="","",CONCATENATE("Sample ", 'Input Sheet'!B992, "m: ", M990, G990, "% ", "Siltstone, ", O990, 'Input Sheet'!C992, "% ", I990, " Sandstone, ", K990, J990, " FLUOR in SST. ", "TG ", 'Input Sheet'!I992, "U"))</f>
        <v/>
      </c>
      <c r="B990" s="28" t="str">
        <f>IF('Input Sheet'!C992="","",CONCATENATE("Sample ", 'Input Sheet'!B992, "m: ", N990, H990, "% ", "Siltstone, ", P990, 'Input Sheet'!C992, "% ", J990, " Sandstone "))</f>
        <v/>
      </c>
      <c r="C990" s="28" t="str">
        <f>IF('Input Sheet'!C992="","",CONCATENATE("Sample ", 'Input Sheet'!B992, "m: ", M990,, K990, J990, " FLUOR in SST. ", "TG ", 'Input Sheet'!I992, "U"))</f>
        <v/>
      </c>
      <c r="G990" s="31" t="str">
        <f>IF('Input Sheet'!C992="","",100-'Input Sheet'!C992)</f>
        <v/>
      </c>
      <c r="H9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0" s="31" t="str">
        <f t="shared" si="15"/>
        <v/>
      </c>
      <c r="J9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0" s="31" t="str">
        <f>IF('Input Sheet'!F991=0, "NO",CONCATENATE('Input Sheet'!F991, IF('Input Sheet'!F991&gt;0,"% ","")))</f>
        <v>NO</v>
      </c>
      <c r="L9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0" s="31" t="str">
        <f>CONCATENATE(L990, IF('Input Sheet'!J992="",""," siderite in "))</f>
        <v/>
      </c>
      <c r="N990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0" s="31" t="str">
        <f>CONCATENATE(N990, IF('Input Sheet'!K992="",""," siderite in "))</f>
        <v/>
      </c>
    </row>
    <row r="991" spans="1:15" x14ac:dyDescent="0.35">
      <c r="A991" s="42" t="str">
        <f>IF('Input Sheet'!C993="","",CONCATENATE("Sample ", 'Input Sheet'!B993, "m: ", M991, G991, "% ", "Siltstone, ", O991, 'Input Sheet'!C993, "% ", I991, " Sandstone, ", K991, J991, " FLUOR in SST. ", "TG ", 'Input Sheet'!I993, "U"))</f>
        <v/>
      </c>
      <c r="B991" s="28" t="str">
        <f>IF('Input Sheet'!C993="","",CONCATENATE("Sample ", 'Input Sheet'!B993, "m: ", N991, H991, "% ", "Siltstone, ", P991, 'Input Sheet'!C993, "% ", J991, " Sandstone "))</f>
        <v/>
      </c>
      <c r="C991" s="28" t="str">
        <f>IF('Input Sheet'!C993="","",CONCATENATE("Sample ", 'Input Sheet'!B993, "m: ", M991,, K991, J991, " FLUOR in SST. ", "TG ", 'Input Sheet'!I993, "U"))</f>
        <v/>
      </c>
      <c r="G991" s="31" t="str">
        <f>IF('Input Sheet'!C993="","",100-'Input Sheet'!C993)</f>
        <v/>
      </c>
      <c r="H9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1" s="31" t="str">
        <f t="shared" si="15"/>
        <v/>
      </c>
      <c r="J9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1" s="31" t="str">
        <f>IF('Input Sheet'!F992=0, "NO",CONCATENATE('Input Sheet'!F992, IF('Input Sheet'!F992&gt;0,"% ","")))</f>
        <v>NO</v>
      </c>
      <c r="L9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1" s="31" t="str">
        <f>CONCATENATE(L991, IF('Input Sheet'!J993="",""," siderite in "))</f>
        <v/>
      </c>
      <c r="N991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1" s="31" t="str">
        <f>CONCATENATE(N991, IF('Input Sheet'!K993="",""," siderite in "))</f>
        <v/>
      </c>
    </row>
    <row r="992" spans="1:15" x14ac:dyDescent="0.35">
      <c r="A992" s="42" t="str">
        <f>IF('Input Sheet'!C994="","",CONCATENATE("Sample ", 'Input Sheet'!B994, "m: ", M992, G992, "% ", "Siltstone, ", O992, 'Input Sheet'!C994, "% ", I992, " Sandstone, ", K992, J992, " FLUOR in SST. ", "TG ", 'Input Sheet'!I994, "U"))</f>
        <v/>
      </c>
      <c r="B992" s="28" t="str">
        <f>IF('Input Sheet'!C994="","",CONCATENATE("Sample ", 'Input Sheet'!B994, "m: ", N992, H992, "% ", "Siltstone, ", P992, 'Input Sheet'!C994, "% ", J992, " Sandstone "))</f>
        <v/>
      </c>
      <c r="C992" s="28" t="str">
        <f>IF('Input Sheet'!C994="","",CONCATENATE("Sample ", 'Input Sheet'!B994, "m: ", M992,, K992, J992, " FLUOR in SST. ", "TG ", 'Input Sheet'!I994, "U"))</f>
        <v/>
      </c>
      <c r="G992" s="31" t="str">
        <f>IF('Input Sheet'!C994="","",100-'Input Sheet'!C994)</f>
        <v/>
      </c>
      <c r="H9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2" s="31" t="str">
        <f t="shared" si="15"/>
        <v/>
      </c>
      <c r="J9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2" s="31" t="str">
        <f>IF('Input Sheet'!F993=0, "NO",CONCATENATE('Input Sheet'!F993, IF('Input Sheet'!F993&gt;0,"% ","")))</f>
        <v>NO</v>
      </c>
      <c r="L9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2" s="31" t="str">
        <f>CONCATENATE(L992, IF('Input Sheet'!J994="",""," siderite in "))</f>
        <v/>
      </c>
      <c r="N992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2" s="31" t="str">
        <f>CONCATENATE(N992, IF('Input Sheet'!K994="",""," siderite in "))</f>
        <v/>
      </c>
    </row>
    <row r="993" spans="1:15" x14ac:dyDescent="0.35">
      <c r="A993" s="42" t="str">
        <f>IF('Input Sheet'!C995="","",CONCATENATE("Sample ", 'Input Sheet'!B995, "m: ", M993, G993, "% ", "Siltstone, ", O993, 'Input Sheet'!C995, "% ", I993, " Sandstone, ", K993, J993, " FLUOR in SST. ", "TG ", 'Input Sheet'!I995, "U"))</f>
        <v/>
      </c>
      <c r="B993" s="28" t="str">
        <f>IF('Input Sheet'!C995="","",CONCATENATE("Sample ", 'Input Sheet'!B995, "m: ", N993, H993, "% ", "Siltstone, ", P993, 'Input Sheet'!C995, "% ", J993, " Sandstone "))</f>
        <v/>
      </c>
      <c r="C993" s="28" t="str">
        <f>IF('Input Sheet'!C995="","",CONCATENATE("Sample ", 'Input Sheet'!B995, "m: ", M993,, K993, J993, " FLUOR in SST. ", "TG ", 'Input Sheet'!I995, "U"))</f>
        <v/>
      </c>
      <c r="G993" s="31" t="str">
        <f>IF('Input Sheet'!C995="","",100-'Input Sheet'!C995)</f>
        <v/>
      </c>
      <c r="H9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3" s="31" t="str">
        <f t="shared" si="15"/>
        <v/>
      </c>
      <c r="J9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3" s="31" t="str">
        <f>IF('Input Sheet'!F994=0, "NO",CONCATENATE('Input Sheet'!F994, IF('Input Sheet'!F994&gt;0,"% ","")))</f>
        <v>NO</v>
      </c>
      <c r="L9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3" s="31" t="str">
        <f>CONCATENATE(L993, IF('Input Sheet'!J995="",""," siderite in "))</f>
        <v/>
      </c>
      <c r="N993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3" s="31" t="str">
        <f>CONCATENATE(N993, IF('Input Sheet'!K995="",""," siderite in "))</f>
        <v/>
      </c>
    </row>
    <row r="994" spans="1:15" x14ac:dyDescent="0.35">
      <c r="A994" s="42" t="str">
        <f>IF('Input Sheet'!C996="","",CONCATENATE("Sample ", 'Input Sheet'!B996, "m: ", M994, G994, "% ", "Siltstone, ", O994, 'Input Sheet'!C996, "% ", I994, " Sandstone, ", K994, J994, " FLUOR in SST. ", "TG ", 'Input Sheet'!I996, "U"))</f>
        <v/>
      </c>
      <c r="B994" s="28" t="str">
        <f>IF('Input Sheet'!C996="","",CONCATENATE("Sample ", 'Input Sheet'!B996, "m: ", N994, H994, "% ", "Siltstone, ", P994, 'Input Sheet'!C996, "% ", J994, " Sandstone "))</f>
        <v/>
      </c>
      <c r="C994" s="28" t="str">
        <f>IF('Input Sheet'!C996="","",CONCATENATE("Sample ", 'Input Sheet'!B996, "m: ", M994,, K994, J994, " FLUOR in SST. ", "TG ", 'Input Sheet'!I996, "U"))</f>
        <v/>
      </c>
      <c r="G994" s="31" t="str">
        <f>IF('Input Sheet'!C996="","",100-'Input Sheet'!C996)</f>
        <v/>
      </c>
      <c r="H9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4" s="31" t="str">
        <f t="shared" si="15"/>
        <v/>
      </c>
      <c r="J9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4" s="31" t="str">
        <f>IF('Input Sheet'!F995=0, "NO",CONCATENATE('Input Sheet'!F995, IF('Input Sheet'!F995&gt;0,"% ","")))</f>
        <v>NO</v>
      </c>
      <c r="L9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4" s="31" t="str">
        <f>CONCATENATE(L994, IF('Input Sheet'!J996="",""," siderite in "))</f>
        <v/>
      </c>
      <c r="N994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4" s="31" t="str">
        <f>CONCATENATE(N994, IF('Input Sheet'!K996="",""," siderite in "))</f>
        <v/>
      </c>
    </row>
    <row r="995" spans="1:15" x14ac:dyDescent="0.35">
      <c r="A995" s="42" t="str">
        <f>IF('Input Sheet'!C997="","",CONCATENATE("Sample ", 'Input Sheet'!B997, "m: ", M995, G995, "% ", "Siltstone, ", O995, 'Input Sheet'!C997, "% ", I995, " Sandstone, ", K995, J995, " FLUOR in SST. ", "TG ", 'Input Sheet'!I997, "U"))</f>
        <v/>
      </c>
      <c r="B995" s="28" t="str">
        <f>IF('Input Sheet'!C997="","",CONCATENATE("Sample ", 'Input Sheet'!B997, "m: ", N995, H995, "% ", "Siltstone, ", P995, 'Input Sheet'!C997, "% ", J995, " Sandstone "))</f>
        <v/>
      </c>
      <c r="C995" s="28" t="str">
        <f>IF('Input Sheet'!C997="","",CONCATENATE("Sample ", 'Input Sheet'!B997, "m: ", M995,, K995, J995, " FLUOR in SST. ", "TG ", 'Input Sheet'!I997, "U"))</f>
        <v/>
      </c>
      <c r="G995" s="31" t="str">
        <f>IF('Input Sheet'!C997="","",100-'Input Sheet'!C997)</f>
        <v/>
      </c>
      <c r="H9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5" s="31" t="str">
        <f t="shared" si="15"/>
        <v/>
      </c>
      <c r="J9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5" s="31" t="str">
        <f>IF('Input Sheet'!F996=0, "NO",CONCATENATE('Input Sheet'!F996, IF('Input Sheet'!F996&gt;0,"% ","")))</f>
        <v>NO</v>
      </c>
      <c r="L9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5" s="31" t="str">
        <f>CONCATENATE(L995, IF('Input Sheet'!J997="",""," siderite in "))</f>
        <v/>
      </c>
      <c r="N995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5" s="31" t="str">
        <f>CONCATENATE(N995, IF('Input Sheet'!K997="",""," siderite in "))</f>
        <v/>
      </c>
    </row>
    <row r="996" spans="1:15" x14ac:dyDescent="0.35">
      <c r="A996" s="42" t="str">
        <f>IF('Input Sheet'!C998="","",CONCATENATE("Sample ", 'Input Sheet'!B998, "m: ", M996, G996, "% ", "Siltstone, ", O996, 'Input Sheet'!C998, "% ", I996, " Sandstone, ", K996, J996, " FLUOR in SST. ", "TG ", 'Input Sheet'!I998, "U"))</f>
        <v/>
      </c>
      <c r="B996" s="28" t="str">
        <f>IF('Input Sheet'!C998="","",CONCATENATE("Sample ", 'Input Sheet'!B998, "m: ", N996, H996, "% ", "Siltstone, ", P996, 'Input Sheet'!C998, "% ", J996, " Sandstone "))</f>
        <v/>
      </c>
      <c r="C996" s="28" t="str">
        <f>IF('Input Sheet'!C998="","",CONCATENATE("Sample ", 'Input Sheet'!B998, "m: ", M996,, K996, J996, " FLUOR in SST. ", "TG ", 'Input Sheet'!I998, "U"))</f>
        <v/>
      </c>
      <c r="G996" s="31" t="str">
        <f>IF('Input Sheet'!C998="","",100-'Input Sheet'!C998)</f>
        <v/>
      </c>
      <c r="H9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6" s="31" t="str">
        <f t="shared" si="15"/>
        <v/>
      </c>
      <c r="J9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6" s="31" t="str">
        <f>IF('Input Sheet'!F997=0, "NO",CONCATENATE('Input Sheet'!F997, IF('Input Sheet'!F997&gt;0,"% ","")))</f>
        <v>NO</v>
      </c>
      <c r="L9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6" s="31" t="str">
        <f>CONCATENATE(L996, IF('Input Sheet'!J998="",""," siderite in "))</f>
        <v/>
      </c>
      <c r="N996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6" s="31" t="str">
        <f>CONCATENATE(N996, IF('Input Sheet'!K998="",""," siderite in "))</f>
        <v/>
      </c>
    </row>
    <row r="997" spans="1:15" x14ac:dyDescent="0.35">
      <c r="A997" s="42" t="str">
        <f>IF('Input Sheet'!C999="","",CONCATENATE("Sample ", 'Input Sheet'!B999, "m: ", M997, G997, "% ", "Siltstone, ", O997, 'Input Sheet'!C999, "% ", I997, " Sandstone, ", K997, J997, " FLUOR in SST. ", "TG ", 'Input Sheet'!I999, "U"))</f>
        <v/>
      </c>
      <c r="B997" s="28" t="str">
        <f>IF('Input Sheet'!C999="","",CONCATENATE("Sample ", 'Input Sheet'!B999, "m: ", N997, H997, "% ", "Siltstone, ", P997, 'Input Sheet'!C999, "% ", J997, " Sandstone "))</f>
        <v/>
      </c>
      <c r="C997" s="28" t="str">
        <f>IF('Input Sheet'!C999="","",CONCATENATE("Sample ", 'Input Sheet'!B999, "m: ", M997,, K997, J997, " FLUOR in SST. ", "TG ", 'Input Sheet'!I999, "U"))</f>
        <v/>
      </c>
      <c r="G997" s="31" t="str">
        <f>IF('Input Sheet'!C999="","",100-'Input Sheet'!C999)</f>
        <v/>
      </c>
      <c r="H9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7" s="31" t="str">
        <f t="shared" si="15"/>
        <v/>
      </c>
      <c r="J9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7" s="31" t="str">
        <f>IF('Input Sheet'!F998=0, "NO",CONCATENATE('Input Sheet'!F998, IF('Input Sheet'!F998&gt;0,"% ","")))</f>
        <v>NO</v>
      </c>
      <c r="L9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7" s="31" t="str">
        <f>CONCATENATE(L997, IF('Input Sheet'!J999="",""," siderite in "))</f>
        <v/>
      </c>
      <c r="N997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7" s="31" t="str">
        <f>CONCATENATE(N997, IF('Input Sheet'!K999="",""," siderite in "))</f>
        <v/>
      </c>
    </row>
    <row r="998" spans="1:15" x14ac:dyDescent="0.35">
      <c r="A998" s="42" t="str">
        <f>IF('Input Sheet'!C1000="","",CONCATENATE("Sample ", 'Input Sheet'!B1000, "m: ", M998, G998, "% ", "Siltstone, ", O998, 'Input Sheet'!C1000, "% ", I998, " Sandstone, ", K998, J998, " FLUOR in SST. ", "TG ", 'Input Sheet'!I1000, "U"))</f>
        <v/>
      </c>
      <c r="B998" s="28" t="str">
        <f>IF('Input Sheet'!C1000="","",CONCATENATE("Sample ", 'Input Sheet'!B1000, "m: ", N998, H998, "% ", "Siltstone, ", P998, 'Input Sheet'!C1000, "% ", J998, " Sandstone "))</f>
        <v/>
      </c>
      <c r="C998" s="28" t="str">
        <f>IF('Input Sheet'!C1000="","",CONCATENATE("Sample ", 'Input Sheet'!B1000, "m: ", M998,, K998, J998, " FLUOR in SST. ", "TG ", 'Input Sheet'!I1000, "U"))</f>
        <v/>
      </c>
      <c r="G998" s="31" t="str">
        <f>IF('Input Sheet'!C1000="","",100-'Input Sheet'!C1000)</f>
        <v/>
      </c>
      <c r="H9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8" s="31" t="str">
        <f t="shared" si="15"/>
        <v/>
      </c>
      <c r="J9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8" s="31" t="str">
        <f>IF('Input Sheet'!F999=0, "NO",CONCATENATE('Input Sheet'!F999, IF('Input Sheet'!F999&gt;0,"% ","")))</f>
        <v>NO</v>
      </c>
      <c r="L9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8" s="31" t="str">
        <f>CONCATENATE(L998, IF('Input Sheet'!J1000="",""," siderite in "))</f>
        <v/>
      </c>
      <c r="N998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8" s="31" t="str">
        <f>CONCATENATE(N998, IF('Input Sheet'!K1000="",""," siderite in "))</f>
        <v/>
      </c>
    </row>
    <row r="999" spans="1:15" x14ac:dyDescent="0.35">
      <c r="A999" s="42" t="str">
        <f>IF('Input Sheet'!C1001="","",CONCATENATE("Sample ", 'Input Sheet'!B1001, "m: ", M999, G999, "% ", "Siltstone, ", O999, 'Input Sheet'!C1001, "% ", I999, " Sandstone, ", K999, J999, " FLUOR in SST. ", "TG ", 'Input Sheet'!I1001, "U"))</f>
        <v/>
      </c>
      <c r="B999" s="28" t="str">
        <f>IF('Input Sheet'!C1001="","",CONCATENATE("Sample ", 'Input Sheet'!B1001, "m: ", N999, H999, "% ", "Siltstone, ", P999, 'Input Sheet'!C1001, "% ", J999, " Sandstone "))</f>
        <v/>
      </c>
      <c r="C999" s="28" t="str">
        <f>IF('Input Sheet'!C1001="","",CONCATENATE("Sample ", 'Input Sheet'!B1001, "m: ", M999,, K999, J999, " FLUOR in SST. ", "TG ", 'Input Sheet'!I1001, "U"))</f>
        <v/>
      </c>
      <c r="G999" s="31" t="str">
        <f>IF('Input Sheet'!C1001="","",100-'Input Sheet'!C1001)</f>
        <v/>
      </c>
      <c r="H9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9" s="31" t="str">
        <f t="shared" si="15"/>
        <v/>
      </c>
      <c r="J9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9" s="31" t="str">
        <f>IF('Input Sheet'!F1000=0, "NO",CONCATENATE('Input Sheet'!F1000, IF('Input Sheet'!F1000&gt;0,"% ","")))</f>
        <v>NO</v>
      </c>
      <c r="L9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9" s="31" t="str">
        <f>CONCATENATE(L999, IF('Input Sheet'!J1001="",""," siderite in "))</f>
        <v/>
      </c>
      <c r="N999" s="31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9" s="31" t="str">
        <f>CONCATENATE(N999, IF('Input Sheet'!K1001="",""," siderite in 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F026-E98F-4DB2-BD0D-AE01E1C544FE}">
  <dimension ref="A1:AD200"/>
  <sheetViews>
    <sheetView tabSelected="1" workbookViewId="0">
      <selection activeCell="Z29" sqref="Z29"/>
    </sheetView>
  </sheetViews>
  <sheetFormatPr defaultColWidth="8.81640625" defaultRowHeight="14.5" x14ac:dyDescent="0.35"/>
  <cols>
    <col min="1" max="1" width="135.453125" customWidth="1"/>
    <col min="3" max="3" width="11.453125" bestFit="1" customWidth="1"/>
    <col min="6" max="7" width="9.1796875" style="63"/>
    <col min="9" max="9" width="10.1796875" customWidth="1"/>
    <col min="28" max="28" width="11.453125" customWidth="1"/>
    <col min="30" max="30" width="10.453125" customWidth="1"/>
  </cols>
  <sheetData>
    <row r="1" spans="1:30" ht="16.5" x14ac:dyDescent="0.45">
      <c r="A1" s="74"/>
      <c r="B1" s="75"/>
      <c r="C1" s="75"/>
      <c r="D1" s="75"/>
      <c r="E1" s="76"/>
      <c r="F1" s="59" t="s">
        <v>79</v>
      </c>
      <c r="G1" s="59" t="s">
        <v>79</v>
      </c>
      <c r="H1" s="2"/>
      <c r="I1" s="3" t="s">
        <v>80</v>
      </c>
      <c r="J1" s="3"/>
      <c r="K1" s="3" t="s">
        <v>81</v>
      </c>
      <c r="L1" s="3"/>
      <c r="M1" s="4"/>
      <c r="P1" t="s">
        <v>63</v>
      </c>
      <c r="Q1" t="s">
        <v>14</v>
      </c>
      <c r="R1" t="s">
        <v>19</v>
      </c>
      <c r="S1" t="s">
        <v>42</v>
      </c>
      <c r="T1" t="s">
        <v>82</v>
      </c>
      <c r="U1" t="s">
        <v>83</v>
      </c>
      <c r="X1" t="s">
        <v>84</v>
      </c>
      <c r="Z1" t="s">
        <v>85</v>
      </c>
      <c r="AB1" t="s">
        <v>86</v>
      </c>
      <c r="AD1" t="s">
        <v>87</v>
      </c>
    </row>
    <row r="2" spans="1:30" x14ac:dyDescent="0.35">
      <c r="A2" s="77" t="s">
        <v>88</v>
      </c>
      <c r="B2" s="77"/>
      <c r="C2" s="77"/>
      <c r="D2" s="77"/>
      <c r="E2" s="77"/>
      <c r="F2" s="60">
        <v>0</v>
      </c>
      <c r="G2" s="60">
        <v>0</v>
      </c>
      <c r="H2" s="2"/>
      <c r="I2" s="2" t="s">
        <v>89</v>
      </c>
      <c r="J2" s="2" t="s">
        <v>90</v>
      </c>
      <c r="K2" s="2" t="s">
        <v>89</v>
      </c>
      <c r="L2" s="2" t="s">
        <v>90</v>
      </c>
      <c r="P2" s="6">
        <f>+P3/$U$3</f>
        <v>3.5294117647058823E-2</v>
      </c>
      <c r="Q2" s="6">
        <f>+Q3/$U$3</f>
        <v>0.16313725490196079</v>
      </c>
      <c r="R2" s="6">
        <f>+R3/$U$3</f>
        <v>0.43137254901960786</v>
      </c>
      <c r="S2" s="6">
        <f>+S3/$U$3</f>
        <v>0.37019607843137253</v>
      </c>
      <c r="T2" s="6">
        <f>+T3/$U$3</f>
        <v>0</v>
      </c>
      <c r="X2" s="25">
        <v>1702</v>
      </c>
      <c r="Z2" s="9">
        <f>MAX(D:D)-X2</f>
        <v>1138</v>
      </c>
      <c r="AB2" s="5" t="e">
        <f>J3/$Z$2</f>
        <v>#VALUE!</v>
      </c>
      <c r="AD2" s="5" t="e">
        <f>L3/$Z$2</f>
        <v>#VALUE!</v>
      </c>
    </row>
    <row r="3" spans="1:30" x14ac:dyDescent="0.35">
      <c r="A3" s="77" t="s">
        <v>91</v>
      </c>
      <c r="B3" s="77"/>
      <c r="C3" s="77"/>
      <c r="D3" s="77"/>
      <c r="E3" s="77"/>
      <c r="F3" s="60">
        <v>0.5</v>
      </c>
      <c r="G3" s="60">
        <v>0.75</v>
      </c>
      <c r="H3" s="2"/>
      <c r="I3" s="2" t="e">
        <f>SUM(I33:I200)</f>
        <v>#VALUE!</v>
      </c>
      <c r="J3" s="2" t="e">
        <f>SUM(J33:J198)</f>
        <v>#VALUE!</v>
      </c>
      <c r="K3" s="2" t="e">
        <f>SUM(K33:K220)</f>
        <v>#VALUE!</v>
      </c>
      <c r="L3" s="2" t="e">
        <f>SUM(L33:L220)</f>
        <v>#VALUE!</v>
      </c>
      <c r="P3" s="2">
        <f>SUM(P6:P220)</f>
        <v>45</v>
      </c>
      <c r="Q3" s="2">
        <f>SUM(Q6:Q220)</f>
        <v>208</v>
      </c>
      <c r="R3" s="2">
        <f>SUM(R6:R220)</f>
        <v>550</v>
      </c>
      <c r="S3" s="2">
        <f>SUM(S6:S220)</f>
        <v>472</v>
      </c>
      <c r="T3" s="2">
        <f>SUM(T6:T220)</f>
        <v>0</v>
      </c>
      <c r="U3" s="2">
        <f>+SUM(P3:T3)</f>
        <v>1275</v>
      </c>
    </row>
    <row r="4" spans="1:30" s="14" customFormat="1" x14ac:dyDescent="0.35">
      <c r="A4" s="12"/>
      <c r="B4" s="12"/>
      <c r="C4" s="12"/>
      <c r="D4" s="12"/>
      <c r="E4" s="12"/>
      <c r="F4" s="61"/>
      <c r="G4" s="61"/>
      <c r="H4" s="13"/>
      <c r="I4" s="13"/>
      <c r="J4" s="13"/>
      <c r="K4" s="13"/>
      <c r="L4" s="13"/>
      <c r="M4" s="15"/>
      <c r="N4" s="15"/>
      <c r="O4" s="23"/>
    </row>
    <row r="5" spans="1:30" s="22" customFormat="1" ht="16" x14ac:dyDescent="0.45">
      <c r="A5" s="16" t="s">
        <v>92</v>
      </c>
      <c r="B5" s="17" t="s">
        <v>10</v>
      </c>
      <c r="C5" s="18" t="s">
        <v>11</v>
      </c>
      <c r="D5" s="19" t="s">
        <v>93</v>
      </c>
      <c r="E5" s="20" t="s">
        <v>94</v>
      </c>
      <c r="F5" s="62" t="s">
        <v>95</v>
      </c>
      <c r="G5" s="62" t="s">
        <v>96</v>
      </c>
      <c r="H5" s="19" t="s">
        <v>97</v>
      </c>
      <c r="I5" s="19" t="s">
        <v>98</v>
      </c>
      <c r="J5" s="19"/>
      <c r="K5" s="19" t="s">
        <v>98</v>
      </c>
      <c r="L5" s="19"/>
      <c r="M5" s="21" t="s">
        <v>99</v>
      </c>
      <c r="N5" s="21" t="s">
        <v>99</v>
      </c>
      <c r="O5" s="24"/>
      <c r="P5" s="22" t="s">
        <v>63</v>
      </c>
      <c r="Q5" s="22" t="s">
        <v>14</v>
      </c>
      <c r="R5" s="22" t="s">
        <v>19</v>
      </c>
      <c r="S5" s="22" t="s">
        <v>42</v>
      </c>
      <c r="T5" s="22" t="s">
        <v>82</v>
      </c>
      <c r="U5" s="22" t="s">
        <v>83</v>
      </c>
    </row>
    <row r="6" spans="1:30" ht="15.75" customHeight="1" x14ac:dyDescent="0.35">
      <c r="A6" s="10" t="str">
        <f>'Long Sample Name'!A2</f>
        <v>Sample 1565m: 85% Siltstone, 15% very fine Sandstone, NO FLUOR in SST. TG 5U</v>
      </c>
      <c r="B6" s="1">
        <f>'Input Sheet'!L4</f>
        <v>45206</v>
      </c>
      <c r="C6" s="7">
        <f>'Input Sheet'!M4</f>
        <v>0.52777777777777779</v>
      </c>
      <c r="D6" s="11">
        <f>'Input Sheet'!B4</f>
        <v>1565</v>
      </c>
      <c r="E6" s="8">
        <f>'Input Sheet'!I4</f>
        <v>5</v>
      </c>
      <c r="F6" s="59">
        <f>'Input Sheet'!C4/100</f>
        <v>0.15</v>
      </c>
      <c r="G6" s="59">
        <f>'Input Sheet'!F4/100</f>
        <v>0</v>
      </c>
      <c r="H6" s="2">
        <v>0</v>
      </c>
      <c r="I6" s="2">
        <f>IF(AND(F6&gt;=$F$2,G6&gt;=$G$2),H6,0)</f>
        <v>0</v>
      </c>
      <c r="J6" s="2">
        <f>IF(I6&gt;0,I6*F6,0)</f>
        <v>0</v>
      </c>
      <c r="K6" s="2">
        <f t="shared" ref="K6:K57" si="0">IF(AND(F6&gt;=$F$3,G6&gt;=$G$3),H6,0)</f>
        <v>0</v>
      </c>
      <c r="L6" s="2">
        <f>IF(K6&gt;0,K6*F6,0)</f>
        <v>0</v>
      </c>
      <c r="M6" s="2" t="str">
        <f>'Input Sheet'!E4</f>
        <v>VF</v>
      </c>
      <c r="N6" s="2">
        <f>IF(M6="VF",1,IF(M6="F",2,IF(M6="M",3,IF(M6="C",4,IF(M6="VC",5,0)))))</f>
        <v>1</v>
      </c>
      <c r="P6">
        <f t="shared" ref="P6:T12" si="1">IF($M6=P$1,$H6,0)</f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</row>
    <row r="7" spans="1:30" ht="15.75" customHeight="1" x14ac:dyDescent="0.35">
      <c r="A7" s="10" t="str">
        <f>'Long Sample Name'!A3</f>
        <v>Sample 1570m: 80% Siltstone, 20% very fine Sandstone, NO FLUOR in SST. TG 7U</v>
      </c>
      <c r="B7" s="1">
        <f>'Input Sheet'!L5</f>
        <v>45206</v>
      </c>
      <c r="C7" s="7">
        <f>'Input Sheet'!M5</f>
        <v>0.55208333333333337</v>
      </c>
      <c r="D7" s="11">
        <f>'Input Sheet'!B5</f>
        <v>1570</v>
      </c>
      <c r="E7" s="8">
        <f>'Input Sheet'!I5</f>
        <v>7</v>
      </c>
      <c r="F7" s="59">
        <f>'Input Sheet'!C5/100</f>
        <v>0.2</v>
      </c>
      <c r="G7" s="59">
        <f>'Input Sheet'!F5/100</f>
        <v>0</v>
      </c>
      <c r="H7" s="2">
        <f t="shared" ref="H7:H57" si="2">IF(D7&lt;&gt;"",D7-D6,"")</f>
        <v>5</v>
      </c>
      <c r="I7" s="2">
        <f t="shared" ref="I7:I57" si="3">IF(AND(F7&gt;=$F$2,G7&gt;=$G$2),H7,0)</f>
        <v>5</v>
      </c>
      <c r="J7" s="2">
        <f t="shared" ref="J7:J56" si="4">IF(I7&gt;0,I7*F7,0)</f>
        <v>1</v>
      </c>
      <c r="K7" s="2">
        <f t="shared" si="0"/>
        <v>0</v>
      </c>
      <c r="L7" s="2">
        <f t="shared" ref="L7:L57" si="5">IF(K7&gt;0,K7*F7,0)</f>
        <v>0</v>
      </c>
      <c r="M7" s="2" t="str">
        <f>'Input Sheet'!E5</f>
        <v>VF</v>
      </c>
      <c r="N7" s="2">
        <f t="shared" ref="N7:N57" si="6">IF(M7="VF",1,IF(M7="F",2,IF(M7="M",3,IF(M7="C",4,IF(M7="VC",5,0)))))</f>
        <v>1</v>
      </c>
      <c r="P7">
        <f t="shared" si="1"/>
        <v>5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</row>
    <row r="8" spans="1:30" ht="15.75" customHeight="1" x14ac:dyDescent="0.35">
      <c r="A8" s="10" t="str">
        <f>'Long Sample Name'!A4</f>
        <v>Sample 1575m: 75% Siltstone, 25% very fine Sandstone, NO FLUOR in SST. TG 8U</v>
      </c>
      <c r="B8" s="1">
        <f>'Input Sheet'!L6</f>
        <v>45206</v>
      </c>
      <c r="C8" s="7">
        <f>'Input Sheet'!M6</f>
        <v>0.56597222222222221</v>
      </c>
      <c r="D8" s="11">
        <f>'Input Sheet'!B6</f>
        <v>1575</v>
      </c>
      <c r="E8" s="8">
        <f>'Input Sheet'!I6</f>
        <v>8</v>
      </c>
      <c r="F8" s="59">
        <f>'Input Sheet'!C6/100</f>
        <v>0.25</v>
      </c>
      <c r="G8" s="59">
        <f>'Input Sheet'!F6/100</f>
        <v>0</v>
      </c>
      <c r="H8" s="2">
        <f t="shared" si="2"/>
        <v>5</v>
      </c>
      <c r="I8" s="2">
        <f t="shared" si="3"/>
        <v>5</v>
      </c>
      <c r="J8" s="2">
        <f t="shared" si="4"/>
        <v>1.25</v>
      </c>
      <c r="K8" s="2">
        <f t="shared" si="0"/>
        <v>0</v>
      </c>
      <c r="L8" s="2">
        <f t="shared" si="5"/>
        <v>0</v>
      </c>
      <c r="M8" s="2" t="str">
        <f>'Input Sheet'!E6</f>
        <v>VF</v>
      </c>
      <c r="N8" s="2">
        <f t="shared" si="6"/>
        <v>1</v>
      </c>
      <c r="P8">
        <f t="shared" si="1"/>
        <v>5</v>
      </c>
      <c r="Q8">
        <f t="shared" si="1"/>
        <v>0</v>
      </c>
      <c r="R8">
        <f t="shared" si="1"/>
        <v>0</v>
      </c>
      <c r="S8">
        <f t="shared" si="1"/>
        <v>0</v>
      </c>
      <c r="T8">
        <f t="shared" si="1"/>
        <v>0</v>
      </c>
    </row>
    <row r="9" spans="1:30" ht="15.75" customHeight="1" x14ac:dyDescent="0.35">
      <c r="A9" s="10" t="str">
        <f>'Long Sample Name'!A5</f>
        <v>Sample 1580m: 80% Siltstone, 20% very fine Sandstone, NO FLUOR in SST. TG 5U</v>
      </c>
      <c r="B9" s="1">
        <f>'Input Sheet'!L7</f>
        <v>45206</v>
      </c>
      <c r="C9" s="7">
        <f>'Input Sheet'!M7</f>
        <v>0.58333333333333337</v>
      </c>
      <c r="D9" s="11">
        <f>'Input Sheet'!B7</f>
        <v>1580</v>
      </c>
      <c r="E9" s="8">
        <f>'Input Sheet'!I7</f>
        <v>5</v>
      </c>
      <c r="F9" s="59">
        <f>'Input Sheet'!C7/100</f>
        <v>0.2</v>
      </c>
      <c r="G9" s="59">
        <f>'Input Sheet'!F7/100</f>
        <v>0</v>
      </c>
      <c r="H9" s="2">
        <f t="shared" si="2"/>
        <v>5</v>
      </c>
      <c r="I9" s="2">
        <f t="shared" si="3"/>
        <v>5</v>
      </c>
      <c r="J9" s="2">
        <f t="shared" si="4"/>
        <v>1</v>
      </c>
      <c r="K9" s="2">
        <f t="shared" si="0"/>
        <v>0</v>
      </c>
      <c r="L9" s="2">
        <f t="shared" si="5"/>
        <v>0</v>
      </c>
      <c r="M9" s="2" t="str">
        <f>'Input Sheet'!E7</f>
        <v>VF</v>
      </c>
      <c r="N9" s="2">
        <f t="shared" si="6"/>
        <v>1</v>
      </c>
      <c r="P9">
        <f t="shared" si="1"/>
        <v>5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</row>
    <row r="10" spans="1:30" ht="15.75" customHeight="1" x14ac:dyDescent="0.35">
      <c r="A10" s="10" t="str">
        <f>'Long Sample Name'!A6</f>
        <v>Sample 1585m: 85% Siltstone, 15% very fine Sandstone, NO FLUOR in SST. TG 5U</v>
      </c>
      <c r="B10" s="1">
        <f>'Input Sheet'!L8</f>
        <v>45206</v>
      </c>
      <c r="C10" s="7">
        <f>'Input Sheet'!M8</f>
        <v>0.59375</v>
      </c>
      <c r="D10" s="11">
        <f>'Input Sheet'!B8</f>
        <v>1585</v>
      </c>
      <c r="E10" s="8">
        <f>'Input Sheet'!I8</f>
        <v>5</v>
      </c>
      <c r="F10" s="59">
        <f>'Input Sheet'!C8/100</f>
        <v>0.15</v>
      </c>
      <c r="G10" s="59">
        <f>'Input Sheet'!F8/100</f>
        <v>0</v>
      </c>
      <c r="H10" s="2">
        <f t="shared" si="2"/>
        <v>5</v>
      </c>
      <c r="I10" s="2">
        <f t="shared" si="3"/>
        <v>5</v>
      </c>
      <c r="J10" s="2">
        <f t="shared" si="4"/>
        <v>0.75</v>
      </c>
      <c r="K10" s="2">
        <f t="shared" si="0"/>
        <v>0</v>
      </c>
      <c r="L10" s="2">
        <f t="shared" si="5"/>
        <v>0</v>
      </c>
      <c r="M10" s="2" t="str">
        <f>'Input Sheet'!E8</f>
        <v>VF</v>
      </c>
      <c r="N10" s="2">
        <f t="shared" si="6"/>
        <v>1</v>
      </c>
      <c r="P10">
        <f t="shared" si="1"/>
        <v>5</v>
      </c>
      <c r="Q10">
        <f t="shared" si="1"/>
        <v>0</v>
      </c>
      <c r="R10">
        <f t="shared" si="1"/>
        <v>0</v>
      </c>
      <c r="S10">
        <f t="shared" si="1"/>
        <v>0</v>
      </c>
      <c r="T10">
        <f t="shared" si="1"/>
        <v>0</v>
      </c>
    </row>
    <row r="11" spans="1:30" ht="15.75" customHeight="1" x14ac:dyDescent="0.35">
      <c r="A11" s="10" t="str">
        <f>'Long Sample Name'!A7</f>
        <v>Sample 1590m: 85% Siltstone, 15% very fine Sandstone, NO FLUOR in SST. TG 8U</v>
      </c>
      <c r="B11" s="1">
        <f>'Input Sheet'!L9</f>
        <v>45206</v>
      </c>
      <c r="C11" s="7">
        <f>'Input Sheet'!M9</f>
        <v>0.60416666666666663</v>
      </c>
      <c r="D11" s="11">
        <f>'Input Sheet'!B9</f>
        <v>1590</v>
      </c>
      <c r="E11" s="8">
        <f>'Input Sheet'!I9</f>
        <v>8</v>
      </c>
      <c r="F11" s="59">
        <f>'Input Sheet'!C9/100</f>
        <v>0.15</v>
      </c>
      <c r="G11" s="59">
        <f>'Input Sheet'!F9/100</f>
        <v>0</v>
      </c>
      <c r="H11" s="2">
        <f t="shared" si="2"/>
        <v>5</v>
      </c>
      <c r="I11" s="2">
        <f t="shared" si="3"/>
        <v>5</v>
      </c>
      <c r="J11" s="2">
        <f t="shared" si="4"/>
        <v>0.75</v>
      </c>
      <c r="K11" s="2">
        <f t="shared" si="0"/>
        <v>0</v>
      </c>
      <c r="L11" s="2">
        <f t="shared" si="5"/>
        <v>0</v>
      </c>
      <c r="M11" s="2" t="str">
        <f>'Input Sheet'!E9</f>
        <v>VF</v>
      </c>
      <c r="N11" s="2">
        <f t="shared" si="6"/>
        <v>1</v>
      </c>
      <c r="P11">
        <f t="shared" si="1"/>
        <v>5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0</v>
      </c>
    </row>
    <row r="12" spans="1:30" ht="15.75" customHeight="1" x14ac:dyDescent="0.35">
      <c r="A12" s="10" t="str">
        <f>'Long Sample Name'!A8</f>
        <v>Sample 1595m: 70% Siltstone, 30% very fine to fine Sandstone, NO FLUOR in SST. TG 9U</v>
      </c>
      <c r="B12" s="1">
        <f>'Input Sheet'!L10</f>
        <v>45206</v>
      </c>
      <c r="C12" s="7">
        <f>'Input Sheet'!M10</f>
        <v>0.62847222222222221</v>
      </c>
      <c r="D12" s="11">
        <f>'Input Sheet'!B10</f>
        <v>1595</v>
      </c>
      <c r="E12" s="8">
        <f>'Input Sheet'!I10</f>
        <v>9</v>
      </c>
      <c r="F12" s="59">
        <f>'Input Sheet'!C10/100</f>
        <v>0.3</v>
      </c>
      <c r="G12" s="59">
        <f>'Input Sheet'!F10/100</f>
        <v>0</v>
      </c>
      <c r="H12" s="2">
        <f t="shared" si="2"/>
        <v>5</v>
      </c>
      <c r="I12" s="2">
        <f t="shared" si="3"/>
        <v>5</v>
      </c>
      <c r="J12" s="2">
        <f t="shared" si="4"/>
        <v>1.5</v>
      </c>
      <c r="K12" s="2">
        <f t="shared" si="0"/>
        <v>0</v>
      </c>
      <c r="L12" s="2">
        <f t="shared" si="5"/>
        <v>0</v>
      </c>
      <c r="M12" s="2" t="str">
        <f>'Input Sheet'!E10</f>
        <v>F</v>
      </c>
      <c r="N12" s="2">
        <f t="shared" si="6"/>
        <v>2</v>
      </c>
      <c r="P12">
        <f t="shared" ref="P12:T26" si="7">IF($M12=P$1,$H12,0)</f>
        <v>0</v>
      </c>
      <c r="Q12">
        <f t="shared" si="7"/>
        <v>5</v>
      </c>
      <c r="R12">
        <f t="shared" si="7"/>
        <v>0</v>
      </c>
      <c r="S12">
        <f t="shared" si="1"/>
        <v>0</v>
      </c>
      <c r="T12">
        <f t="shared" si="1"/>
        <v>0</v>
      </c>
    </row>
    <row r="13" spans="1:30" ht="15.75" customHeight="1" x14ac:dyDescent="0.35">
      <c r="A13" s="10" t="str">
        <f>'Long Sample Name'!A9</f>
        <v>Sample 1600m: 50% Siltstone, 50% very fine to fine Sandstone, NO FLUOR in SST. TG 11U</v>
      </c>
      <c r="B13" s="1">
        <f>'Input Sheet'!L11</f>
        <v>45206</v>
      </c>
      <c r="C13" s="7">
        <f>'Input Sheet'!M11</f>
        <v>0.64236111111111105</v>
      </c>
      <c r="D13" s="11">
        <f>'Input Sheet'!B11</f>
        <v>1600</v>
      </c>
      <c r="E13" s="8">
        <f>'Input Sheet'!I11</f>
        <v>11</v>
      </c>
      <c r="F13" s="59">
        <f>'Input Sheet'!C11/100</f>
        <v>0.5</v>
      </c>
      <c r="G13" s="59">
        <f>'Input Sheet'!F11/100</f>
        <v>0</v>
      </c>
      <c r="H13" s="2">
        <f t="shared" si="2"/>
        <v>5</v>
      </c>
      <c r="I13" s="2">
        <f t="shared" si="3"/>
        <v>5</v>
      </c>
      <c r="J13" s="2">
        <f t="shared" si="4"/>
        <v>2.5</v>
      </c>
      <c r="K13" s="2">
        <f t="shared" si="0"/>
        <v>0</v>
      </c>
      <c r="L13" s="2">
        <f t="shared" si="5"/>
        <v>0</v>
      </c>
      <c r="M13" s="2" t="str">
        <f>'Input Sheet'!E11</f>
        <v>M</v>
      </c>
      <c r="N13" s="2">
        <f t="shared" si="6"/>
        <v>3</v>
      </c>
      <c r="P13">
        <f t="shared" si="7"/>
        <v>0</v>
      </c>
      <c r="Q13">
        <f t="shared" si="7"/>
        <v>0</v>
      </c>
      <c r="R13">
        <f t="shared" si="7"/>
        <v>5</v>
      </c>
      <c r="S13">
        <f t="shared" si="7"/>
        <v>0</v>
      </c>
      <c r="T13">
        <f t="shared" si="7"/>
        <v>0</v>
      </c>
    </row>
    <row r="14" spans="1:30" ht="15.75" customHeight="1" x14ac:dyDescent="0.35">
      <c r="A14" s="10" t="str">
        <f>'Long Sample Name'!A10</f>
        <v>Sample 1605m: 55% Siltstone, 45% very fine to fine Sandstone, NO FLUOR in SST. TG 13U</v>
      </c>
      <c r="B14" s="1">
        <f>'Input Sheet'!L12</f>
        <v>45206</v>
      </c>
      <c r="C14" s="7">
        <f>'Input Sheet'!M12</f>
        <v>0.64930555555555558</v>
      </c>
      <c r="D14" s="11">
        <f>'Input Sheet'!B12</f>
        <v>1605</v>
      </c>
      <c r="E14" s="8">
        <f>'Input Sheet'!I12</f>
        <v>13</v>
      </c>
      <c r="F14" s="59">
        <f>'Input Sheet'!C12/100</f>
        <v>0.45</v>
      </c>
      <c r="G14" s="59">
        <f>'Input Sheet'!F12/100</f>
        <v>0</v>
      </c>
      <c r="H14" s="2">
        <f t="shared" si="2"/>
        <v>5</v>
      </c>
      <c r="I14" s="2">
        <f t="shared" si="3"/>
        <v>5</v>
      </c>
      <c r="J14" s="2">
        <f t="shared" si="4"/>
        <v>2.25</v>
      </c>
      <c r="K14" s="2">
        <f t="shared" si="0"/>
        <v>0</v>
      </c>
      <c r="L14" s="2">
        <f t="shared" si="5"/>
        <v>0</v>
      </c>
      <c r="M14" s="2" t="str">
        <f>'Input Sheet'!E12</f>
        <v>M</v>
      </c>
      <c r="N14" s="2">
        <f t="shared" si="6"/>
        <v>3</v>
      </c>
      <c r="P14">
        <f t="shared" si="7"/>
        <v>0</v>
      </c>
      <c r="Q14">
        <f t="shared" si="7"/>
        <v>0</v>
      </c>
      <c r="R14">
        <f t="shared" si="7"/>
        <v>5</v>
      </c>
      <c r="S14">
        <f t="shared" si="7"/>
        <v>0</v>
      </c>
      <c r="T14">
        <f t="shared" si="7"/>
        <v>0</v>
      </c>
    </row>
    <row r="15" spans="1:30" ht="16.5" x14ac:dyDescent="0.35">
      <c r="A15" s="10" t="str">
        <f>'Long Sample Name'!A11</f>
        <v>Sample 1610m: 55% Siltstone, 45% very fine to fine Sandstone, NO FLUOR in SST. TG 9U</v>
      </c>
      <c r="B15" s="1">
        <f>'Input Sheet'!L13</f>
        <v>45206</v>
      </c>
      <c r="C15" s="7">
        <f>'Input Sheet'!M13</f>
        <v>0.66319444444444442</v>
      </c>
      <c r="D15" s="11">
        <f>'Input Sheet'!B13</f>
        <v>1610</v>
      </c>
      <c r="E15" s="8">
        <f>'Input Sheet'!I13</f>
        <v>9</v>
      </c>
      <c r="F15" s="59">
        <f>'Input Sheet'!C13/100</f>
        <v>0.45</v>
      </c>
      <c r="G15" s="59">
        <f>'Input Sheet'!F13/100</f>
        <v>0</v>
      </c>
      <c r="H15" s="2">
        <f t="shared" si="2"/>
        <v>5</v>
      </c>
      <c r="I15" s="2">
        <f t="shared" si="3"/>
        <v>5</v>
      </c>
      <c r="J15" s="2">
        <f t="shared" si="4"/>
        <v>2.25</v>
      </c>
      <c r="K15" s="2">
        <f t="shared" si="0"/>
        <v>0</v>
      </c>
      <c r="L15" s="2">
        <f t="shared" si="5"/>
        <v>0</v>
      </c>
      <c r="M15" s="2" t="str">
        <f>'Input Sheet'!E13</f>
        <v>F</v>
      </c>
      <c r="N15" s="2">
        <f t="shared" si="6"/>
        <v>2</v>
      </c>
      <c r="P15">
        <f t="shared" si="7"/>
        <v>0</v>
      </c>
      <c r="Q15">
        <f t="shared" si="7"/>
        <v>5</v>
      </c>
      <c r="R15">
        <f t="shared" si="7"/>
        <v>0</v>
      </c>
      <c r="S15">
        <f t="shared" si="7"/>
        <v>0</v>
      </c>
      <c r="T15">
        <f t="shared" si="7"/>
        <v>0</v>
      </c>
    </row>
    <row r="16" spans="1:30" ht="16.5" x14ac:dyDescent="0.35">
      <c r="A16" s="10" t="str">
        <f>'Long Sample Name'!A12</f>
        <v>Sample 1615m: 35% Siltstone, 65% very fine to fine Sandstone, 15% moderately bright FLUOR in SST. TG 10U</v>
      </c>
      <c r="B16" s="1">
        <f>'Input Sheet'!L14</f>
        <v>45206</v>
      </c>
      <c r="C16" s="7">
        <f>'Input Sheet'!M14</f>
        <v>0.69444444444444453</v>
      </c>
      <c r="D16" s="11">
        <f>'Input Sheet'!B14</f>
        <v>1615</v>
      </c>
      <c r="E16" s="8">
        <f>'Input Sheet'!I14</f>
        <v>10</v>
      </c>
      <c r="F16" s="59">
        <f>'Input Sheet'!C14/100</f>
        <v>0.65</v>
      </c>
      <c r="G16" s="59">
        <f>'Input Sheet'!F14/100</f>
        <v>0.15</v>
      </c>
      <c r="H16" s="2">
        <f t="shared" si="2"/>
        <v>5</v>
      </c>
      <c r="I16" s="2">
        <f t="shared" si="3"/>
        <v>5</v>
      </c>
      <c r="J16" s="2">
        <f t="shared" si="4"/>
        <v>3.25</v>
      </c>
      <c r="K16" s="2">
        <f t="shared" si="0"/>
        <v>0</v>
      </c>
      <c r="L16" s="2">
        <f t="shared" si="5"/>
        <v>0</v>
      </c>
      <c r="M16" s="2" t="str">
        <f>'Input Sheet'!E14</f>
        <v>C</v>
      </c>
      <c r="N16" s="2">
        <f t="shared" si="6"/>
        <v>4</v>
      </c>
      <c r="P16">
        <f t="shared" si="7"/>
        <v>0</v>
      </c>
      <c r="Q16">
        <f t="shared" si="7"/>
        <v>0</v>
      </c>
      <c r="R16">
        <f t="shared" si="7"/>
        <v>0</v>
      </c>
      <c r="S16">
        <f t="shared" si="7"/>
        <v>5</v>
      </c>
      <c r="T16">
        <f t="shared" si="7"/>
        <v>0</v>
      </c>
    </row>
    <row r="17" spans="1:20" ht="16.5" x14ac:dyDescent="0.35">
      <c r="A17" s="10" t="str">
        <f>'Long Sample Name'!A13</f>
        <v>Sample 1620m: 30% Siltstone, 70% very fine to fine Sandstone, 50% moderately bright FLUOR in SST. TG 21U</v>
      </c>
      <c r="B17" s="1">
        <f>'Input Sheet'!L15</f>
        <v>45206</v>
      </c>
      <c r="C17" s="7">
        <f>'Input Sheet'!M15</f>
        <v>0.72569444444444453</v>
      </c>
      <c r="D17" s="11">
        <f>'Input Sheet'!B15</f>
        <v>1620</v>
      </c>
      <c r="E17" s="8">
        <f>'Input Sheet'!I15</f>
        <v>21</v>
      </c>
      <c r="F17" s="59">
        <f>'Input Sheet'!C15/100</f>
        <v>0.7</v>
      </c>
      <c r="G17" s="59">
        <f>'Input Sheet'!F15/100</f>
        <v>0.5</v>
      </c>
      <c r="H17" s="2">
        <f t="shared" si="2"/>
        <v>5</v>
      </c>
      <c r="I17" s="2">
        <f t="shared" si="3"/>
        <v>5</v>
      </c>
      <c r="J17" s="2">
        <f t="shared" si="4"/>
        <v>3.5</v>
      </c>
      <c r="K17" s="2">
        <f t="shared" si="0"/>
        <v>0</v>
      </c>
      <c r="L17" s="2">
        <f t="shared" si="5"/>
        <v>0</v>
      </c>
      <c r="M17" s="2" t="str">
        <f>'Input Sheet'!E15</f>
        <v>C</v>
      </c>
      <c r="N17" s="2">
        <f t="shared" si="6"/>
        <v>4</v>
      </c>
      <c r="P17">
        <f t="shared" si="7"/>
        <v>0</v>
      </c>
      <c r="Q17">
        <f t="shared" si="7"/>
        <v>0</v>
      </c>
      <c r="R17">
        <f t="shared" si="7"/>
        <v>0</v>
      </c>
      <c r="S17">
        <f t="shared" si="7"/>
        <v>5</v>
      </c>
      <c r="T17">
        <f t="shared" si="7"/>
        <v>0</v>
      </c>
    </row>
    <row r="18" spans="1:20" ht="18" customHeight="1" x14ac:dyDescent="0.35">
      <c r="A18" s="10" t="str">
        <f>'Long Sample Name'!A14</f>
        <v>Sample 1625m: 30% Siltstone, 70% very fine to fine Sandstone, 70% moderately bright FLUOR in SST. TG 25U</v>
      </c>
      <c r="B18" s="1">
        <f>'Input Sheet'!L16</f>
        <v>45206</v>
      </c>
      <c r="C18" s="7">
        <f>'Input Sheet'!M16</f>
        <v>0.73958333333333337</v>
      </c>
      <c r="D18" s="11">
        <f>'Input Sheet'!B16</f>
        <v>1625</v>
      </c>
      <c r="E18" s="8">
        <f>'Input Sheet'!I16</f>
        <v>25</v>
      </c>
      <c r="F18" s="59">
        <f>'Input Sheet'!C16/100</f>
        <v>0.7</v>
      </c>
      <c r="G18" s="59">
        <f>'Input Sheet'!F16/100</f>
        <v>0.7</v>
      </c>
      <c r="H18" s="2">
        <f t="shared" si="2"/>
        <v>5</v>
      </c>
      <c r="I18" s="2">
        <f t="shared" si="3"/>
        <v>5</v>
      </c>
      <c r="J18" s="2">
        <f t="shared" si="4"/>
        <v>3.5</v>
      </c>
      <c r="K18" s="2">
        <f t="shared" si="0"/>
        <v>0</v>
      </c>
      <c r="L18" s="2">
        <f t="shared" si="5"/>
        <v>0</v>
      </c>
      <c r="M18" s="2" t="str">
        <f>'Input Sheet'!E16</f>
        <v>C</v>
      </c>
      <c r="N18" s="2">
        <f t="shared" si="6"/>
        <v>4</v>
      </c>
      <c r="P18">
        <f t="shared" si="7"/>
        <v>0</v>
      </c>
      <c r="Q18">
        <f t="shared" si="7"/>
        <v>0</v>
      </c>
      <c r="R18">
        <f t="shared" si="7"/>
        <v>0</v>
      </c>
      <c r="S18">
        <f t="shared" si="7"/>
        <v>5</v>
      </c>
      <c r="T18">
        <f t="shared" si="7"/>
        <v>0</v>
      </c>
    </row>
    <row r="19" spans="1:20" ht="16.5" x14ac:dyDescent="0.35">
      <c r="A19" s="10" t="str">
        <f>'Long Sample Name'!A15</f>
        <v>Sample 1630m: 30% Siltstone, 70% very fine to fine Sandstone, 100% moderately bright FLUOR in SST. TG 22U</v>
      </c>
      <c r="B19" s="1">
        <f>'Input Sheet'!L17</f>
        <v>45206</v>
      </c>
      <c r="C19" s="7">
        <f>'Input Sheet'!M17</f>
        <v>0.75347222222222221</v>
      </c>
      <c r="D19" s="11">
        <f>'Input Sheet'!B17</f>
        <v>1630</v>
      </c>
      <c r="E19" s="8">
        <f>'Input Sheet'!I17</f>
        <v>22</v>
      </c>
      <c r="F19" s="59">
        <f>'Input Sheet'!C17/100</f>
        <v>0.7</v>
      </c>
      <c r="G19" s="59">
        <f>'Input Sheet'!F17/100</f>
        <v>1</v>
      </c>
      <c r="H19" s="2">
        <f t="shared" si="2"/>
        <v>5</v>
      </c>
      <c r="I19" s="2">
        <f t="shared" si="3"/>
        <v>5</v>
      </c>
      <c r="J19" s="2">
        <f t="shared" si="4"/>
        <v>3.5</v>
      </c>
      <c r="K19" s="2">
        <f t="shared" si="0"/>
        <v>5</v>
      </c>
      <c r="L19" s="2">
        <f t="shared" si="5"/>
        <v>3.5</v>
      </c>
      <c r="M19" s="2" t="str">
        <f>'Input Sheet'!E17</f>
        <v>C</v>
      </c>
      <c r="N19" s="2">
        <f t="shared" si="6"/>
        <v>4</v>
      </c>
      <c r="P19">
        <f t="shared" si="7"/>
        <v>0</v>
      </c>
      <c r="Q19">
        <f t="shared" si="7"/>
        <v>0</v>
      </c>
      <c r="R19">
        <f t="shared" si="7"/>
        <v>0</v>
      </c>
      <c r="S19">
        <f t="shared" si="7"/>
        <v>5</v>
      </c>
      <c r="T19">
        <f t="shared" si="7"/>
        <v>0</v>
      </c>
    </row>
    <row r="20" spans="1:20" ht="16.5" x14ac:dyDescent="0.35">
      <c r="A20" s="10" t="str">
        <f>'Long Sample Name'!A16</f>
        <v>Sample 1637m: 30% Siltstone, 70% very fine to fine Sandstone, 100% moderately bright FLUOR in SST. TG 17U</v>
      </c>
      <c r="B20" s="1">
        <f>'Input Sheet'!L18</f>
        <v>45206</v>
      </c>
      <c r="C20" s="7">
        <f>'Input Sheet'!M18</f>
        <v>0.78125</v>
      </c>
      <c r="D20" s="11">
        <f>'Input Sheet'!B18</f>
        <v>1637</v>
      </c>
      <c r="E20" s="8">
        <f>'Input Sheet'!I18</f>
        <v>17</v>
      </c>
      <c r="F20" s="59">
        <f>'Input Sheet'!C18/100</f>
        <v>0.7</v>
      </c>
      <c r="G20" s="59">
        <f>'Input Sheet'!F18/100</f>
        <v>1</v>
      </c>
      <c r="H20" s="2">
        <f t="shared" si="2"/>
        <v>7</v>
      </c>
      <c r="I20" s="2">
        <f t="shared" si="3"/>
        <v>7</v>
      </c>
      <c r="J20" s="2">
        <f t="shared" si="4"/>
        <v>4.8999999999999995</v>
      </c>
      <c r="K20" s="2">
        <f t="shared" si="0"/>
        <v>7</v>
      </c>
      <c r="L20" s="2">
        <f t="shared" si="5"/>
        <v>4.8999999999999995</v>
      </c>
      <c r="M20" s="2" t="str">
        <f>'Input Sheet'!E18</f>
        <v>C</v>
      </c>
      <c r="N20" s="2">
        <f t="shared" si="6"/>
        <v>4</v>
      </c>
      <c r="P20">
        <f t="shared" si="7"/>
        <v>0</v>
      </c>
      <c r="Q20">
        <f t="shared" si="7"/>
        <v>0</v>
      </c>
      <c r="R20">
        <f t="shared" si="7"/>
        <v>0</v>
      </c>
      <c r="S20">
        <f t="shared" si="7"/>
        <v>7</v>
      </c>
      <c r="T20">
        <f t="shared" si="7"/>
        <v>0</v>
      </c>
    </row>
    <row r="21" spans="1:20" ht="16.5" x14ac:dyDescent="0.35">
      <c r="A21" s="10" t="str">
        <f>'Long Sample Name'!A17</f>
        <v>Sample 1640m: 40% Siltstone, 60% very fine to fine Sandstone, 50% moderately bright FLUOR in SST. TG 13U</v>
      </c>
      <c r="B21" s="1">
        <f>'Input Sheet'!L19</f>
        <v>45207</v>
      </c>
      <c r="C21" s="7">
        <f>'Input Sheet'!M19</f>
        <v>0.46527777777777773</v>
      </c>
      <c r="D21" s="11">
        <f>'Input Sheet'!B19</f>
        <v>1640</v>
      </c>
      <c r="E21" s="8">
        <f>'Input Sheet'!I19</f>
        <v>13</v>
      </c>
      <c r="F21" s="59">
        <f>'Input Sheet'!C19/100</f>
        <v>0.6</v>
      </c>
      <c r="G21" s="59">
        <f>'Input Sheet'!F19/100</f>
        <v>0.5</v>
      </c>
      <c r="H21" s="2">
        <f t="shared" si="2"/>
        <v>3</v>
      </c>
      <c r="I21" s="2">
        <f t="shared" si="3"/>
        <v>3</v>
      </c>
      <c r="J21" s="2">
        <f t="shared" si="4"/>
        <v>1.7999999999999998</v>
      </c>
      <c r="K21" s="2">
        <f t="shared" si="0"/>
        <v>0</v>
      </c>
      <c r="L21" s="2">
        <f t="shared" si="5"/>
        <v>0</v>
      </c>
      <c r="M21" s="2" t="str">
        <f>'Input Sheet'!E19</f>
        <v>F</v>
      </c>
      <c r="N21" s="2">
        <f t="shared" si="6"/>
        <v>2</v>
      </c>
      <c r="P21">
        <f t="shared" si="7"/>
        <v>0</v>
      </c>
      <c r="Q21">
        <f t="shared" si="7"/>
        <v>3</v>
      </c>
      <c r="R21">
        <f t="shared" si="7"/>
        <v>0</v>
      </c>
      <c r="S21">
        <f t="shared" si="7"/>
        <v>0</v>
      </c>
      <c r="T21">
        <f t="shared" si="7"/>
        <v>0</v>
      </c>
    </row>
    <row r="22" spans="1:20" ht="16.5" x14ac:dyDescent="0.35">
      <c r="A22" s="10" t="str">
        <f>'Long Sample Name'!A18</f>
        <v>Sample 1645m: 60% Siltstone, 40% very fine to fine Sandstone, 50% moderately bright FLUOR in SST. TG 7U</v>
      </c>
      <c r="B22" s="1">
        <f>'Input Sheet'!L20</f>
        <v>45207</v>
      </c>
      <c r="C22" s="7">
        <f>'Input Sheet'!M20</f>
        <v>0.47569444444444442</v>
      </c>
      <c r="D22" s="11">
        <f>'Input Sheet'!B20</f>
        <v>1645</v>
      </c>
      <c r="E22" s="8">
        <f>'Input Sheet'!I20</f>
        <v>7</v>
      </c>
      <c r="F22" s="59">
        <f>'Input Sheet'!C20/100</f>
        <v>0.4</v>
      </c>
      <c r="G22" s="59">
        <f>'Input Sheet'!F20/100</f>
        <v>0.5</v>
      </c>
      <c r="H22" s="2">
        <f t="shared" si="2"/>
        <v>5</v>
      </c>
      <c r="I22" s="2">
        <f t="shared" si="3"/>
        <v>5</v>
      </c>
      <c r="J22" s="2">
        <f t="shared" si="4"/>
        <v>2</v>
      </c>
      <c r="K22" s="2">
        <f t="shared" si="0"/>
        <v>0</v>
      </c>
      <c r="L22" s="2">
        <f t="shared" si="5"/>
        <v>0</v>
      </c>
      <c r="M22" s="2" t="str">
        <f>'Input Sheet'!E20</f>
        <v>F</v>
      </c>
      <c r="N22" s="2">
        <f t="shared" si="6"/>
        <v>2</v>
      </c>
      <c r="P22">
        <f t="shared" si="7"/>
        <v>0</v>
      </c>
      <c r="Q22">
        <f t="shared" si="7"/>
        <v>5</v>
      </c>
      <c r="R22">
        <f t="shared" si="7"/>
        <v>0</v>
      </c>
      <c r="S22">
        <f t="shared" si="7"/>
        <v>0</v>
      </c>
      <c r="T22">
        <f t="shared" si="7"/>
        <v>0</v>
      </c>
    </row>
    <row r="23" spans="1:20" ht="16.5" x14ac:dyDescent="0.35">
      <c r="A23" s="10" t="str">
        <f>'Long Sample Name'!A19</f>
        <v>Sample 1650m: 70% Siltstone, 30% very fine to fine Sandstone, 30% moderately bright FLUOR in SST. TG 18U</v>
      </c>
      <c r="B23" s="1">
        <f>'Input Sheet'!L21</f>
        <v>45207</v>
      </c>
      <c r="C23" s="7">
        <f>'Input Sheet'!M21</f>
        <v>0.49652777777777773</v>
      </c>
      <c r="D23" s="11">
        <f>'Input Sheet'!B21</f>
        <v>1650</v>
      </c>
      <c r="E23" s="8">
        <f>'Input Sheet'!I21</f>
        <v>18</v>
      </c>
      <c r="F23" s="59">
        <f>'Input Sheet'!C21/100</f>
        <v>0.3</v>
      </c>
      <c r="G23" s="59">
        <f>'Input Sheet'!F21/100</f>
        <v>0.3</v>
      </c>
      <c r="H23" s="2">
        <f t="shared" si="2"/>
        <v>5</v>
      </c>
      <c r="I23" s="2">
        <f t="shared" si="3"/>
        <v>5</v>
      </c>
      <c r="J23" s="2">
        <f t="shared" si="4"/>
        <v>1.5</v>
      </c>
      <c r="K23" s="2">
        <f t="shared" si="0"/>
        <v>0</v>
      </c>
      <c r="L23" s="2">
        <f t="shared" si="5"/>
        <v>0</v>
      </c>
      <c r="M23" s="2" t="str">
        <f>'Input Sheet'!E21</f>
        <v>C</v>
      </c>
      <c r="N23" s="2">
        <f t="shared" si="6"/>
        <v>4</v>
      </c>
      <c r="P23">
        <f t="shared" si="7"/>
        <v>0</v>
      </c>
      <c r="Q23">
        <f t="shared" si="7"/>
        <v>0</v>
      </c>
      <c r="R23">
        <f t="shared" si="7"/>
        <v>0</v>
      </c>
      <c r="S23">
        <f t="shared" si="7"/>
        <v>5</v>
      </c>
      <c r="T23">
        <f t="shared" si="7"/>
        <v>0</v>
      </c>
    </row>
    <row r="24" spans="1:20" ht="16.5" x14ac:dyDescent="0.35">
      <c r="A24" s="10" t="str">
        <f>'Long Sample Name'!A20</f>
        <v>Sample 1655m: 70% Siltstone, 30% very fine to fine Sandstone, 60% moderately bright FLUOR in SST. TG 24U</v>
      </c>
      <c r="B24" s="1">
        <f>'Input Sheet'!L22</f>
        <v>45207</v>
      </c>
      <c r="C24" s="7">
        <f>'Input Sheet'!M22</f>
        <v>0.51388888888888895</v>
      </c>
      <c r="D24" s="11">
        <f>'Input Sheet'!B22</f>
        <v>1655</v>
      </c>
      <c r="E24" s="8">
        <f>'Input Sheet'!I22</f>
        <v>24</v>
      </c>
      <c r="F24" s="59">
        <f>'Input Sheet'!C22/100</f>
        <v>0.3</v>
      </c>
      <c r="G24" s="59">
        <f>'Input Sheet'!F22/100</f>
        <v>0.6</v>
      </c>
      <c r="H24" s="2">
        <f t="shared" si="2"/>
        <v>5</v>
      </c>
      <c r="I24" s="2">
        <f t="shared" si="3"/>
        <v>5</v>
      </c>
      <c r="J24" s="2">
        <f t="shared" si="4"/>
        <v>1.5</v>
      </c>
      <c r="K24" s="2">
        <f t="shared" si="0"/>
        <v>0</v>
      </c>
      <c r="L24" s="2">
        <f t="shared" si="5"/>
        <v>0</v>
      </c>
      <c r="M24" s="2" t="str">
        <f>'Input Sheet'!E22</f>
        <v>C</v>
      </c>
      <c r="N24" s="2">
        <f t="shared" si="6"/>
        <v>4</v>
      </c>
      <c r="P24">
        <f t="shared" si="7"/>
        <v>0</v>
      </c>
      <c r="Q24">
        <f t="shared" si="7"/>
        <v>0</v>
      </c>
      <c r="R24">
        <f t="shared" si="7"/>
        <v>0</v>
      </c>
      <c r="S24">
        <f t="shared" si="7"/>
        <v>5</v>
      </c>
      <c r="T24">
        <f t="shared" si="7"/>
        <v>0</v>
      </c>
    </row>
    <row r="25" spans="1:20" ht="16.5" x14ac:dyDescent="0.35">
      <c r="A25" s="10" t="str">
        <f>'Long Sample Name'!A21</f>
        <v>Sample 1660m: 60% Siltstone, 40% very fine to fine Sandstone, 60% moderately bright FLUOR in SST. TG 28U</v>
      </c>
      <c r="B25" s="1">
        <f>'Input Sheet'!L23</f>
        <v>45207</v>
      </c>
      <c r="C25" s="7">
        <f>'Input Sheet'!M23</f>
        <v>0.52430555555555558</v>
      </c>
      <c r="D25" s="11">
        <f>'Input Sheet'!B23</f>
        <v>1660</v>
      </c>
      <c r="E25" s="8">
        <f>'Input Sheet'!I23</f>
        <v>28</v>
      </c>
      <c r="F25" s="59">
        <f>'Input Sheet'!C23/100</f>
        <v>0.4</v>
      </c>
      <c r="G25" s="59">
        <f>'Input Sheet'!F23/100</f>
        <v>0.6</v>
      </c>
      <c r="H25" s="2">
        <f t="shared" si="2"/>
        <v>5</v>
      </c>
      <c r="I25" s="2">
        <f t="shared" si="3"/>
        <v>5</v>
      </c>
      <c r="J25" s="2">
        <f t="shared" si="4"/>
        <v>2</v>
      </c>
      <c r="K25" s="2">
        <f t="shared" si="0"/>
        <v>0</v>
      </c>
      <c r="L25" s="2">
        <f t="shared" si="5"/>
        <v>0</v>
      </c>
      <c r="M25" s="2" t="str">
        <f>'Input Sheet'!E23</f>
        <v>C</v>
      </c>
      <c r="N25" s="2">
        <f t="shared" si="6"/>
        <v>4</v>
      </c>
      <c r="P25">
        <f t="shared" si="7"/>
        <v>0</v>
      </c>
      <c r="Q25">
        <f t="shared" si="7"/>
        <v>0</v>
      </c>
      <c r="R25">
        <f t="shared" si="7"/>
        <v>0</v>
      </c>
      <c r="S25">
        <f t="shared" si="7"/>
        <v>5</v>
      </c>
      <c r="T25">
        <f t="shared" si="7"/>
        <v>0</v>
      </c>
    </row>
    <row r="26" spans="1:20" ht="16.5" x14ac:dyDescent="0.35">
      <c r="A26" s="10" t="str">
        <f>'Long Sample Name'!A22</f>
        <v>Sample 1665m: 60% Siltstone, 40% fine to medium Sandstone, 60% moderately bright FLUOR in SST. TG 24U</v>
      </c>
      <c r="B26" s="1">
        <f>'Input Sheet'!L24</f>
        <v>45207</v>
      </c>
      <c r="C26" s="7">
        <f>'Input Sheet'!M24</f>
        <v>0.53125</v>
      </c>
      <c r="D26" s="11">
        <f>'Input Sheet'!B24</f>
        <v>1665</v>
      </c>
      <c r="E26" s="8">
        <f>'Input Sheet'!I24</f>
        <v>24</v>
      </c>
      <c r="F26" s="59">
        <f>'Input Sheet'!C24/100</f>
        <v>0.4</v>
      </c>
      <c r="G26" s="59">
        <f>'Input Sheet'!F24/100</f>
        <v>0.6</v>
      </c>
      <c r="H26" s="2">
        <f t="shared" si="2"/>
        <v>5</v>
      </c>
      <c r="I26" s="2">
        <f t="shared" si="3"/>
        <v>5</v>
      </c>
      <c r="J26" s="2">
        <f t="shared" si="4"/>
        <v>2</v>
      </c>
      <c r="K26" s="2">
        <f t="shared" si="0"/>
        <v>0</v>
      </c>
      <c r="L26" s="2">
        <f t="shared" si="5"/>
        <v>0</v>
      </c>
      <c r="M26" s="2" t="str">
        <f>'Input Sheet'!E24</f>
        <v>C</v>
      </c>
      <c r="N26" s="2">
        <f t="shared" si="6"/>
        <v>4</v>
      </c>
      <c r="P26">
        <f t="shared" si="7"/>
        <v>0</v>
      </c>
      <c r="Q26">
        <f t="shared" si="7"/>
        <v>0</v>
      </c>
      <c r="R26">
        <f t="shared" si="7"/>
        <v>0</v>
      </c>
      <c r="S26">
        <f t="shared" si="7"/>
        <v>5</v>
      </c>
      <c r="T26">
        <f t="shared" si="7"/>
        <v>0</v>
      </c>
    </row>
    <row r="27" spans="1:20" ht="16.5" x14ac:dyDescent="0.35">
      <c r="A27" s="10" t="str">
        <f>'Long Sample Name'!A23</f>
        <v>Sample 1670m: 50% Siltstone, 50% fine to medium Sandstone, 60% moderately bright FLUOR in SST. TG 18U</v>
      </c>
      <c r="B27" s="1">
        <f>'Input Sheet'!L25</f>
        <v>45207</v>
      </c>
      <c r="C27" s="7">
        <f>'Input Sheet'!M25</f>
        <v>0.54513888888888895</v>
      </c>
      <c r="D27" s="11">
        <f>'Input Sheet'!B25</f>
        <v>1670</v>
      </c>
      <c r="E27" s="8">
        <f>'Input Sheet'!I25</f>
        <v>18</v>
      </c>
      <c r="F27" s="59">
        <f>'Input Sheet'!C25/100</f>
        <v>0.5</v>
      </c>
      <c r="G27" s="59">
        <f>'Input Sheet'!F25/100</f>
        <v>0.4</v>
      </c>
      <c r="H27" s="2">
        <f t="shared" si="2"/>
        <v>5</v>
      </c>
      <c r="I27" s="2">
        <f t="shared" si="3"/>
        <v>5</v>
      </c>
      <c r="J27" s="2">
        <f t="shared" si="4"/>
        <v>2.5</v>
      </c>
      <c r="K27" s="2">
        <f t="shared" si="0"/>
        <v>0</v>
      </c>
      <c r="L27" s="2">
        <f t="shared" si="5"/>
        <v>0</v>
      </c>
      <c r="M27" s="2" t="str">
        <f>'Input Sheet'!E25</f>
        <v>M</v>
      </c>
      <c r="N27" s="2">
        <f t="shared" si="6"/>
        <v>3</v>
      </c>
      <c r="P27">
        <f t="shared" ref="P27:T57" si="8">IF($M27=P$1,$H27,0)</f>
        <v>0</v>
      </c>
      <c r="Q27">
        <f t="shared" si="8"/>
        <v>0</v>
      </c>
      <c r="R27">
        <f t="shared" si="8"/>
        <v>5</v>
      </c>
      <c r="S27">
        <f t="shared" si="8"/>
        <v>0</v>
      </c>
      <c r="T27">
        <f t="shared" si="8"/>
        <v>0</v>
      </c>
    </row>
    <row r="28" spans="1:20" ht="16.5" x14ac:dyDescent="0.35">
      <c r="A28" s="10" t="str">
        <f>'Long Sample Name'!A24</f>
        <v>Sample 1675m: 65% Siltstone, 35% fine to medium Sandstone, 40% moderately bright FLUOR in SST. TG 16U</v>
      </c>
      <c r="B28" s="1">
        <f>'Input Sheet'!L26</f>
        <v>45207</v>
      </c>
      <c r="C28" s="7">
        <f>'Input Sheet'!M26</f>
        <v>0.56597222222222221</v>
      </c>
      <c r="D28" s="11">
        <f>'Input Sheet'!B26</f>
        <v>1675</v>
      </c>
      <c r="E28" s="8">
        <f>'Input Sheet'!I26</f>
        <v>16</v>
      </c>
      <c r="F28" s="59">
        <f>'Input Sheet'!C26/100</f>
        <v>0.35</v>
      </c>
      <c r="G28" s="59">
        <f>'Input Sheet'!F26/100</f>
        <v>0.45</v>
      </c>
      <c r="H28" s="2">
        <f t="shared" si="2"/>
        <v>5</v>
      </c>
      <c r="I28" s="2">
        <f t="shared" si="3"/>
        <v>5</v>
      </c>
      <c r="J28" s="2">
        <f t="shared" si="4"/>
        <v>1.75</v>
      </c>
      <c r="K28" s="2">
        <f t="shared" si="0"/>
        <v>0</v>
      </c>
      <c r="L28" s="2">
        <f t="shared" si="5"/>
        <v>0</v>
      </c>
      <c r="M28" s="2" t="str">
        <f>'Input Sheet'!E26</f>
        <v>C</v>
      </c>
      <c r="N28" s="2">
        <f t="shared" si="6"/>
        <v>4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5</v>
      </c>
      <c r="T28">
        <f t="shared" si="8"/>
        <v>0</v>
      </c>
    </row>
    <row r="29" spans="1:20" ht="16.5" x14ac:dyDescent="0.35">
      <c r="A29" s="10" t="str">
        <f>'Long Sample Name'!A25</f>
        <v>Sample 1680m: 65% Siltstone, 35% fine to medium Sandstone, 45% moderately bright FLUOR in SST. TG 23U</v>
      </c>
      <c r="B29" s="1">
        <f>'Input Sheet'!L27</f>
        <v>45207</v>
      </c>
      <c r="C29" s="7">
        <f>'Input Sheet'!M27</f>
        <v>0.57638888888888895</v>
      </c>
      <c r="D29" s="11">
        <f>'Input Sheet'!B27</f>
        <v>1680</v>
      </c>
      <c r="E29" s="8">
        <f>'Input Sheet'!I27</f>
        <v>23</v>
      </c>
      <c r="F29" s="59">
        <f>'Input Sheet'!C27/100</f>
        <v>0.35</v>
      </c>
      <c r="G29" s="59">
        <f>'Input Sheet'!F27/100</f>
        <v>0.5</v>
      </c>
      <c r="H29" s="2">
        <f t="shared" si="2"/>
        <v>5</v>
      </c>
      <c r="I29" s="2">
        <f t="shared" si="3"/>
        <v>5</v>
      </c>
      <c r="J29" s="2">
        <f t="shared" si="4"/>
        <v>1.75</v>
      </c>
      <c r="K29" s="2">
        <f t="shared" si="0"/>
        <v>0</v>
      </c>
      <c r="L29" s="2">
        <f t="shared" si="5"/>
        <v>0</v>
      </c>
      <c r="M29" s="2" t="str">
        <f>'Input Sheet'!E27</f>
        <v>C</v>
      </c>
      <c r="N29" s="2">
        <f t="shared" si="6"/>
        <v>4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5</v>
      </c>
      <c r="T29">
        <f t="shared" si="8"/>
        <v>0</v>
      </c>
    </row>
    <row r="30" spans="1:20" ht="16.5" x14ac:dyDescent="0.35">
      <c r="A30" s="10" t="str">
        <f>'Long Sample Name'!A26</f>
        <v>Sample 1685m: 70% Siltstone, 30% fine to medium Sandstone, 50% moderately bright FLUOR in SST. TG 20U</v>
      </c>
      <c r="B30" s="1">
        <f>'Input Sheet'!L28</f>
        <v>45207</v>
      </c>
      <c r="C30" s="7">
        <f>'Input Sheet'!M28</f>
        <v>0.59027777777777779</v>
      </c>
      <c r="D30" s="11">
        <f>'Input Sheet'!B28</f>
        <v>1685</v>
      </c>
      <c r="E30" s="8">
        <f>'Input Sheet'!I28</f>
        <v>20</v>
      </c>
      <c r="F30" s="59">
        <f>'Input Sheet'!C28/100</f>
        <v>0.3</v>
      </c>
      <c r="G30" s="59">
        <f>'Input Sheet'!F28/100</f>
        <v>0.6</v>
      </c>
      <c r="H30" s="2">
        <f t="shared" si="2"/>
        <v>5</v>
      </c>
      <c r="I30" s="2">
        <f t="shared" si="3"/>
        <v>5</v>
      </c>
      <c r="J30" s="2">
        <f t="shared" si="4"/>
        <v>1.5</v>
      </c>
      <c r="K30" s="2">
        <f t="shared" si="0"/>
        <v>0</v>
      </c>
      <c r="L30" s="2">
        <f t="shared" si="5"/>
        <v>0</v>
      </c>
      <c r="M30" s="2" t="str">
        <f>'Input Sheet'!E28</f>
        <v>C</v>
      </c>
      <c r="N30" s="2">
        <f t="shared" si="6"/>
        <v>4</v>
      </c>
      <c r="P30">
        <f t="shared" si="8"/>
        <v>0</v>
      </c>
      <c r="Q30">
        <f t="shared" si="8"/>
        <v>0</v>
      </c>
      <c r="R30">
        <f t="shared" si="8"/>
        <v>0</v>
      </c>
      <c r="S30">
        <f t="shared" si="8"/>
        <v>5</v>
      </c>
      <c r="T30">
        <f t="shared" si="8"/>
        <v>0</v>
      </c>
    </row>
    <row r="31" spans="1:20" ht="16.5" x14ac:dyDescent="0.35">
      <c r="A31" s="10" t="str">
        <f>'Long Sample Name'!A27</f>
        <v>Sample 1690m: 70% Siltstone, 30% fine to medium Sandstone, 60% moderately bright FLUOR in SST. TG 25U</v>
      </c>
      <c r="B31" s="1">
        <f>'Input Sheet'!L29</f>
        <v>45207</v>
      </c>
      <c r="C31" s="7">
        <f>'Input Sheet'!M29</f>
        <v>0.60069444444444442</v>
      </c>
      <c r="D31" s="11">
        <f>'Input Sheet'!B29</f>
        <v>1690</v>
      </c>
      <c r="E31" s="8">
        <f>'Input Sheet'!I29</f>
        <v>25</v>
      </c>
      <c r="F31" s="59">
        <f>'Input Sheet'!C29/100</f>
        <v>0.3</v>
      </c>
      <c r="G31" s="59">
        <f>'Input Sheet'!F29/100</f>
        <v>0.5</v>
      </c>
      <c r="H31" s="2">
        <f t="shared" si="2"/>
        <v>5</v>
      </c>
      <c r="I31" s="2">
        <f t="shared" si="3"/>
        <v>5</v>
      </c>
      <c r="J31" s="2">
        <f t="shared" si="4"/>
        <v>1.5</v>
      </c>
      <c r="K31" s="2">
        <f t="shared" si="0"/>
        <v>0</v>
      </c>
      <c r="L31" s="2">
        <f t="shared" si="5"/>
        <v>0</v>
      </c>
      <c r="M31" s="2" t="str">
        <f>'Input Sheet'!E29</f>
        <v>C</v>
      </c>
      <c r="N31" s="2">
        <f t="shared" si="6"/>
        <v>4</v>
      </c>
      <c r="P31">
        <f t="shared" si="8"/>
        <v>0</v>
      </c>
      <c r="Q31">
        <f t="shared" si="8"/>
        <v>0</v>
      </c>
      <c r="R31">
        <f t="shared" si="8"/>
        <v>0</v>
      </c>
      <c r="S31">
        <f t="shared" si="8"/>
        <v>5</v>
      </c>
      <c r="T31">
        <f t="shared" si="8"/>
        <v>0</v>
      </c>
    </row>
    <row r="32" spans="1:20" ht="16.5" x14ac:dyDescent="0.35">
      <c r="A32" s="10" t="str">
        <f>'Long Sample Name'!A28</f>
        <v>Sample 1695m: 40% Siltstone, 60% fine to medium Sandstone, 50% moderately bright FLUOR in SST. TG 47U</v>
      </c>
      <c r="B32" s="1">
        <f>'Input Sheet'!L30</f>
        <v>45207</v>
      </c>
      <c r="C32" s="7">
        <f>'Input Sheet'!M30</f>
        <v>0.61805555555555558</v>
      </c>
      <c r="D32" s="11">
        <f>'Input Sheet'!B30</f>
        <v>1695</v>
      </c>
      <c r="E32" s="8">
        <f>'Input Sheet'!I30</f>
        <v>47</v>
      </c>
      <c r="F32" s="59">
        <f>'Input Sheet'!C30/100</f>
        <v>0.6</v>
      </c>
      <c r="G32" s="59">
        <f>'Input Sheet'!F30/100</f>
        <v>0.5</v>
      </c>
      <c r="H32" s="2">
        <f t="shared" si="2"/>
        <v>5</v>
      </c>
      <c r="I32" s="2">
        <f t="shared" si="3"/>
        <v>5</v>
      </c>
      <c r="J32" s="2">
        <f t="shared" si="4"/>
        <v>3</v>
      </c>
      <c r="K32" s="2">
        <f t="shared" si="0"/>
        <v>0</v>
      </c>
      <c r="L32" s="2">
        <f t="shared" si="5"/>
        <v>0</v>
      </c>
      <c r="M32" s="2" t="str">
        <f>'Input Sheet'!E30</f>
        <v>C</v>
      </c>
      <c r="N32" s="2">
        <f t="shared" si="6"/>
        <v>4</v>
      </c>
      <c r="P32">
        <f t="shared" si="8"/>
        <v>0</v>
      </c>
      <c r="Q32">
        <f t="shared" si="8"/>
        <v>0</v>
      </c>
      <c r="R32">
        <f t="shared" si="8"/>
        <v>0</v>
      </c>
      <c r="S32">
        <f t="shared" si="8"/>
        <v>5</v>
      </c>
      <c r="T32">
        <f t="shared" si="8"/>
        <v>0</v>
      </c>
    </row>
    <row r="33" spans="1:20" s="73" customFormat="1" ht="16.5" x14ac:dyDescent="0.35">
      <c r="A33" s="66" t="str">
        <f>'Long Sample Name'!A29</f>
        <v>Sample 1700m: 25% Siltstone, 75% very fine to fine Sandstone, 50% moderately bright FLUOR in SST. TG 65U</v>
      </c>
      <c r="B33" s="67">
        <f>'Input Sheet'!L31</f>
        <v>45207</v>
      </c>
      <c r="C33" s="68">
        <f>'Input Sheet'!M31</f>
        <v>0.62847222222222221</v>
      </c>
      <c r="D33" s="69">
        <f>'Input Sheet'!B31</f>
        <v>1700</v>
      </c>
      <c r="E33" s="70">
        <f>'Input Sheet'!I31</f>
        <v>65</v>
      </c>
      <c r="F33" s="71">
        <f>'Input Sheet'!C31/100</f>
        <v>0.75</v>
      </c>
      <c r="G33" s="71">
        <f>'Input Sheet'!F31/100</f>
        <v>0.6</v>
      </c>
      <c r="H33" s="72">
        <f t="shared" si="2"/>
        <v>5</v>
      </c>
      <c r="I33" s="72">
        <f t="shared" si="3"/>
        <v>5</v>
      </c>
      <c r="J33" s="72">
        <f t="shared" si="4"/>
        <v>3.75</v>
      </c>
      <c r="K33" s="72">
        <f t="shared" si="0"/>
        <v>0</v>
      </c>
      <c r="L33" s="72">
        <f t="shared" si="5"/>
        <v>0</v>
      </c>
      <c r="M33" s="72" t="str">
        <f>'Input Sheet'!E31</f>
        <v>M</v>
      </c>
      <c r="N33" s="72">
        <f t="shared" si="6"/>
        <v>3</v>
      </c>
      <c r="P33" s="73">
        <f t="shared" si="8"/>
        <v>0</v>
      </c>
      <c r="Q33" s="73">
        <f t="shared" si="8"/>
        <v>0</v>
      </c>
      <c r="R33" s="73">
        <f t="shared" si="8"/>
        <v>5</v>
      </c>
      <c r="S33" s="73">
        <f t="shared" si="8"/>
        <v>0</v>
      </c>
      <c r="T33" s="73">
        <f t="shared" si="8"/>
        <v>0</v>
      </c>
    </row>
    <row r="34" spans="1:20" ht="16.5" x14ac:dyDescent="0.35">
      <c r="A34" s="10" t="str">
        <f>'Long Sample Name'!A30</f>
        <v>Sample 1705m: 30% Siltstone, 70% very fine to fine Sandstone, 60% moderately bright  to  bright FLUOR in SST. TG 55U</v>
      </c>
      <c r="B34" s="1">
        <f>'Input Sheet'!L32</f>
        <v>45207</v>
      </c>
      <c r="C34" s="7">
        <f>'Input Sheet'!M32</f>
        <v>0.63888888888888895</v>
      </c>
      <c r="D34" s="11">
        <f>'Input Sheet'!B32</f>
        <v>1705</v>
      </c>
      <c r="E34" s="8">
        <f>'Input Sheet'!I32</f>
        <v>55</v>
      </c>
      <c r="F34" s="59">
        <f>'Input Sheet'!C32/100</f>
        <v>0.7</v>
      </c>
      <c r="G34" s="59">
        <f>'Input Sheet'!F32/100</f>
        <v>0.7</v>
      </c>
      <c r="H34" s="2">
        <f t="shared" si="2"/>
        <v>5</v>
      </c>
      <c r="I34" s="2">
        <f t="shared" si="3"/>
        <v>5</v>
      </c>
      <c r="J34" s="2">
        <f t="shared" si="4"/>
        <v>3.5</v>
      </c>
      <c r="K34" s="2">
        <f t="shared" si="0"/>
        <v>0</v>
      </c>
      <c r="L34" s="2">
        <f t="shared" si="5"/>
        <v>0</v>
      </c>
      <c r="M34" s="2" t="str">
        <f>'Input Sheet'!E32</f>
        <v>M</v>
      </c>
      <c r="N34" s="2">
        <f t="shared" si="6"/>
        <v>3</v>
      </c>
      <c r="P34">
        <f t="shared" si="8"/>
        <v>0</v>
      </c>
      <c r="Q34">
        <f t="shared" si="8"/>
        <v>0</v>
      </c>
      <c r="R34">
        <f t="shared" si="8"/>
        <v>5</v>
      </c>
      <c r="S34">
        <f t="shared" si="8"/>
        <v>0</v>
      </c>
      <c r="T34">
        <f t="shared" si="8"/>
        <v>0</v>
      </c>
    </row>
    <row r="35" spans="1:20" ht="16.5" x14ac:dyDescent="0.35">
      <c r="A35" s="10" t="str">
        <f>'Long Sample Name'!A31</f>
        <v>Sample 1710m: 30% Siltstone, 70% very fine to fine Sandstone, 70% bright FLUOR in SST. TG 145U</v>
      </c>
      <c r="B35" s="1">
        <f>'Input Sheet'!L33</f>
        <v>45207</v>
      </c>
      <c r="C35" s="7">
        <f>'Input Sheet'!M33</f>
        <v>0.68402777777777779</v>
      </c>
      <c r="D35" s="11">
        <f>'Input Sheet'!B33</f>
        <v>1710</v>
      </c>
      <c r="E35" s="8">
        <f>'Input Sheet'!I33</f>
        <v>145</v>
      </c>
      <c r="F35" s="59">
        <f>'Input Sheet'!C33/100</f>
        <v>0.7</v>
      </c>
      <c r="G35" s="59">
        <f>'Input Sheet'!F33/100</f>
        <v>1</v>
      </c>
      <c r="H35" s="2">
        <f t="shared" si="2"/>
        <v>5</v>
      </c>
      <c r="I35" s="2">
        <f t="shared" si="3"/>
        <v>5</v>
      </c>
      <c r="J35" s="2">
        <f t="shared" si="4"/>
        <v>3.5</v>
      </c>
      <c r="K35" s="2">
        <f t="shared" si="0"/>
        <v>5</v>
      </c>
      <c r="L35" s="2">
        <f t="shared" si="5"/>
        <v>3.5</v>
      </c>
      <c r="M35" s="2" t="str">
        <f>'Input Sheet'!E33</f>
        <v>F</v>
      </c>
      <c r="N35" s="2">
        <f t="shared" si="6"/>
        <v>2</v>
      </c>
      <c r="P35">
        <f t="shared" si="8"/>
        <v>0</v>
      </c>
      <c r="Q35">
        <f t="shared" si="8"/>
        <v>5</v>
      </c>
      <c r="R35">
        <f t="shared" si="8"/>
        <v>0</v>
      </c>
      <c r="S35">
        <f t="shared" si="8"/>
        <v>0</v>
      </c>
      <c r="T35">
        <f t="shared" si="8"/>
        <v>0</v>
      </c>
    </row>
    <row r="36" spans="1:20" ht="16.5" x14ac:dyDescent="0.35">
      <c r="A36" s="10" t="str">
        <f>'Long Sample Name'!A32</f>
        <v>Sample 1715m: 15% Siltstone, 85% very fine to fine Sandstone, 100% bright FLUOR in SST. TG 190U</v>
      </c>
      <c r="B36" s="1">
        <f>'Input Sheet'!L34</f>
        <v>45207</v>
      </c>
      <c r="C36" s="7">
        <f>'Input Sheet'!M34</f>
        <v>0.69791666666666663</v>
      </c>
      <c r="D36" s="11">
        <f>'Input Sheet'!B34</f>
        <v>1715</v>
      </c>
      <c r="E36" s="8">
        <f>'Input Sheet'!I34</f>
        <v>190</v>
      </c>
      <c r="F36" s="59">
        <f>'Input Sheet'!C34/100</f>
        <v>0.85</v>
      </c>
      <c r="G36" s="59">
        <f>'Input Sheet'!F34/100</f>
        <v>1</v>
      </c>
      <c r="H36" s="2">
        <f t="shared" si="2"/>
        <v>5</v>
      </c>
      <c r="I36" s="2">
        <f t="shared" si="3"/>
        <v>5</v>
      </c>
      <c r="J36" s="2">
        <f t="shared" si="4"/>
        <v>4.25</v>
      </c>
      <c r="K36" s="2">
        <f t="shared" si="0"/>
        <v>5</v>
      </c>
      <c r="L36" s="2">
        <f t="shared" si="5"/>
        <v>4.25</v>
      </c>
      <c r="M36" s="2" t="str">
        <f>'Input Sheet'!E34</f>
        <v>F</v>
      </c>
      <c r="N36" s="2">
        <f t="shared" si="6"/>
        <v>2</v>
      </c>
      <c r="P36">
        <f t="shared" si="8"/>
        <v>0</v>
      </c>
      <c r="Q36">
        <f t="shared" si="8"/>
        <v>5</v>
      </c>
      <c r="R36">
        <f t="shared" si="8"/>
        <v>0</v>
      </c>
      <c r="S36">
        <f t="shared" si="8"/>
        <v>0</v>
      </c>
      <c r="T36">
        <f t="shared" si="8"/>
        <v>0</v>
      </c>
    </row>
    <row r="37" spans="1:20" ht="16.5" x14ac:dyDescent="0.35">
      <c r="A37" s="10" t="str">
        <f>'Long Sample Name'!A33</f>
        <v>Sample 1720m: 10% Siltstone, 90% very fine to fine Sandstone, 100% bright FLUOR in SST. TG 230U</v>
      </c>
      <c r="B37" s="1">
        <f>'Input Sheet'!L35</f>
        <v>45207</v>
      </c>
      <c r="C37" s="7">
        <f>'Input Sheet'!M35</f>
        <v>0.71527777777777779</v>
      </c>
      <c r="D37" s="11">
        <f>'Input Sheet'!B35</f>
        <v>1720</v>
      </c>
      <c r="E37" s="8">
        <f>'Input Sheet'!I35</f>
        <v>230</v>
      </c>
      <c r="F37" s="59">
        <f>'Input Sheet'!C35/100</f>
        <v>0.9</v>
      </c>
      <c r="G37" s="59">
        <f>'Input Sheet'!F35/100</f>
        <v>1</v>
      </c>
      <c r="H37" s="2">
        <f t="shared" si="2"/>
        <v>5</v>
      </c>
      <c r="I37" s="2">
        <f t="shared" si="3"/>
        <v>5</v>
      </c>
      <c r="J37" s="2">
        <f t="shared" si="4"/>
        <v>4.5</v>
      </c>
      <c r="K37" s="2">
        <f t="shared" si="0"/>
        <v>5</v>
      </c>
      <c r="L37" s="2">
        <f t="shared" si="5"/>
        <v>4.5</v>
      </c>
      <c r="M37" s="2" t="str">
        <f>'Input Sheet'!E35</f>
        <v>F</v>
      </c>
      <c r="N37" s="2">
        <f t="shared" si="6"/>
        <v>2</v>
      </c>
      <c r="P37">
        <f t="shared" si="8"/>
        <v>0</v>
      </c>
      <c r="Q37">
        <f t="shared" si="8"/>
        <v>5</v>
      </c>
      <c r="R37">
        <f t="shared" si="8"/>
        <v>0</v>
      </c>
      <c r="S37">
        <f t="shared" si="8"/>
        <v>0</v>
      </c>
      <c r="T37">
        <f t="shared" si="8"/>
        <v>0</v>
      </c>
    </row>
    <row r="38" spans="1:20" ht="16.5" x14ac:dyDescent="0.35">
      <c r="A38" s="10" t="str">
        <f>'Long Sample Name'!A34</f>
        <v>Sample 1725m: 0% Siltstone, 100% very fine to fine Sandstone, 100% bright FLUOR in SST. TG 200U</v>
      </c>
      <c r="B38" s="1">
        <f>'Input Sheet'!L36</f>
        <v>45207</v>
      </c>
      <c r="C38" s="7">
        <f>'Input Sheet'!M36</f>
        <v>0.72569444444444453</v>
      </c>
      <c r="D38" s="11">
        <f>'Input Sheet'!B36</f>
        <v>1725</v>
      </c>
      <c r="E38" s="8">
        <f>'Input Sheet'!I36</f>
        <v>200</v>
      </c>
      <c r="F38" s="59">
        <f>'Input Sheet'!C36/100</f>
        <v>1</v>
      </c>
      <c r="G38" s="59">
        <f>'Input Sheet'!F36/100</f>
        <v>1</v>
      </c>
      <c r="H38" s="2">
        <f t="shared" si="2"/>
        <v>5</v>
      </c>
      <c r="I38" s="2">
        <f t="shared" si="3"/>
        <v>5</v>
      </c>
      <c r="J38" s="2">
        <f t="shared" si="4"/>
        <v>5</v>
      </c>
      <c r="K38" s="2">
        <f t="shared" si="0"/>
        <v>5</v>
      </c>
      <c r="L38" s="2">
        <f t="shared" si="5"/>
        <v>5</v>
      </c>
      <c r="M38" s="2" t="str">
        <f>'Input Sheet'!E36</f>
        <v>F</v>
      </c>
      <c r="N38" s="2">
        <f t="shared" si="6"/>
        <v>2</v>
      </c>
      <c r="P38">
        <f t="shared" si="8"/>
        <v>0</v>
      </c>
      <c r="Q38">
        <f t="shared" si="8"/>
        <v>5</v>
      </c>
      <c r="R38">
        <f t="shared" si="8"/>
        <v>0</v>
      </c>
      <c r="S38">
        <f t="shared" si="8"/>
        <v>0</v>
      </c>
      <c r="T38">
        <f t="shared" si="8"/>
        <v>0</v>
      </c>
    </row>
    <row r="39" spans="1:20" ht="16.5" x14ac:dyDescent="0.35">
      <c r="A39" s="10" t="str">
        <f>'Long Sample Name'!A35</f>
        <v>Sample 1730m: 5% Siltstone, 95% very fine to fine Sandstone, 100% bright FLUOR in SST. TG 215U</v>
      </c>
      <c r="B39" s="1">
        <f>'Input Sheet'!L37</f>
        <v>45207</v>
      </c>
      <c r="C39" s="7">
        <f>'Input Sheet'!M37</f>
        <v>0.73611111111111116</v>
      </c>
      <c r="D39" s="11">
        <f>'Input Sheet'!B37</f>
        <v>1730</v>
      </c>
      <c r="E39" s="8">
        <f>'Input Sheet'!I37</f>
        <v>215</v>
      </c>
      <c r="F39" s="59">
        <f>'Input Sheet'!C37/100</f>
        <v>0.95</v>
      </c>
      <c r="G39" s="59">
        <f>'Input Sheet'!F37/100</f>
        <v>1</v>
      </c>
      <c r="H39" s="2">
        <f t="shared" si="2"/>
        <v>5</v>
      </c>
      <c r="I39" s="2">
        <f t="shared" si="3"/>
        <v>5</v>
      </c>
      <c r="J39" s="2">
        <f t="shared" si="4"/>
        <v>4.75</v>
      </c>
      <c r="K39" s="2">
        <f t="shared" si="0"/>
        <v>5</v>
      </c>
      <c r="L39" s="2">
        <f t="shared" si="5"/>
        <v>4.75</v>
      </c>
      <c r="M39" s="2" t="str">
        <f>'Input Sheet'!E37</f>
        <v>F</v>
      </c>
      <c r="N39" s="2">
        <f t="shared" si="6"/>
        <v>2</v>
      </c>
      <c r="P39">
        <f t="shared" si="8"/>
        <v>0</v>
      </c>
      <c r="Q39">
        <f t="shared" si="8"/>
        <v>5</v>
      </c>
      <c r="R39">
        <f t="shared" si="8"/>
        <v>0</v>
      </c>
      <c r="S39">
        <f t="shared" si="8"/>
        <v>0</v>
      </c>
      <c r="T39">
        <f t="shared" si="8"/>
        <v>0</v>
      </c>
    </row>
    <row r="40" spans="1:20" ht="16.5" x14ac:dyDescent="0.35">
      <c r="A40" s="10" t="str">
        <f>'Long Sample Name'!A36</f>
        <v>Sample 1735m: 0% Siltstone, 100% very fine to fine Sandstone, 100% bright FLUOR in SST. TG 164U</v>
      </c>
      <c r="B40" s="1">
        <f>'Input Sheet'!L38</f>
        <v>45207</v>
      </c>
      <c r="C40" s="7">
        <f>'Input Sheet'!M38</f>
        <v>0.74652777777777779</v>
      </c>
      <c r="D40" s="11">
        <f>'Input Sheet'!B38</f>
        <v>1735</v>
      </c>
      <c r="E40" s="8">
        <f>'Input Sheet'!I38</f>
        <v>164</v>
      </c>
      <c r="F40" s="59">
        <f>'Input Sheet'!C38/100</f>
        <v>1</v>
      </c>
      <c r="G40" s="59">
        <f>'Input Sheet'!F38/100</f>
        <v>1</v>
      </c>
      <c r="H40" s="2">
        <f t="shared" si="2"/>
        <v>5</v>
      </c>
      <c r="I40" s="2">
        <f t="shared" si="3"/>
        <v>5</v>
      </c>
      <c r="J40" s="2">
        <f t="shared" si="4"/>
        <v>5</v>
      </c>
      <c r="K40" s="2">
        <f t="shared" si="0"/>
        <v>5</v>
      </c>
      <c r="L40" s="2">
        <f t="shared" si="5"/>
        <v>5</v>
      </c>
      <c r="M40" s="2" t="str">
        <f>'Input Sheet'!E38</f>
        <v>F</v>
      </c>
      <c r="N40" s="2">
        <f t="shared" si="6"/>
        <v>2</v>
      </c>
      <c r="P40">
        <f t="shared" si="8"/>
        <v>0</v>
      </c>
      <c r="Q40">
        <f t="shared" si="8"/>
        <v>5</v>
      </c>
      <c r="R40">
        <f t="shared" si="8"/>
        <v>0</v>
      </c>
      <c r="S40">
        <f t="shared" si="8"/>
        <v>0</v>
      </c>
      <c r="T40">
        <f t="shared" si="8"/>
        <v>0</v>
      </c>
    </row>
    <row r="41" spans="1:20" ht="16.5" x14ac:dyDescent="0.35">
      <c r="A41" s="10" t="str">
        <f>'Long Sample Name'!A37</f>
        <v>Sample 1740m: 5% Siltstone, 95% fine  Sandstone, 100% bright FLUOR in SST. TG 233U</v>
      </c>
      <c r="B41" s="1">
        <f>'Input Sheet'!L39</f>
        <v>45207</v>
      </c>
      <c r="C41" s="7">
        <f>'Input Sheet'!M39</f>
        <v>0.76388888888888884</v>
      </c>
      <c r="D41" s="11">
        <f>'Input Sheet'!B39</f>
        <v>1740</v>
      </c>
      <c r="E41" s="8">
        <f>'Input Sheet'!I39</f>
        <v>233</v>
      </c>
      <c r="F41" s="59">
        <f>'Input Sheet'!C39/100</f>
        <v>0.95</v>
      </c>
      <c r="G41" s="59">
        <f>'Input Sheet'!F39/100</f>
        <v>1</v>
      </c>
      <c r="H41" s="2">
        <f t="shared" si="2"/>
        <v>5</v>
      </c>
      <c r="I41" s="2">
        <f t="shared" si="3"/>
        <v>5</v>
      </c>
      <c r="J41" s="2">
        <f t="shared" si="4"/>
        <v>4.75</v>
      </c>
      <c r="K41" s="2">
        <f t="shared" si="0"/>
        <v>5</v>
      </c>
      <c r="L41" s="2">
        <f t="shared" si="5"/>
        <v>4.75</v>
      </c>
      <c r="M41" s="2" t="str">
        <f>'Input Sheet'!E39</f>
        <v>F</v>
      </c>
      <c r="N41" s="2">
        <f t="shared" si="6"/>
        <v>2</v>
      </c>
      <c r="P41">
        <f t="shared" si="8"/>
        <v>0</v>
      </c>
      <c r="Q41">
        <f t="shared" si="8"/>
        <v>5</v>
      </c>
      <c r="R41">
        <f t="shared" si="8"/>
        <v>0</v>
      </c>
      <c r="S41">
        <f t="shared" si="8"/>
        <v>0</v>
      </c>
      <c r="T41">
        <f t="shared" si="8"/>
        <v>0</v>
      </c>
    </row>
    <row r="42" spans="1:20" ht="16.5" x14ac:dyDescent="0.35">
      <c r="A42" s="10" t="str">
        <f>'Long Sample Name'!A38</f>
        <v>Sample 1745m: 5% Siltstone, 95% fine Sandstone, 100% bright FLUOR in SST. TG 233U</v>
      </c>
      <c r="B42" s="1">
        <f>'Input Sheet'!L40</f>
        <v>45207</v>
      </c>
      <c r="C42" s="7">
        <f>'Input Sheet'!M40</f>
        <v>0.77430555555555547</v>
      </c>
      <c r="D42" s="11">
        <f>'Input Sheet'!B40</f>
        <v>1745</v>
      </c>
      <c r="E42" s="8">
        <f>'Input Sheet'!I40</f>
        <v>233</v>
      </c>
      <c r="F42" s="59">
        <f>'Input Sheet'!C40/100</f>
        <v>0.95</v>
      </c>
      <c r="G42" s="59">
        <f>'Input Sheet'!F40/100</f>
        <v>1</v>
      </c>
      <c r="H42" s="2">
        <f t="shared" si="2"/>
        <v>5</v>
      </c>
      <c r="I42" s="2">
        <f t="shared" si="3"/>
        <v>5</v>
      </c>
      <c r="J42" s="2">
        <f t="shared" si="4"/>
        <v>4.75</v>
      </c>
      <c r="K42" s="2">
        <f t="shared" si="0"/>
        <v>5</v>
      </c>
      <c r="L42" s="2">
        <f t="shared" si="5"/>
        <v>4.75</v>
      </c>
      <c r="M42" s="2" t="str">
        <f>'Input Sheet'!E40</f>
        <v>F</v>
      </c>
      <c r="N42" s="2">
        <f t="shared" si="6"/>
        <v>2</v>
      </c>
      <c r="P42">
        <f t="shared" si="8"/>
        <v>0</v>
      </c>
      <c r="Q42">
        <f t="shared" si="8"/>
        <v>5</v>
      </c>
      <c r="R42">
        <f t="shared" si="8"/>
        <v>0</v>
      </c>
      <c r="S42">
        <f t="shared" si="8"/>
        <v>0</v>
      </c>
      <c r="T42">
        <f t="shared" si="8"/>
        <v>0</v>
      </c>
    </row>
    <row r="43" spans="1:20" ht="16.5" x14ac:dyDescent="0.35">
      <c r="A43" s="10" t="str">
        <f>'Long Sample Name'!A39</f>
        <v>Sample 1750m: 0% Siltstone, 100% fine to medium Sandstone, 100% bright FLUOR in SST. TG 279U</v>
      </c>
      <c r="B43" s="1">
        <f>'Input Sheet'!L41</f>
        <v>45207</v>
      </c>
      <c r="C43" s="7">
        <f>'Input Sheet'!M41</f>
        <v>0.78125</v>
      </c>
      <c r="D43" s="11">
        <f>'Input Sheet'!B41</f>
        <v>1750</v>
      </c>
      <c r="E43" s="8">
        <f>'Input Sheet'!I41</f>
        <v>279</v>
      </c>
      <c r="F43" s="59">
        <f>'Input Sheet'!C41/100</f>
        <v>1</v>
      </c>
      <c r="G43" s="59">
        <f>'Input Sheet'!F41/100</f>
        <v>1</v>
      </c>
      <c r="H43" s="2">
        <f t="shared" si="2"/>
        <v>5</v>
      </c>
      <c r="I43" s="2">
        <f t="shared" si="3"/>
        <v>5</v>
      </c>
      <c r="J43" s="2">
        <f t="shared" si="4"/>
        <v>5</v>
      </c>
      <c r="K43" s="2">
        <f t="shared" si="0"/>
        <v>5</v>
      </c>
      <c r="L43" s="2">
        <f t="shared" si="5"/>
        <v>5</v>
      </c>
      <c r="M43" s="2" t="str">
        <f>'Input Sheet'!E41</f>
        <v>M</v>
      </c>
      <c r="N43" s="2">
        <f t="shared" si="6"/>
        <v>3</v>
      </c>
      <c r="P43">
        <f t="shared" si="8"/>
        <v>0</v>
      </c>
      <c r="Q43">
        <f t="shared" si="8"/>
        <v>0</v>
      </c>
      <c r="R43">
        <f t="shared" si="8"/>
        <v>5</v>
      </c>
      <c r="S43">
        <f t="shared" si="8"/>
        <v>0</v>
      </c>
      <c r="T43">
        <f t="shared" si="8"/>
        <v>0</v>
      </c>
    </row>
    <row r="44" spans="1:20" ht="16.5" x14ac:dyDescent="0.35">
      <c r="A44" s="10" t="str">
        <f>'Long Sample Name'!A40</f>
        <v>Sample 1755m: 10% Siltstone, 90% fine to coarse Sandstone, 100% bright FLUOR in SST. TG 229U</v>
      </c>
      <c r="B44" s="1">
        <f>'Input Sheet'!L42</f>
        <v>45207</v>
      </c>
      <c r="C44" s="7">
        <f>'Input Sheet'!M42</f>
        <v>0.80208333333333337</v>
      </c>
      <c r="D44" s="11">
        <f>'Input Sheet'!B42</f>
        <v>1755</v>
      </c>
      <c r="E44" s="8">
        <f>'Input Sheet'!I42</f>
        <v>229</v>
      </c>
      <c r="F44" s="59">
        <f>'Input Sheet'!C42/100</f>
        <v>0.9</v>
      </c>
      <c r="G44" s="59">
        <f>'Input Sheet'!F42/100</f>
        <v>1</v>
      </c>
      <c r="H44" s="2">
        <f t="shared" si="2"/>
        <v>5</v>
      </c>
      <c r="I44" s="2">
        <f t="shared" si="3"/>
        <v>5</v>
      </c>
      <c r="J44" s="2">
        <f t="shared" si="4"/>
        <v>4.5</v>
      </c>
      <c r="K44" s="2">
        <f t="shared" si="0"/>
        <v>5</v>
      </c>
      <c r="L44" s="2">
        <f t="shared" si="5"/>
        <v>4.5</v>
      </c>
      <c r="M44" s="2" t="str">
        <f>'Input Sheet'!E42</f>
        <v>C</v>
      </c>
      <c r="N44" s="2">
        <f t="shared" si="6"/>
        <v>4</v>
      </c>
      <c r="P44">
        <f t="shared" si="8"/>
        <v>0</v>
      </c>
      <c r="Q44">
        <f t="shared" si="8"/>
        <v>0</v>
      </c>
      <c r="R44">
        <f t="shared" si="8"/>
        <v>0</v>
      </c>
      <c r="S44">
        <f t="shared" si="8"/>
        <v>5</v>
      </c>
      <c r="T44">
        <f t="shared" si="8"/>
        <v>0</v>
      </c>
    </row>
    <row r="45" spans="1:20" ht="16.5" x14ac:dyDescent="0.35">
      <c r="A45" s="10" t="str">
        <f>'Long Sample Name'!A41</f>
        <v>Sample 1760m: 0% Siltstone, 100% fine to coarse Sandstone, 100% bright FLUOR in SST. TG 265U</v>
      </c>
      <c r="B45" s="1">
        <f>'Input Sheet'!L43</f>
        <v>45207</v>
      </c>
      <c r="C45" s="7">
        <f>'Input Sheet'!M43</f>
        <v>0.81944444444444453</v>
      </c>
      <c r="D45" s="11">
        <f>'Input Sheet'!B43</f>
        <v>1760</v>
      </c>
      <c r="E45" s="8">
        <f>'Input Sheet'!I43</f>
        <v>265</v>
      </c>
      <c r="F45" s="59">
        <f>'Input Sheet'!C43/100</f>
        <v>1</v>
      </c>
      <c r="G45" s="59">
        <f>'Input Sheet'!F43/100</f>
        <v>1</v>
      </c>
      <c r="H45" s="2">
        <f t="shared" si="2"/>
        <v>5</v>
      </c>
      <c r="I45" s="2">
        <f t="shared" si="3"/>
        <v>5</v>
      </c>
      <c r="J45" s="2">
        <f t="shared" si="4"/>
        <v>5</v>
      </c>
      <c r="K45" s="2">
        <f t="shared" si="0"/>
        <v>5</v>
      </c>
      <c r="L45" s="2">
        <f t="shared" si="5"/>
        <v>5</v>
      </c>
      <c r="M45" s="2" t="str">
        <f>'Input Sheet'!E43</f>
        <v>C</v>
      </c>
      <c r="N45" s="2">
        <f t="shared" si="6"/>
        <v>4</v>
      </c>
      <c r="P45">
        <f t="shared" si="8"/>
        <v>0</v>
      </c>
      <c r="Q45">
        <f t="shared" si="8"/>
        <v>0</v>
      </c>
      <c r="R45">
        <f t="shared" si="8"/>
        <v>0</v>
      </c>
      <c r="S45">
        <f t="shared" si="8"/>
        <v>5</v>
      </c>
      <c r="T45">
        <f t="shared" si="8"/>
        <v>0</v>
      </c>
    </row>
    <row r="46" spans="1:20" ht="16.5" x14ac:dyDescent="0.35">
      <c r="A46" s="10" t="str">
        <f>'Long Sample Name'!A42</f>
        <v>Sample 1770m: 0% Siltstone, 100% fine to medium Sandstone, 100% bright FLUOR in SST. TG 224U</v>
      </c>
      <c r="B46" s="1">
        <f>'Input Sheet'!L44</f>
        <v>45207</v>
      </c>
      <c r="C46" s="7">
        <f>'Input Sheet'!M44</f>
        <v>0.84027777777777779</v>
      </c>
      <c r="D46" s="11">
        <f>'Input Sheet'!B44</f>
        <v>1770</v>
      </c>
      <c r="E46" s="8">
        <f>'Input Sheet'!I44</f>
        <v>224</v>
      </c>
      <c r="F46" s="59">
        <f>'Input Sheet'!C44/100</f>
        <v>1</v>
      </c>
      <c r="G46" s="59">
        <f>'Input Sheet'!F44/100</f>
        <v>1</v>
      </c>
      <c r="H46" s="2">
        <f t="shared" si="2"/>
        <v>10</v>
      </c>
      <c r="I46" s="2">
        <f t="shared" si="3"/>
        <v>10</v>
      </c>
      <c r="J46" s="2">
        <f t="shared" si="4"/>
        <v>10</v>
      </c>
      <c r="K46" s="2">
        <f t="shared" si="0"/>
        <v>10</v>
      </c>
      <c r="L46" s="2">
        <f t="shared" si="5"/>
        <v>10</v>
      </c>
      <c r="M46" s="2" t="str">
        <f>'Input Sheet'!E44</f>
        <v>M</v>
      </c>
      <c r="N46" s="2">
        <f t="shared" si="6"/>
        <v>3</v>
      </c>
      <c r="P46">
        <f t="shared" si="8"/>
        <v>0</v>
      </c>
      <c r="Q46">
        <f t="shared" si="8"/>
        <v>0</v>
      </c>
      <c r="R46">
        <f t="shared" si="8"/>
        <v>10</v>
      </c>
      <c r="S46">
        <f t="shared" si="8"/>
        <v>0</v>
      </c>
      <c r="T46">
        <f t="shared" si="8"/>
        <v>0</v>
      </c>
    </row>
    <row r="47" spans="1:20" ht="16.5" x14ac:dyDescent="0.35">
      <c r="A47" s="10" t="str">
        <f>'Long Sample Name'!A43</f>
        <v>Sample 1780m: 0% Siltstone, 100% fine to coarse Sandstone, 100% bright FLUOR in SST. TG 204U</v>
      </c>
      <c r="B47" s="1">
        <f>'Input Sheet'!L45</f>
        <v>45207</v>
      </c>
      <c r="C47" s="7">
        <f>'Input Sheet'!M45</f>
        <v>0.875</v>
      </c>
      <c r="D47" s="11">
        <f>'Input Sheet'!B45</f>
        <v>1780</v>
      </c>
      <c r="E47" s="8">
        <f>'Input Sheet'!I45</f>
        <v>204</v>
      </c>
      <c r="F47" s="59">
        <f>'Input Sheet'!C45/100</f>
        <v>1</v>
      </c>
      <c r="G47" s="59">
        <f>'Input Sheet'!F45/100</f>
        <v>1</v>
      </c>
      <c r="H47" s="2">
        <f t="shared" si="2"/>
        <v>10</v>
      </c>
      <c r="I47" s="2">
        <f t="shared" si="3"/>
        <v>10</v>
      </c>
      <c r="J47" s="2">
        <f t="shared" si="4"/>
        <v>10</v>
      </c>
      <c r="K47" s="2">
        <f t="shared" si="0"/>
        <v>10</v>
      </c>
      <c r="L47" s="2">
        <f t="shared" si="5"/>
        <v>10</v>
      </c>
      <c r="M47" s="2" t="str">
        <f>'Input Sheet'!E45</f>
        <v>C</v>
      </c>
      <c r="N47" s="2">
        <f t="shared" si="6"/>
        <v>4</v>
      </c>
      <c r="P47">
        <f t="shared" si="8"/>
        <v>0</v>
      </c>
      <c r="Q47">
        <f t="shared" si="8"/>
        <v>0</v>
      </c>
      <c r="R47">
        <f t="shared" si="8"/>
        <v>0</v>
      </c>
      <c r="S47">
        <f t="shared" si="8"/>
        <v>10</v>
      </c>
      <c r="T47">
        <f t="shared" si="8"/>
        <v>0</v>
      </c>
    </row>
    <row r="48" spans="1:20" ht="16.5" x14ac:dyDescent="0.35">
      <c r="A48" s="10" t="str">
        <f>'Long Sample Name'!A44</f>
        <v>Sample 1790m: 0% Siltstone, 100% fine to medium Sandstone, 100% moderately bright  to  bright FLUOR in SST. TG 237U</v>
      </c>
      <c r="B48" s="1">
        <f>'Input Sheet'!L46</f>
        <v>45207</v>
      </c>
      <c r="C48" s="7">
        <f>'Input Sheet'!M46</f>
        <v>0.89583333333333337</v>
      </c>
      <c r="D48" s="11">
        <f>'Input Sheet'!B46</f>
        <v>1790</v>
      </c>
      <c r="E48" s="8">
        <f>'Input Sheet'!I46</f>
        <v>237</v>
      </c>
      <c r="F48" s="59">
        <f>'Input Sheet'!C46/100</f>
        <v>1</v>
      </c>
      <c r="G48" s="59">
        <f>'Input Sheet'!F46/100</f>
        <v>1</v>
      </c>
      <c r="H48" s="2">
        <f t="shared" si="2"/>
        <v>10</v>
      </c>
      <c r="I48" s="2">
        <f t="shared" si="3"/>
        <v>10</v>
      </c>
      <c r="J48" s="2">
        <f t="shared" si="4"/>
        <v>10</v>
      </c>
      <c r="K48" s="2">
        <f t="shared" si="0"/>
        <v>10</v>
      </c>
      <c r="L48" s="2">
        <f t="shared" si="5"/>
        <v>10</v>
      </c>
      <c r="M48" s="2" t="str">
        <f>'Input Sheet'!E46</f>
        <v>M</v>
      </c>
      <c r="N48" s="2">
        <f t="shared" si="6"/>
        <v>3</v>
      </c>
      <c r="P48">
        <f t="shared" si="8"/>
        <v>0</v>
      </c>
      <c r="Q48">
        <f t="shared" si="8"/>
        <v>0</v>
      </c>
      <c r="R48">
        <f t="shared" si="8"/>
        <v>10</v>
      </c>
      <c r="S48">
        <f t="shared" si="8"/>
        <v>0</v>
      </c>
      <c r="T48">
        <f t="shared" si="8"/>
        <v>0</v>
      </c>
    </row>
    <row r="49" spans="1:20" ht="16.5" x14ac:dyDescent="0.35">
      <c r="A49" s="10" t="str">
        <f>'Long Sample Name'!A45</f>
        <v>Sample 1800m: 0% Siltstone, 100% fine to medium Sandstone, 100% moderately bright  to  bright FLUOR in SST. TG 258U</v>
      </c>
      <c r="B49" s="1">
        <f>'Input Sheet'!L47</f>
        <v>45207</v>
      </c>
      <c r="C49" s="7">
        <f>'Input Sheet'!M47</f>
        <v>0.92013888888888884</v>
      </c>
      <c r="D49" s="11">
        <f>'Input Sheet'!B47</f>
        <v>1800</v>
      </c>
      <c r="E49" s="8">
        <f>'Input Sheet'!I47</f>
        <v>258</v>
      </c>
      <c r="F49" s="59">
        <f>'Input Sheet'!C47/100</f>
        <v>1</v>
      </c>
      <c r="G49" s="59">
        <f>'Input Sheet'!F47/100</f>
        <v>1</v>
      </c>
      <c r="H49" s="2">
        <f t="shared" si="2"/>
        <v>10</v>
      </c>
      <c r="I49" s="2">
        <f t="shared" si="3"/>
        <v>10</v>
      </c>
      <c r="J49" s="2">
        <f t="shared" si="4"/>
        <v>10</v>
      </c>
      <c r="K49" s="2">
        <f t="shared" si="0"/>
        <v>10</v>
      </c>
      <c r="L49" s="2">
        <f t="shared" si="5"/>
        <v>10</v>
      </c>
      <c r="M49" s="2" t="str">
        <f>'Input Sheet'!E47</f>
        <v>M</v>
      </c>
      <c r="N49" s="2">
        <f t="shared" si="6"/>
        <v>3</v>
      </c>
      <c r="P49">
        <f t="shared" si="8"/>
        <v>0</v>
      </c>
      <c r="Q49">
        <f t="shared" si="8"/>
        <v>0</v>
      </c>
      <c r="R49">
        <f t="shared" si="8"/>
        <v>10</v>
      </c>
      <c r="S49">
        <f t="shared" si="8"/>
        <v>0</v>
      </c>
      <c r="T49">
        <f t="shared" si="8"/>
        <v>0</v>
      </c>
    </row>
    <row r="50" spans="1:20" ht="16.5" x14ac:dyDescent="0.35">
      <c r="A50" s="10" t="str">
        <f>'Long Sample Name'!A46</f>
        <v>Sample 1810m: 0% Siltstone, 100% fine to medium Sandstone, 100% bright FLUOR in SST. TG 215U</v>
      </c>
      <c r="B50" s="1">
        <f>'Input Sheet'!L48</f>
        <v>45207</v>
      </c>
      <c r="C50" s="7">
        <f>'Input Sheet'!M48</f>
        <v>0.9375</v>
      </c>
      <c r="D50" s="11">
        <f>'Input Sheet'!B48</f>
        <v>1810</v>
      </c>
      <c r="E50" s="8">
        <f>'Input Sheet'!I48</f>
        <v>215</v>
      </c>
      <c r="F50" s="59">
        <f>'Input Sheet'!C48/100</f>
        <v>1</v>
      </c>
      <c r="G50" s="59">
        <f>'Input Sheet'!F48/100</f>
        <v>1</v>
      </c>
      <c r="H50" s="2">
        <f t="shared" si="2"/>
        <v>10</v>
      </c>
      <c r="I50" s="2">
        <f t="shared" si="3"/>
        <v>10</v>
      </c>
      <c r="J50" s="2">
        <f t="shared" si="4"/>
        <v>10</v>
      </c>
      <c r="K50" s="2">
        <f t="shared" si="0"/>
        <v>10</v>
      </c>
      <c r="L50" s="2">
        <f t="shared" si="5"/>
        <v>10</v>
      </c>
      <c r="M50" s="2" t="str">
        <f>'Input Sheet'!E48</f>
        <v>M</v>
      </c>
      <c r="N50" s="2">
        <f t="shared" si="6"/>
        <v>3</v>
      </c>
      <c r="P50">
        <f t="shared" si="8"/>
        <v>0</v>
      </c>
      <c r="Q50">
        <f t="shared" si="8"/>
        <v>0</v>
      </c>
      <c r="R50">
        <f t="shared" si="8"/>
        <v>10</v>
      </c>
      <c r="S50">
        <f t="shared" si="8"/>
        <v>0</v>
      </c>
      <c r="T50">
        <f t="shared" si="8"/>
        <v>0</v>
      </c>
    </row>
    <row r="51" spans="1:20" ht="16.5" x14ac:dyDescent="0.35">
      <c r="A51" s="10" t="str">
        <f>'Long Sample Name'!A47</f>
        <v>Sample 1820m: 0% Siltstone, 100% very fine to medium Sandstone, 100% bright FLUOR in SST. TG 259U</v>
      </c>
      <c r="B51" s="1">
        <f>'Input Sheet'!L49</f>
        <v>45207</v>
      </c>
      <c r="C51" s="7">
        <f>'Input Sheet'!M49</f>
        <v>0.95833333333333337</v>
      </c>
      <c r="D51" s="11">
        <f>'Input Sheet'!B49</f>
        <v>1820</v>
      </c>
      <c r="E51" s="8">
        <f>'Input Sheet'!I49</f>
        <v>259</v>
      </c>
      <c r="F51" s="59">
        <f>'Input Sheet'!C49/100</f>
        <v>1</v>
      </c>
      <c r="G51" s="59">
        <f>'Input Sheet'!F49/100</f>
        <v>1</v>
      </c>
      <c r="H51" s="2">
        <f t="shared" si="2"/>
        <v>10</v>
      </c>
      <c r="I51" s="2">
        <f t="shared" si="3"/>
        <v>10</v>
      </c>
      <c r="J51" s="2">
        <f t="shared" si="4"/>
        <v>10</v>
      </c>
      <c r="K51" s="2">
        <f t="shared" si="0"/>
        <v>10</v>
      </c>
      <c r="L51" s="2">
        <f t="shared" si="5"/>
        <v>10</v>
      </c>
      <c r="M51" s="2" t="str">
        <f>'Input Sheet'!E49</f>
        <v>M</v>
      </c>
      <c r="N51" s="2">
        <f t="shared" si="6"/>
        <v>3</v>
      </c>
      <c r="P51">
        <f t="shared" si="8"/>
        <v>0</v>
      </c>
      <c r="Q51">
        <f t="shared" si="8"/>
        <v>0</v>
      </c>
      <c r="R51">
        <f t="shared" si="8"/>
        <v>10</v>
      </c>
      <c r="S51">
        <f t="shared" si="8"/>
        <v>0</v>
      </c>
      <c r="T51">
        <f t="shared" si="8"/>
        <v>0</v>
      </c>
    </row>
    <row r="52" spans="1:20" ht="16.5" x14ac:dyDescent="0.35">
      <c r="A52" s="10" t="str">
        <f>'Long Sample Name'!A48</f>
        <v>Sample 1830m: 0% Siltstone, 100% very fine to medium Sandstone, 100% bright FLUOR in SST. TG 232U</v>
      </c>
      <c r="B52" s="1">
        <f>'Input Sheet'!L50</f>
        <v>45207</v>
      </c>
      <c r="C52" s="7">
        <f>'Input Sheet'!M50</f>
        <v>0.98263888888888884</v>
      </c>
      <c r="D52" s="11">
        <f>'Input Sheet'!B50</f>
        <v>1830</v>
      </c>
      <c r="E52" s="8">
        <f>'Input Sheet'!I50</f>
        <v>232</v>
      </c>
      <c r="F52" s="59">
        <f>'Input Sheet'!C50/100</f>
        <v>1</v>
      </c>
      <c r="G52" s="59">
        <f>'Input Sheet'!F50/100</f>
        <v>1</v>
      </c>
      <c r="H52" s="2">
        <f t="shared" si="2"/>
        <v>10</v>
      </c>
      <c r="I52" s="2">
        <f t="shared" si="3"/>
        <v>10</v>
      </c>
      <c r="J52" s="2">
        <f t="shared" si="4"/>
        <v>10</v>
      </c>
      <c r="K52" s="2">
        <f t="shared" si="0"/>
        <v>10</v>
      </c>
      <c r="L52" s="2">
        <f t="shared" si="5"/>
        <v>10</v>
      </c>
      <c r="M52" s="2" t="str">
        <f>'Input Sheet'!E50</f>
        <v>M</v>
      </c>
      <c r="N52" s="2">
        <f t="shared" si="6"/>
        <v>3</v>
      </c>
      <c r="P52">
        <f t="shared" si="8"/>
        <v>0</v>
      </c>
      <c r="Q52">
        <f t="shared" si="8"/>
        <v>0</v>
      </c>
      <c r="R52">
        <f t="shared" si="8"/>
        <v>10</v>
      </c>
      <c r="S52">
        <f t="shared" si="8"/>
        <v>0</v>
      </c>
      <c r="T52">
        <f t="shared" si="8"/>
        <v>0</v>
      </c>
    </row>
    <row r="53" spans="1:20" ht="16.5" x14ac:dyDescent="0.35">
      <c r="A53" s="10" t="str">
        <f>'Long Sample Name'!A49</f>
        <v>Sample 1840m: 0% Siltstone, 100% fine to medium Sandstone, 100% bright FLUOR in SST. TG 364U</v>
      </c>
      <c r="B53" s="1">
        <f>'Input Sheet'!L51</f>
        <v>45208</v>
      </c>
      <c r="C53" s="7">
        <f>'Input Sheet'!M51</f>
        <v>3.472222222222222E-3</v>
      </c>
      <c r="D53" s="11">
        <f>'Input Sheet'!B51</f>
        <v>1840</v>
      </c>
      <c r="E53" s="8">
        <f>'Input Sheet'!I51</f>
        <v>364</v>
      </c>
      <c r="F53" s="59">
        <f>'Input Sheet'!C51/100</f>
        <v>1</v>
      </c>
      <c r="G53" s="59">
        <f>'Input Sheet'!F51/100</f>
        <v>1</v>
      </c>
      <c r="H53" s="2">
        <f t="shared" si="2"/>
        <v>10</v>
      </c>
      <c r="I53" s="2">
        <f t="shared" si="3"/>
        <v>10</v>
      </c>
      <c r="J53" s="2">
        <f t="shared" si="4"/>
        <v>10</v>
      </c>
      <c r="K53" s="2">
        <f t="shared" si="0"/>
        <v>10</v>
      </c>
      <c r="L53" s="2">
        <f t="shared" si="5"/>
        <v>10</v>
      </c>
      <c r="M53" s="2" t="str">
        <f>'Input Sheet'!E51</f>
        <v>M</v>
      </c>
      <c r="N53" s="2">
        <f t="shared" si="6"/>
        <v>3</v>
      </c>
      <c r="P53">
        <f t="shared" si="8"/>
        <v>0</v>
      </c>
      <c r="Q53">
        <f t="shared" si="8"/>
        <v>0</v>
      </c>
      <c r="R53">
        <f t="shared" si="8"/>
        <v>10</v>
      </c>
      <c r="S53">
        <f t="shared" si="8"/>
        <v>0</v>
      </c>
      <c r="T53">
        <f t="shared" si="8"/>
        <v>0</v>
      </c>
    </row>
    <row r="54" spans="1:20" ht="16.5" x14ac:dyDescent="0.35">
      <c r="A54" s="10" t="str">
        <f>'Long Sample Name'!A50</f>
        <v>Sample 1850m: 0% Siltstone, 100% very fine to fine Sandstone, 100% bright FLUOR in SST. TG 362U</v>
      </c>
      <c r="B54" s="1">
        <f>'Input Sheet'!L52</f>
        <v>45208</v>
      </c>
      <c r="C54" s="7">
        <f>'Input Sheet'!M52</f>
        <v>1.7361111111111112E-2</v>
      </c>
      <c r="D54" s="11">
        <f>'Input Sheet'!B52</f>
        <v>1850</v>
      </c>
      <c r="E54" s="8">
        <f>'Input Sheet'!I52</f>
        <v>362</v>
      </c>
      <c r="F54" s="59">
        <f>'Input Sheet'!C52/100</f>
        <v>1</v>
      </c>
      <c r="G54" s="59">
        <f>'Input Sheet'!F52/100</f>
        <v>1</v>
      </c>
      <c r="H54" s="2">
        <f t="shared" si="2"/>
        <v>10</v>
      </c>
      <c r="I54" s="2">
        <f t="shared" si="3"/>
        <v>10</v>
      </c>
      <c r="J54" s="2">
        <f t="shared" si="4"/>
        <v>10</v>
      </c>
      <c r="K54" s="2">
        <f t="shared" si="0"/>
        <v>10</v>
      </c>
      <c r="L54" s="2">
        <f t="shared" si="5"/>
        <v>10</v>
      </c>
      <c r="M54" s="2" t="str">
        <f>'Input Sheet'!E52</f>
        <v>F</v>
      </c>
      <c r="N54" s="2">
        <f t="shared" si="6"/>
        <v>2</v>
      </c>
      <c r="P54">
        <f t="shared" si="8"/>
        <v>0</v>
      </c>
      <c r="Q54">
        <f t="shared" si="8"/>
        <v>10</v>
      </c>
      <c r="R54">
        <f t="shared" si="8"/>
        <v>0</v>
      </c>
      <c r="S54">
        <f t="shared" si="8"/>
        <v>0</v>
      </c>
      <c r="T54">
        <f t="shared" si="8"/>
        <v>0</v>
      </c>
    </row>
    <row r="55" spans="1:20" ht="16.5" x14ac:dyDescent="0.35">
      <c r="A55" s="10" t="str">
        <f>'Long Sample Name'!A51</f>
        <v>Sample 1860m: 10% Siltstone, 90% fine to coarse Sandstone, 100% moderately bright  to  bright FLUOR in SST. TG 187U</v>
      </c>
      <c r="B55" s="1">
        <f>'Input Sheet'!L53</f>
        <v>45208</v>
      </c>
      <c r="C55" s="7">
        <f>'Input Sheet'!M53</f>
        <v>3.8194444444444441E-2</v>
      </c>
      <c r="D55" s="11">
        <f>'Input Sheet'!B53</f>
        <v>1860</v>
      </c>
      <c r="E55" s="8">
        <f>'Input Sheet'!I53</f>
        <v>187</v>
      </c>
      <c r="F55" s="59">
        <f>'Input Sheet'!C53/100</f>
        <v>0.9</v>
      </c>
      <c r="G55" s="59">
        <f>'Input Sheet'!F53/100</f>
        <v>0.7</v>
      </c>
      <c r="H55" s="2">
        <f t="shared" si="2"/>
        <v>10</v>
      </c>
      <c r="I55" s="2">
        <f t="shared" si="3"/>
        <v>10</v>
      </c>
      <c r="J55" s="2">
        <f t="shared" si="4"/>
        <v>9</v>
      </c>
      <c r="K55" s="2">
        <f t="shared" si="0"/>
        <v>0</v>
      </c>
      <c r="L55" s="2">
        <f t="shared" si="5"/>
        <v>0</v>
      </c>
      <c r="M55" s="2" t="str">
        <f>'Input Sheet'!E53</f>
        <v>C</v>
      </c>
      <c r="N55" s="2">
        <f t="shared" si="6"/>
        <v>4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8"/>
        <v>10</v>
      </c>
      <c r="T55">
        <f t="shared" si="8"/>
        <v>0</v>
      </c>
    </row>
    <row r="56" spans="1:20" ht="16.5" x14ac:dyDescent="0.35">
      <c r="A56" s="10" t="str">
        <f>'Long Sample Name'!A52</f>
        <v>Sample 1870m: 0% Siltstone, 100% fine to coarse Sandstone, 70% bright FLUOR in SST. TG 343U</v>
      </c>
      <c r="B56" s="1">
        <f>'Input Sheet'!L54</f>
        <v>45208</v>
      </c>
      <c r="C56" s="7">
        <f>'Input Sheet'!M54</f>
        <v>6.25E-2</v>
      </c>
      <c r="D56" s="11">
        <f>'Input Sheet'!B54</f>
        <v>1870</v>
      </c>
      <c r="E56" s="8">
        <f>'Input Sheet'!I54</f>
        <v>343</v>
      </c>
      <c r="F56" s="59">
        <f>'Input Sheet'!C54/100</f>
        <v>1</v>
      </c>
      <c r="G56" s="59">
        <f>'Input Sheet'!F54/100</f>
        <v>1</v>
      </c>
      <c r="H56" s="2">
        <f t="shared" si="2"/>
        <v>10</v>
      </c>
      <c r="I56" s="2">
        <f t="shared" si="3"/>
        <v>10</v>
      </c>
      <c r="J56" s="2">
        <f t="shared" si="4"/>
        <v>10</v>
      </c>
      <c r="K56" s="2">
        <f t="shared" si="0"/>
        <v>10</v>
      </c>
      <c r="L56" s="2">
        <f t="shared" si="5"/>
        <v>10</v>
      </c>
      <c r="M56" s="2" t="str">
        <f>'Input Sheet'!E54</f>
        <v>C</v>
      </c>
      <c r="N56" s="2">
        <f t="shared" si="6"/>
        <v>4</v>
      </c>
      <c r="P56">
        <f t="shared" si="8"/>
        <v>0</v>
      </c>
      <c r="Q56">
        <f t="shared" si="8"/>
        <v>0</v>
      </c>
      <c r="R56">
        <f t="shared" si="8"/>
        <v>0</v>
      </c>
      <c r="S56">
        <f t="shared" si="8"/>
        <v>10</v>
      </c>
      <c r="T56">
        <f t="shared" si="8"/>
        <v>0</v>
      </c>
    </row>
    <row r="57" spans="1:20" ht="16.5" x14ac:dyDescent="0.35">
      <c r="A57" s="10" t="str">
        <f>'Long Sample Name'!A53</f>
        <v>Sample 1880m: 0% Siltstone, 100% fine to coarse Sandstone, 100% bright FLUOR in SST. TG 272U</v>
      </c>
      <c r="B57" s="1">
        <f>'Input Sheet'!L55</f>
        <v>45208</v>
      </c>
      <c r="C57" s="7">
        <f>'Input Sheet'!M55</f>
        <v>9.0277777777777776E-2</v>
      </c>
      <c r="D57" s="11">
        <f>'Input Sheet'!B55</f>
        <v>1880</v>
      </c>
      <c r="E57" s="8">
        <f>'Input Sheet'!I55</f>
        <v>272</v>
      </c>
      <c r="F57" s="59">
        <f>'Input Sheet'!C55/100</f>
        <v>1</v>
      </c>
      <c r="G57" s="59">
        <f>'Input Sheet'!F55/100</f>
        <v>1</v>
      </c>
      <c r="H57" s="2">
        <f t="shared" si="2"/>
        <v>10</v>
      </c>
      <c r="I57" s="2">
        <f t="shared" si="3"/>
        <v>10</v>
      </c>
      <c r="J57" s="2">
        <f t="shared" ref="J57:J92" si="9">IF(I57&gt;0,I57*F57,0)</f>
        <v>10</v>
      </c>
      <c r="K57" s="2">
        <f t="shared" si="0"/>
        <v>10</v>
      </c>
      <c r="L57" s="2">
        <f t="shared" si="5"/>
        <v>10</v>
      </c>
      <c r="M57" s="2" t="str">
        <f>'Input Sheet'!E55</f>
        <v>C</v>
      </c>
      <c r="N57" s="2">
        <f t="shared" si="6"/>
        <v>4</v>
      </c>
      <c r="P57">
        <f t="shared" si="8"/>
        <v>0</v>
      </c>
      <c r="Q57">
        <f t="shared" si="8"/>
        <v>0</v>
      </c>
      <c r="R57">
        <f t="shared" si="8"/>
        <v>0</v>
      </c>
      <c r="S57">
        <f t="shared" si="8"/>
        <v>10</v>
      </c>
      <c r="T57">
        <f t="shared" si="8"/>
        <v>0</v>
      </c>
    </row>
    <row r="58" spans="1:20" ht="16.5" x14ac:dyDescent="0.35">
      <c r="A58" s="57" t="str">
        <f>'Long Sample Name'!A54</f>
        <v>Sample 1890m: 0% Siltstone, 100% fine to medium Sandstone, 100% bright FLUOR in SST. TG 295U</v>
      </c>
      <c r="B58" s="1">
        <f>'Input Sheet'!L56</f>
        <v>45208</v>
      </c>
      <c r="C58" s="7">
        <f>'Input Sheet'!M56</f>
        <v>0.11458333333333333</v>
      </c>
      <c r="D58" s="58">
        <f>'Input Sheet'!B56</f>
        <v>1890</v>
      </c>
      <c r="E58" s="8">
        <f>'Input Sheet'!I56</f>
        <v>295</v>
      </c>
      <c r="F58" s="59">
        <f>'Input Sheet'!C56/100</f>
        <v>1</v>
      </c>
      <c r="G58" s="59">
        <f>'Input Sheet'!F56/100</f>
        <v>1</v>
      </c>
      <c r="H58" s="2">
        <f t="shared" ref="H58:H92" si="10">IF(D58&lt;&gt;"",D58-D57,"")</f>
        <v>10</v>
      </c>
      <c r="I58" s="2">
        <f t="shared" ref="I58:I92" si="11">IF(AND(F58&gt;=$F$2,G58&gt;=$G$2),H58,0)</f>
        <v>10</v>
      </c>
      <c r="J58" s="2">
        <f t="shared" si="9"/>
        <v>10</v>
      </c>
      <c r="K58" s="2">
        <f t="shared" ref="K58:K92" si="12">IF(AND(F58&gt;=$F$3,G58&gt;=$G$3),H58,0)</f>
        <v>10</v>
      </c>
      <c r="L58" s="2">
        <f t="shared" ref="L58:L92" si="13">IF(K58&gt;0,K58*F58,0)</f>
        <v>10</v>
      </c>
      <c r="M58" s="2" t="str">
        <f>'Input Sheet'!E56</f>
        <v>M</v>
      </c>
      <c r="N58" s="2">
        <f t="shared" ref="N58:N92" si="14">IF(M58="VF",1,IF(M58="F",2,IF(M58="M",3,IF(M58="C",4,IF(M58="VC",5,0)))))</f>
        <v>3</v>
      </c>
      <c r="P58">
        <f t="shared" ref="P58:T67" si="15">IF($M58=P$1,$H58,0)</f>
        <v>0</v>
      </c>
      <c r="Q58">
        <f t="shared" si="15"/>
        <v>0</v>
      </c>
      <c r="R58">
        <f t="shared" si="15"/>
        <v>10</v>
      </c>
      <c r="S58">
        <f t="shared" si="15"/>
        <v>0</v>
      </c>
      <c r="T58">
        <f t="shared" si="15"/>
        <v>0</v>
      </c>
    </row>
    <row r="59" spans="1:20" ht="16.5" x14ac:dyDescent="0.35">
      <c r="A59" s="57" t="str">
        <f>'Long Sample Name'!A55</f>
        <v>Sample 1900m: 5% Siltstone, 95% fine to coarse Sandstone, 100% bright FLUOR in SST. TG 423U</v>
      </c>
      <c r="B59" s="1">
        <f>'Input Sheet'!L57</f>
        <v>45208</v>
      </c>
      <c r="C59" s="7">
        <f>'Input Sheet'!M57</f>
        <v>0.13541666666666666</v>
      </c>
      <c r="D59" s="58">
        <f>'Input Sheet'!B57</f>
        <v>1900</v>
      </c>
      <c r="E59" s="8">
        <f>'Input Sheet'!I57</f>
        <v>423</v>
      </c>
      <c r="F59" s="59">
        <f>'Input Sheet'!C57/100</f>
        <v>0.95</v>
      </c>
      <c r="G59" s="59">
        <f>'Input Sheet'!F57/100</f>
        <v>1</v>
      </c>
      <c r="H59" s="2">
        <f t="shared" si="10"/>
        <v>10</v>
      </c>
      <c r="I59" s="2">
        <f t="shared" si="11"/>
        <v>10</v>
      </c>
      <c r="J59" s="2">
        <f t="shared" si="9"/>
        <v>9.5</v>
      </c>
      <c r="K59" s="2">
        <f t="shared" si="12"/>
        <v>10</v>
      </c>
      <c r="L59" s="2">
        <f t="shared" si="13"/>
        <v>9.5</v>
      </c>
      <c r="M59" s="2" t="str">
        <f>'Input Sheet'!E57</f>
        <v>C</v>
      </c>
      <c r="N59" s="2">
        <f t="shared" si="14"/>
        <v>4</v>
      </c>
      <c r="P59">
        <f t="shared" si="15"/>
        <v>0</v>
      </c>
      <c r="Q59">
        <f t="shared" si="15"/>
        <v>0</v>
      </c>
      <c r="R59">
        <f t="shared" si="15"/>
        <v>0</v>
      </c>
      <c r="S59">
        <f t="shared" si="15"/>
        <v>10</v>
      </c>
      <c r="T59">
        <f t="shared" si="15"/>
        <v>0</v>
      </c>
    </row>
    <row r="60" spans="1:20" ht="16.5" x14ac:dyDescent="0.35">
      <c r="A60" s="57" t="str">
        <f>'Long Sample Name'!A56</f>
        <v>Sample 1910m: 0% Siltstone, 100% fine to coarse Sandstone, 100% bright FLUOR in SST. TG 274U</v>
      </c>
      <c r="B60" s="1">
        <f>'Input Sheet'!L58</f>
        <v>45208</v>
      </c>
      <c r="C60" s="7">
        <f>'Input Sheet'!M58</f>
        <v>0.15972222222222224</v>
      </c>
      <c r="D60" s="58">
        <f>'Input Sheet'!B58</f>
        <v>1910</v>
      </c>
      <c r="E60" s="8">
        <f>'Input Sheet'!I58</f>
        <v>274</v>
      </c>
      <c r="F60" s="59">
        <f>'Input Sheet'!C58/100</f>
        <v>1</v>
      </c>
      <c r="G60" s="59">
        <f>'Input Sheet'!F58/100</f>
        <v>1</v>
      </c>
      <c r="H60" s="2">
        <f t="shared" si="10"/>
        <v>10</v>
      </c>
      <c r="I60" s="2">
        <f t="shared" si="11"/>
        <v>10</v>
      </c>
      <c r="J60" s="2">
        <f t="shared" si="9"/>
        <v>10</v>
      </c>
      <c r="K60" s="2">
        <f t="shared" si="12"/>
        <v>10</v>
      </c>
      <c r="L60" s="2">
        <f t="shared" si="13"/>
        <v>10</v>
      </c>
      <c r="M60" s="2" t="str">
        <f>'Input Sheet'!E58</f>
        <v>C</v>
      </c>
      <c r="N60" s="2">
        <f t="shared" si="14"/>
        <v>4</v>
      </c>
      <c r="P60">
        <f t="shared" si="15"/>
        <v>0</v>
      </c>
      <c r="Q60">
        <f t="shared" si="15"/>
        <v>0</v>
      </c>
      <c r="R60">
        <f t="shared" si="15"/>
        <v>0</v>
      </c>
      <c r="S60">
        <f t="shared" si="15"/>
        <v>10</v>
      </c>
      <c r="T60">
        <f t="shared" si="15"/>
        <v>0</v>
      </c>
    </row>
    <row r="61" spans="1:20" ht="16.5" x14ac:dyDescent="0.35">
      <c r="A61" s="57" t="str">
        <f>'Long Sample Name'!A57</f>
        <v>Sample 1920m: 0% Siltstone, 100% fine to coarse Sandstone, 100% bright FLUOR in SST. TG 370U</v>
      </c>
      <c r="B61" s="1">
        <f>'Input Sheet'!L59</f>
        <v>45208</v>
      </c>
      <c r="C61" s="7">
        <f>'Input Sheet'!M59</f>
        <v>0.18055555555555555</v>
      </c>
      <c r="D61" s="58">
        <f>'Input Sheet'!B59</f>
        <v>1920</v>
      </c>
      <c r="E61" s="8">
        <f>'Input Sheet'!I59</f>
        <v>370</v>
      </c>
      <c r="F61" s="59">
        <f>'Input Sheet'!C59/100</f>
        <v>1</v>
      </c>
      <c r="G61" s="59">
        <f>'Input Sheet'!F59/100</f>
        <v>1</v>
      </c>
      <c r="H61" s="2">
        <f t="shared" si="10"/>
        <v>10</v>
      </c>
      <c r="I61" s="2">
        <f t="shared" si="11"/>
        <v>10</v>
      </c>
      <c r="J61" s="2">
        <f t="shared" si="9"/>
        <v>10</v>
      </c>
      <c r="K61" s="2">
        <f t="shared" si="12"/>
        <v>10</v>
      </c>
      <c r="L61" s="2">
        <f t="shared" si="13"/>
        <v>10</v>
      </c>
      <c r="M61" s="2" t="str">
        <f>'Input Sheet'!E59</f>
        <v>C</v>
      </c>
      <c r="N61" s="2">
        <f t="shared" si="14"/>
        <v>4</v>
      </c>
      <c r="P61">
        <f t="shared" si="15"/>
        <v>0</v>
      </c>
      <c r="Q61">
        <f t="shared" si="15"/>
        <v>0</v>
      </c>
      <c r="R61">
        <f t="shared" si="15"/>
        <v>0</v>
      </c>
      <c r="S61">
        <f t="shared" si="15"/>
        <v>10</v>
      </c>
      <c r="T61">
        <f t="shared" si="15"/>
        <v>0</v>
      </c>
    </row>
    <row r="62" spans="1:20" ht="16.5" x14ac:dyDescent="0.35">
      <c r="A62" s="57" t="str">
        <f>'Long Sample Name'!A58</f>
        <v>Sample 1930m: 0% Siltstone, 100% very fine to coarse Sandstone, 100% bright FLUOR in SST. TG 302U</v>
      </c>
      <c r="B62" s="1">
        <f>'Input Sheet'!L60</f>
        <v>45208</v>
      </c>
      <c r="C62" s="7">
        <f>'Input Sheet'!M60</f>
        <v>0.20486111111111113</v>
      </c>
      <c r="D62" s="58">
        <f>'Input Sheet'!B60</f>
        <v>1930</v>
      </c>
      <c r="E62" s="8">
        <f>'Input Sheet'!I60</f>
        <v>302</v>
      </c>
      <c r="F62" s="59">
        <f>'Input Sheet'!C60/100</f>
        <v>1</v>
      </c>
      <c r="G62" s="59">
        <f>'Input Sheet'!F60/100</f>
        <v>1</v>
      </c>
      <c r="H62" s="2">
        <f t="shared" si="10"/>
        <v>10</v>
      </c>
      <c r="I62" s="2">
        <f t="shared" si="11"/>
        <v>10</v>
      </c>
      <c r="J62" s="2">
        <f t="shared" si="9"/>
        <v>10</v>
      </c>
      <c r="K62" s="2">
        <f t="shared" si="12"/>
        <v>10</v>
      </c>
      <c r="L62" s="2">
        <f t="shared" si="13"/>
        <v>10</v>
      </c>
      <c r="M62" s="2" t="str">
        <f>'Input Sheet'!E60</f>
        <v>C</v>
      </c>
      <c r="N62" s="2">
        <f t="shared" si="14"/>
        <v>4</v>
      </c>
      <c r="P62">
        <f t="shared" si="15"/>
        <v>0</v>
      </c>
      <c r="Q62">
        <f t="shared" si="15"/>
        <v>0</v>
      </c>
      <c r="R62">
        <f t="shared" si="15"/>
        <v>0</v>
      </c>
      <c r="S62">
        <f t="shared" si="15"/>
        <v>10</v>
      </c>
      <c r="T62">
        <f t="shared" si="15"/>
        <v>0</v>
      </c>
    </row>
    <row r="63" spans="1:20" ht="16.5" x14ac:dyDescent="0.35">
      <c r="A63" s="57" t="str">
        <f>'Long Sample Name'!A59</f>
        <v>Sample 1940m: 0% Siltstone, 100% very fine to coarse Sandstone, 100% bright FLUOR in SST. TG 332U</v>
      </c>
      <c r="B63" s="1">
        <f>'Input Sheet'!L61</f>
        <v>45208</v>
      </c>
      <c r="C63" s="7">
        <f>'Input Sheet'!M61</f>
        <v>0.22569444444444445</v>
      </c>
      <c r="D63" s="58">
        <f>'Input Sheet'!B61</f>
        <v>1940</v>
      </c>
      <c r="E63" s="8">
        <f>'Input Sheet'!I61</f>
        <v>332</v>
      </c>
      <c r="F63" s="59">
        <f>'Input Sheet'!C61/100</f>
        <v>1</v>
      </c>
      <c r="G63" s="59">
        <f>'Input Sheet'!F61/100</f>
        <v>1</v>
      </c>
      <c r="H63" s="2">
        <f t="shared" si="10"/>
        <v>10</v>
      </c>
      <c r="I63" s="2">
        <f t="shared" si="11"/>
        <v>10</v>
      </c>
      <c r="J63" s="2">
        <f t="shared" si="9"/>
        <v>10</v>
      </c>
      <c r="K63" s="2">
        <f t="shared" si="12"/>
        <v>10</v>
      </c>
      <c r="L63" s="2">
        <f t="shared" si="13"/>
        <v>10</v>
      </c>
      <c r="M63" s="2" t="str">
        <f>'Input Sheet'!E61</f>
        <v>C</v>
      </c>
      <c r="N63" s="2">
        <f t="shared" si="14"/>
        <v>4</v>
      </c>
      <c r="P63">
        <f t="shared" si="15"/>
        <v>0</v>
      </c>
      <c r="Q63">
        <f t="shared" si="15"/>
        <v>0</v>
      </c>
      <c r="R63">
        <f t="shared" si="15"/>
        <v>0</v>
      </c>
      <c r="S63">
        <f t="shared" si="15"/>
        <v>10</v>
      </c>
      <c r="T63">
        <f t="shared" si="15"/>
        <v>0</v>
      </c>
    </row>
    <row r="64" spans="1:20" ht="16.5" x14ac:dyDescent="0.35">
      <c r="A64" s="57" t="str">
        <f>'Long Sample Name'!A60</f>
        <v>Sample 1950m: 0% Siltstone, 100% very fine to coarse Sandstone, 100% moderately bright  to  bright FLUOR in SST. TG 241U</v>
      </c>
      <c r="B64" s="1">
        <f>'Input Sheet'!L62</f>
        <v>45208</v>
      </c>
      <c r="C64" s="7">
        <f>'Input Sheet'!M62</f>
        <v>0.25</v>
      </c>
      <c r="D64" s="58">
        <f>'Input Sheet'!B62</f>
        <v>1950</v>
      </c>
      <c r="E64" s="8">
        <f>'Input Sheet'!I62</f>
        <v>241</v>
      </c>
      <c r="F64" s="59">
        <f>'Input Sheet'!C62/100</f>
        <v>1</v>
      </c>
      <c r="G64" s="59">
        <f>'Input Sheet'!F62/100</f>
        <v>0.8</v>
      </c>
      <c r="H64" s="2">
        <f t="shared" si="10"/>
        <v>10</v>
      </c>
      <c r="I64" s="2">
        <f t="shared" si="11"/>
        <v>10</v>
      </c>
      <c r="J64" s="2">
        <f t="shared" si="9"/>
        <v>10</v>
      </c>
      <c r="K64" s="2">
        <f t="shared" si="12"/>
        <v>10</v>
      </c>
      <c r="L64" s="2">
        <f t="shared" si="13"/>
        <v>10</v>
      </c>
      <c r="M64" s="2" t="str">
        <f>'Input Sheet'!E62</f>
        <v>C</v>
      </c>
      <c r="N64" s="2">
        <f t="shared" si="14"/>
        <v>4</v>
      </c>
      <c r="P64">
        <f t="shared" si="15"/>
        <v>0</v>
      </c>
      <c r="Q64">
        <f t="shared" si="15"/>
        <v>0</v>
      </c>
      <c r="R64">
        <f t="shared" si="15"/>
        <v>0</v>
      </c>
      <c r="S64">
        <f t="shared" si="15"/>
        <v>10</v>
      </c>
      <c r="T64">
        <f t="shared" si="15"/>
        <v>0</v>
      </c>
    </row>
    <row r="65" spans="1:20" ht="16.5" x14ac:dyDescent="0.35">
      <c r="A65" s="57" t="str">
        <f>'Long Sample Name'!A61</f>
        <v>Sample 1960m: 0% Siltstone, 100% very fine to coarse Sandstone, 80% moderately bright  to  bright FLUOR in SST. TG 354U</v>
      </c>
      <c r="B65" s="1">
        <f>'Input Sheet'!L63</f>
        <v>45208</v>
      </c>
      <c r="C65" s="7">
        <f>'Input Sheet'!M63</f>
        <v>0.2638888888888889</v>
      </c>
      <c r="D65" s="58">
        <f>'Input Sheet'!B63</f>
        <v>1960</v>
      </c>
      <c r="E65" s="8">
        <f>'Input Sheet'!I63</f>
        <v>354</v>
      </c>
      <c r="F65" s="59">
        <f>'Input Sheet'!C63/100</f>
        <v>1</v>
      </c>
      <c r="G65" s="59">
        <f>'Input Sheet'!F63/100</f>
        <v>0.8</v>
      </c>
      <c r="H65" s="2">
        <f t="shared" si="10"/>
        <v>10</v>
      </c>
      <c r="I65" s="2">
        <f t="shared" si="11"/>
        <v>10</v>
      </c>
      <c r="J65" s="2">
        <f t="shared" si="9"/>
        <v>10</v>
      </c>
      <c r="K65" s="2">
        <f t="shared" si="12"/>
        <v>10</v>
      </c>
      <c r="L65" s="2">
        <f t="shared" si="13"/>
        <v>10</v>
      </c>
      <c r="M65" s="2" t="str">
        <f>'Input Sheet'!E63</f>
        <v>C</v>
      </c>
      <c r="N65" s="2">
        <f t="shared" si="14"/>
        <v>4</v>
      </c>
      <c r="P65">
        <f t="shared" si="15"/>
        <v>0</v>
      </c>
      <c r="Q65">
        <f t="shared" si="15"/>
        <v>0</v>
      </c>
      <c r="R65">
        <f t="shared" si="15"/>
        <v>0</v>
      </c>
      <c r="S65">
        <f t="shared" si="15"/>
        <v>10</v>
      </c>
      <c r="T65">
        <f t="shared" si="15"/>
        <v>0</v>
      </c>
    </row>
    <row r="66" spans="1:20" ht="16.5" x14ac:dyDescent="0.35">
      <c r="A66" s="57" t="str">
        <f>'Long Sample Name'!A62</f>
        <v>Sample 1970m: 0% Siltstone, 100% very fine to coarse Sandstone, 80% moderately bright  to  bright FLUOR in SST. TG 296U</v>
      </c>
      <c r="B66" s="1">
        <f>'Input Sheet'!L64</f>
        <v>45208</v>
      </c>
      <c r="C66" s="7">
        <f>'Input Sheet'!M64</f>
        <v>0.28472222222222221</v>
      </c>
      <c r="D66" s="58">
        <f>'Input Sheet'!B64</f>
        <v>1970</v>
      </c>
      <c r="E66" s="8">
        <f>'Input Sheet'!I64</f>
        <v>296</v>
      </c>
      <c r="F66" s="59">
        <f>'Input Sheet'!C64/100</f>
        <v>1</v>
      </c>
      <c r="G66" s="59">
        <f>'Input Sheet'!F64/100</f>
        <v>0.7</v>
      </c>
      <c r="H66" s="2">
        <f t="shared" si="10"/>
        <v>10</v>
      </c>
      <c r="I66" s="2">
        <f t="shared" si="11"/>
        <v>10</v>
      </c>
      <c r="J66" s="2">
        <f t="shared" si="9"/>
        <v>10</v>
      </c>
      <c r="K66" s="2">
        <f t="shared" si="12"/>
        <v>0</v>
      </c>
      <c r="L66" s="2">
        <f t="shared" si="13"/>
        <v>0</v>
      </c>
      <c r="M66" s="2" t="str">
        <f>'Input Sheet'!E64</f>
        <v>C</v>
      </c>
      <c r="N66" s="2">
        <f t="shared" si="14"/>
        <v>4</v>
      </c>
      <c r="P66">
        <f t="shared" si="15"/>
        <v>0</v>
      </c>
      <c r="Q66">
        <f t="shared" si="15"/>
        <v>0</v>
      </c>
      <c r="R66">
        <f t="shared" si="15"/>
        <v>0</v>
      </c>
      <c r="S66">
        <f t="shared" si="15"/>
        <v>10</v>
      </c>
      <c r="T66">
        <f t="shared" si="15"/>
        <v>0</v>
      </c>
    </row>
    <row r="67" spans="1:20" ht="16.5" x14ac:dyDescent="0.35">
      <c r="A67" s="57" t="str">
        <f>'Long Sample Name'!A63</f>
        <v>Sample 1980m: 0% Siltstone, 100% very fine to coarse Sandstone, 70% moderately bright  to  bright FLUOR in SST. TG 324U</v>
      </c>
      <c r="B67" s="1">
        <f>'Input Sheet'!L65</f>
        <v>45208</v>
      </c>
      <c r="C67" s="7">
        <f>'Input Sheet'!M65</f>
        <v>0.30555555555555552</v>
      </c>
      <c r="D67" s="58">
        <f>'Input Sheet'!B65</f>
        <v>1980</v>
      </c>
      <c r="E67" s="8">
        <f>'Input Sheet'!I65</f>
        <v>324</v>
      </c>
      <c r="F67" s="59">
        <f>'Input Sheet'!C65/100</f>
        <v>1</v>
      </c>
      <c r="G67" s="59">
        <f>'Input Sheet'!F65/100</f>
        <v>0.9</v>
      </c>
      <c r="H67" s="2">
        <f t="shared" si="10"/>
        <v>10</v>
      </c>
      <c r="I67" s="2">
        <f t="shared" si="11"/>
        <v>10</v>
      </c>
      <c r="J67" s="2">
        <f t="shared" si="9"/>
        <v>10</v>
      </c>
      <c r="K67" s="2">
        <f t="shared" si="12"/>
        <v>10</v>
      </c>
      <c r="L67" s="2">
        <f t="shared" si="13"/>
        <v>10</v>
      </c>
      <c r="M67" s="2" t="str">
        <f>'Input Sheet'!E65</f>
        <v>C</v>
      </c>
      <c r="N67" s="2">
        <f t="shared" si="14"/>
        <v>4</v>
      </c>
      <c r="P67">
        <f t="shared" si="15"/>
        <v>0</v>
      </c>
      <c r="Q67">
        <f t="shared" si="15"/>
        <v>0</v>
      </c>
      <c r="R67">
        <f t="shared" si="15"/>
        <v>0</v>
      </c>
      <c r="S67">
        <f t="shared" si="15"/>
        <v>10</v>
      </c>
      <c r="T67">
        <f t="shared" si="15"/>
        <v>0</v>
      </c>
    </row>
    <row r="68" spans="1:20" ht="16.5" x14ac:dyDescent="0.35">
      <c r="A68" s="57" t="str">
        <f>'Long Sample Name'!A64</f>
        <v>Sample 1990m: 0% Siltstone, 100% very fine to medium Sandstone, 90% bright FLUOR in SST. TG 386U</v>
      </c>
      <c r="B68" s="1">
        <f>'Input Sheet'!L66</f>
        <v>45208</v>
      </c>
      <c r="C68" s="7">
        <f>'Input Sheet'!M66</f>
        <v>0.32291666666666669</v>
      </c>
      <c r="D68" s="58">
        <f>'Input Sheet'!B66</f>
        <v>1990</v>
      </c>
      <c r="E68" s="8">
        <f>'Input Sheet'!I66</f>
        <v>386</v>
      </c>
      <c r="F68" s="59">
        <f>'Input Sheet'!C66/100</f>
        <v>1</v>
      </c>
      <c r="G68" s="59">
        <f>'Input Sheet'!F66/100</f>
        <v>1</v>
      </c>
      <c r="H68" s="2">
        <f t="shared" si="10"/>
        <v>10</v>
      </c>
      <c r="I68" s="2">
        <f t="shared" si="11"/>
        <v>10</v>
      </c>
      <c r="J68" s="2">
        <f t="shared" si="9"/>
        <v>10</v>
      </c>
      <c r="K68" s="2">
        <f t="shared" si="12"/>
        <v>10</v>
      </c>
      <c r="L68" s="2">
        <f t="shared" si="13"/>
        <v>10</v>
      </c>
      <c r="M68" s="2" t="str">
        <f>'Input Sheet'!E66</f>
        <v>M</v>
      </c>
      <c r="N68" s="2">
        <f t="shared" si="14"/>
        <v>3</v>
      </c>
      <c r="P68">
        <f t="shared" ref="P68:T77" si="16">IF($M68=P$1,$H68,0)</f>
        <v>0</v>
      </c>
      <c r="Q68">
        <f t="shared" si="16"/>
        <v>0</v>
      </c>
      <c r="R68">
        <f t="shared" si="16"/>
        <v>10</v>
      </c>
      <c r="S68">
        <f t="shared" si="16"/>
        <v>0</v>
      </c>
      <c r="T68">
        <f t="shared" si="16"/>
        <v>0</v>
      </c>
    </row>
    <row r="69" spans="1:20" ht="16.5" x14ac:dyDescent="0.35">
      <c r="A69" s="57" t="str">
        <f>'Long Sample Name'!A65</f>
        <v>Sample 2000m: 0% Siltstone, 100% very fine to fine Sandstone, 100% bright FLUOR in SST. TG 326U</v>
      </c>
      <c r="B69" s="1">
        <f>'Input Sheet'!L67</f>
        <v>45208</v>
      </c>
      <c r="C69" s="7">
        <f>'Input Sheet'!M67</f>
        <v>0.33680555555555558</v>
      </c>
      <c r="D69" s="58">
        <f>'Input Sheet'!B67</f>
        <v>2000</v>
      </c>
      <c r="E69" s="8">
        <f>'Input Sheet'!I67</f>
        <v>326</v>
      </c>
      <c r="F69" s="59">
        <f>'Input Sheet'!C67/100</f>
        <v>1</v>
      </c>
      <c r="G69" s="59">
        <f>'Input Sheet'!F67/100</f>
        <v>1</v>
      </c>
      <c r="H69" s="2">
        <f t="shared" si="10"/>
        <v>10</v>
      </c>
      <c r="I69" s="2">
        <f t="shared" si="11"/>
        <v>10</v>
      </c>
      <c r="J69" s="2">
        <f t="shared" si="9"/>
        <v>10</v>
      </c>
      <c r="K69" s="2">
        <f t="shared" si="12"/>
        <v>10</v>
      </c>
      <c r="L69" s="2">
        <f t="shared" si="13"/>
        <v>10</v>
      </c>
      <c r="M69" s="2" t="str">
        <f>'Input Sheet'!E67</f>
        <v>M</v>
      </c>
      <c r="N69" s="2">
        <f t="shared" si="14"/>
        <v>3</v>
      </c>
      <c r="P69">
        <f t="shared" si="16"/>
        <v>0</v>
      </c>
      <c r="Q69">
        <f t="shared" si="16"/>
        <v>0</v>
      </c>
      <c r="R69">
        <f t="shared" si="16"/>
        <v>10</v>
      </c>
      <c r="S69">
        <f t="shared" si="16"/>
        <v>0</v>
      </c>
      <c r="T69">
        <f t="shared" si="16"/>
        <v>0</v>
      </c>
    </row>
    <row r="70" spans="1:20" ht="16.5" x14ac:dyDescent="0.35">
      <c r="A70" s="57" t="str">
        <f>'Long Sample Name'!A66</f>
        <v>Sample 2010m: 0% Siltstone, 100% very fine to fine Sandstone, 100% bright FLUOR in SST. TG 405U</v>
      </c>
      <c r="B70" s="1">
        <f>'Input Sheet'!L68</f>
        <v>45208</v>
      </c>
      <c r="C70" s="7">
        <f>'Input Sheet'!M68</f>
        <v>0.3576388888888889</v>
      </c>
      <c r="D70" s="58">
        <f>'Input Sheet'!B68</f>
        <v>2010</v>
      </c>
      <c r="E70" s="8">
        <f>'Input Sheet'!I68</f>
        <v>405</v>
      </c>
      <c r="F70" s="59">
        <f>'Input Sheet'!C68/100</f>
        <v>1</v>
      </c>
      <c r="G70" s="59">
        <f>'Input Sheet'!F68/100</f>
        <v>1</v>
      </c>
      <c r="H70" s="2">
        <f t="shared" si="10"/>
        <v>10</v>
      </c>
      <c r="I70" s="2">
        <f t="shared" si="11"/>
        <v>10</v>
      </c>
      <c r="J70" s="2">
        <f t="shared" si="9"/>
        <v>10</v>
      </c>
      <c r="K70" s="2">
        <f t="shared" si="12"/>
        <v>10</v>
      </c>
      <c r="L70" s="2">
        <f t="shared" si="13"/>
        <v>10</v>
      </c>
      <c r="M70" s="2" t="str">
        <f>'Input Sheet'!E68</f>
        <v>M</v>
      </c>
      <c r="N70" s="2">
        <f t="shared" si="14"/>
        <v>3</v>
      </c>
      <c r="P70">
        <f t="shared" si="16"/>
        <v>0</v>
      </c>
      <c r="Q70">
        <f t="shared" si="16"/>
        <v>0</v>
      </c>
      <c r="R70">
        <f t="shared" si="16"/>
        <v>10</v>
      </c>
      <c r="S70">
        <f t="shared" si="16"/>
        <v>0</v>
      </c>
      <c r="T70">
        <f t="shared" si="16"/>
        <v>0</v>
      </c>
    </row>
    <row r="71" spans="1:20" ht="16.5" x14ac:dyDescent="0.35">
      <c r="A71" s="57" t="str">
        <f>'Long Sample Name'!A67</f>
        <v>Sample 2020m: 0% Siltstone, 100% very fine to fine Sandstone, 100% bright FLUOR in SST. TG 285U</v>
      </c>
      <c r="B71" s="1">
        <f>'Input Sheet'!L69</f>
        <v>45208</v>
      </c>
      <c r="C71" s="7">
        <f>'Input Sheet'!M69</f>
        <v>0.37152777777777773</v>
      </c>
      <c r="D71" s="58">
        <f>'Input Sheet'!B69</f>
        <v>2020</v>
      </c>
      <c r="E71" s="8">
        <f>'Input Sheet'!I69</f>
        <v>285</v>
      </c>
      <c r="F71" s="59">
        <f>'Input Sheet'!C69/100</f>
        <v>1</v>
      </c>
      <c r="G71" s="59">
        <f>'Input Sheet'!F69/100</f>
        <v>1</v>
      </c>
      <c r="H71" s="2">
        <f t="shared" si="10"/>
        <v>10</v>
      </c>
      <c r="I71" s="2">
        <f t="shared" si="11"/>
        <v>10</v>
      </c>
      <c r="J71" s="2">
        <f t="shared" si="9"/>
        <v>10</v>
      </c>
      <c r="K71" s="2">
        <f t="shared" si="12"/>
        <v>10</v>
      </c>
      <c r="L71" s="2">
        <f t="shared" si="13"/>
        <v>10</v>
      </c>
      <c r="M71" s="2" t="str">
        <f>'Input Sheet'!E69</f>
        <v>C</v>
      </c>
      <c r="N71" s="2">
        <f t="shared" si="14"/>
        <v>4</v>
      </c>
      <c r="P71">
        <f t="shared" si="16"/>
        <v>0</v>
      </c>
      <c r="Q71">
        <f t="shared" si="16"/>
        <v>0</v>
      </c>
      <c r="R71">
        <f t="shared" si="16"/>
        <v>0</v>
      </c>
      <c r="S71">
        <f t="shared" si="16"/>
        <v>10</v>
      </c>
      <c r="T71">
        <f t="shared" si="16"/>
        <v>0</v>
      </c>
    </row>
    <row r="72" spans="1:20" ht="16.5" x14ac:dyDescent="0.35">
      <c r="A72" s="57" t="str">
        <f>'Long Sample Name'!A68</f>
        <v>Sample 2030m: 0% Siltstone, 100% very fine to fine Sandstone, 100% bright FLUOR in SST. TG 419U</v>
      </c>
      <c r="B72" s="1">
        <f>'Input Sheet'!L70</f>
        <v>45208</v>
      </c>
      <c r="C72" s="7">
        <f>'Input Sheet'!M70</f>
        <v>0.3923611111111111</v>
      </c>
      <c r="D72" s="58">
        <f>'Input Sheet'!B70</f>
        <v>2030</v>
      </c>
      <c r="E72" s="8">
        <f>'Input Sheet'!I70</f>
        <v>419</v>
      </c>
      <c r="F72" s="59">
        <f>'Input Sheet'!C70/100</f>
        <v>1</v>
      </c>
      <c r="G72" s="59">
        <f>'Input Sheet'!F70/100</f>
        <v>1</v>
      </c>
      <c r="H72" s="2">
        <f t="shared" si="10"/>
        <v>10</v>
      </c>
      <c r="I72" s="2">
        <f t="shared" si="11"/>
        <v>10</v>
      </c>
      <c r="J72" s="2">
        <f t="shared" si="9"/>
        <v>10</v>
      </c>
      <c r="K72" s="2">
        <f t="shared" si="12"/>
        <v>10</v>
      </c>
      <c r="L72" s="2">
        <f t="shared" si="13"/>
        <v>10</v>
      </c>
      <c r="M72" s="2" t="str">
        <f>'Input Sheet'!E70</f>
        <v>M</v>
      </c>
      <c r="N72" s="2">
        <f t="shared" si="14"/>
        <v>3</v>
      </c>
      <c r="P72">
        <f t="shared" si="16"/>
        <v>0</v>
      </c>
      <c r="Q72">
        <f t="shared" si="16"/>
        <v>0</v>
      </c>
      <c r="R72">
        <f t="shared" si="16"/>
        <v>10</v>
      </c>
      <c r="S72">
        <f t="shared" si="16"/>
        <v>0</v>
      </c>
      <c r="T72">
        <f t="shared" si="16"/>
        <v>0</v>
      </c>
    </row>
    <row r="73" spans="1:20" ht="16.5" x14ac:dyDescent="0.35">
      <c r="A73" s="57" t="str">
        <f>'Long Sample Name'!A69</f>
        <v>Sample 2040m: 0% Siltstone, 100% very fine to fine Sandstone, 100% bright FLUOR in SST. TG 223U</v>
      </c>
      <c r="B73" s="1">
        <f>'Input Sheet'!L71</f>
        <v>45208</v>
      </c>
      <c r="C73" s="7">
        <f>'Input Sheet'!M71</f>
        <v>0.41319444444444442</v>
      </c>
      <c r="D73" s="58">
        <f>'Input Sheet'!B71</f>
        <v>2040</v>
      </c>
      <c r="E73" s="8">
        <f>'Input Sheet'!I71</f>
        <v>223</v>
      </c>
      <c r="F73" s="59">
        <f>'Input Sheet'!C71/100</f>
        <v>1</v>
      </c>
      <c r="G73" s="59">
        <f>'Input Sheet'!F71/100</f>
        <v>1</v>
      </c>
      <c r="H73" s="2">
        <f t="shared" si="10"/>
        <v>10</v>
      </c>
      <c r="I73" s="2">
        <f t="shared" si="11"/>
        <v>10</v>
      </c>
      <c r="J73" s="2">
        <f t="shared" si="9"/>
        <v>10</v>
      </c>
      <c r="K73" s="2">
        <f t="shared" si="12"/>
        <v>10</v>
      </c>
      <c r="L73" s="2">
        <f t="shared" si="13"/>
        <v>10</v>
      </c>
      <c r="M73" s="2" t="str">
        <f>'Input Sheet'!E71</f>
        <v>C</v>
      </c>
      <c r="N73" s="2">
        <f t="shared" si="14"/>
        <v>4</v>
      </c>
      <c r="P73">
        <f t="shared" si="16"/>
        <v>0</v>
      </c>
      <c r="Q73">
        <f t="shared" si="16"/>
        <v>0</v>
      </c>
      <c r="R73">
        <f t="shared" si="16"/>
        <v>0</v>
      </c>
      <c r="S73">
        <f t="shared" si="16"/>
        <v>10</v>
      </c>
      <c r="T73">
        <f t="shared" si="16"/>
        <v>0</v>
      </c>
    </row>
    <row r="74" spans="1:20" ht="16.5" x14ac:dyDescent="0.35">
      <c r="A74" s="57" t="str">
        <f>'Long Sample Name'!A70</f>
        <v>Sample 2050m: 0% Siltstone, 100% very fine to fine Sandstone, 100% bright FLUOR in SST. TG 286U</v>
      </c>
      <c r="B74" s="1">
        <f>'Input Sheet'!L72</f>
        <v>45208</v>
      </c>
      <c r="C74" s="7">
        <f>'Input Sheet'!M72</f>
        <v>0.43402777777777773</v>
      </c>
      <c r="D74" s="58">
        <f>'Input Sheet'!B72</f>
        <v>2050</v>
      </c>
      <c r="E74" s="8">
        <f>'Input Sheet'!I72</f>
        <v>286</v>
      </c>
      <c r="F74" s="59">
        <f>'Input Sheet'!C72/100</f>
        <v>1</v>
      </c>
      <c r="G74" s="59">
        <f>'Input Sheet'!F72/100</f>
        <v>1</v>
      </c>
      <c r="H74" s="2">
        <f t="shared" si="10"/>
        <v>10</v>
      </c>
      <c r="I74" s="2">
        <f t="shared" si="11"/>
        <v>10</v>
      </c>
      <c r="J74" s="2">
        <f t="shared" si="9"/>
        <v>10</v>
      </c>
      <c r="K74" s="2">
        <f t="shared" si="12"/>
        <v>10</v>
      </c>
      <c r="L74" s="2">
        <f t="shared" si="13"/>
        <v>10</v>
      </c>
      <c r="M74" s="2" t="str">
        <f>'Input Sheet'!E72</f>
        <v>C</v>
      </c>
      <c r="N74" s="2">
        <f t="shared" si="14"/>
        <v>4</v>
      </c>
      <c r="P74">
        <f t="shared" si="16"/>
        <v>0</v>
      </c>
      <c r="Q74">
        <f t="shared" si="16"/>
        <v>0</v>
      </c>
      <c r="R74">
        <f t="shared" si="16"/>
        <v>0</v>
      </c>
      <c r="S74">
        <f t="shared" si="16"/>
        <v>10</v>
      </c>
      <c r="T74">
        <f t="shared" si="16"/>
        <v>0</v>
      </c>
    </row>
    <row r="75" spans="1:20" ht="16.5" x14ac:dyDescent="0.35">
      <c r="A75" s="57" t="str">
        <f>'Long Sample Name'!A71</f>
        <v>Sample 2060m: 0% Siltstone, 100% very fine to fine Sandstone, 100% bright FLUOR in SST. TG 290U</v>
      </c>
      <c r="B75" s="1">
        <f>'Input Sheet'!L73</f>
        <v>45208</v>
      </c>
      <c r="C75" s="7">
        <f>'Input Sheet'!M73</f>
        <v>0.45833333333333331</v>
      </c>
      <c r="D75" s="58">
        <f>'Input Sheet'!B73</f>
        <v>2060</v>
      </c>
      <c r="E75" s="8">
        <f>'Input Sheet'!I73</f>
        <v>290</v>
      </c>
      <c r="F75" s="59">
        <f>'Input Sheet'!C73/100</f>
        <v>1</v>
      </c>
      <c r="G75" s="59">
        <f>'Input Sheet'!F73/100</f>
        <v>1</v>
      </c>
      <c r="H75" s="2">
        <f t="shared" si="10"/>
        <v>10</v>
      </c>
      <c r="I75" s="2">
        <f t="shared" si="11"/>
        <v>10</v>
      </c>
      <c r="J75" s="2">
        <f t="shared" si="9"/>
        <v>10</v>
      </c>
      <c r="K75" s="2">
        <f t="shared" si="12"/>
        <v>10</v>
      </c>
      <c r="L75" s="2">
        <f t="shared" si="13"/>
        <v>10</v>
      </c>
      <c r="M75" s="2" t="str">
        <f>'Input Sheet'!E73</f>
        <v>C</v>
      </c>
      <c r="N75" s="2">
        <f t="shared" si="14"/>
        <v>4</v>
      </c>
      <c r="P75">
        <f t="shared" si="16"/>
        <v>0</v>
      </c>
      <c r="Q75">
        <f t="shared" si="16"/>
        <v>0</v>
      </c>
      <c r="R75">
        <f t="shared" si="16"/>
        <v>0</v>
      </c>
      <c r="S75">
        <f t="shared" si="16"/>
        <v>10</v>
      </c>
      <c r="T75">
        <f t="shared" si="16"/>
        <v>0</v>
      </c>
    </row>
    <row r="76" spans="1:20" ht="16.5" x14ac:dyDescent="0.35">
      <c r="A76" s="57" t="str">
        <f>'Long Sample Name'!A72</f>
        <v>Sample 2070m: 0% Siltstone, 100% very fine to fine Sandstone, 100% bright FLUOR in SST. TG 290U</v>
      </c>
      <c r="B76" s="1">
        <f>'Input Sheet'!L74</f>
        <v>45208</v>
      </c>
      <c r="C76" s="7">
        <f>'Input Sheet'!M74</f>
        <v>0.47916666666666669</v>
      </c>
      <c r="D76" s="58">
        <f>'Input Sheet'!B74</f>
        <v>2070</v>
      </c>
      <c r="E76" s="8">
        <f>'Input Sheet'!I74</f>
        <v>290</v>
      </c>
      <c r="F76" s="59">
        <f>'Input Sheet'!C74/100</f>
        <v>1</v>
      </c>
      <c r="G76" s="59">
        <f>'Input Sheet'!F74/100</f>
        <v>1</v>
      </c>
      <c r="H76" s="2">
        <f t="shared" si="10"/>
        <v>10</v>
      </c>
      <c r="I76" s="2">
        <f t="shared" si="11"/>
        <v>10</v>
      </c>
      <c r="J76" s="2">
        <f t="shared" si="9"/>
        <v>10</v>
      </c>
      <c r="K76" s="2">
        <f t="shared" si="12"/>
        <v>10</v>
      </c>
      <c r="L76" s="2">
        <f t="shared" si="13"/>
        <v>10</v>
      </c>
      <c r="M76" s="2" t="str">
        <f>'Input Sheet'!E74</f>
        <v>M</v>
      </c>
      <c r="N76" s="2">
        <f t="shared" si="14"/>
        <v>3</v>
      </c>
      <c r="P76">
        <f t="shared" si="16"/>
        <v>0</v>
      </c>
      <c r="Q76">
        <f t="shared" si="16"/>
        <v>0</v>
      </c>
      <c r="R76">
        <f t="shared" si="16"/>
        <v>10</v>
      </c>
      <c r="S76">
        <f t="shared" si="16"/>
        <v>0</v>
      </c>
      <c r="T76">
        <f t="shared" si="16"/>
        <v>0</v>
      </c>
    </row>
    <row r="77" spans="1:20" ht="16.5" x14ac:dyDescent="0.35">
      <c r="A77" s="57" t="str">
        <f>'Long Sample Name'!A73</f>
        <v>Sample 2080m: 0% Siltstone, 100% very fine to coarse Sandstone, 100% bright FLUOR in SST. TG 307U</v>
      </c>
      <c r="B77" s="1">
        <f>'Input Sheet'!L75</f>
        <v>45208</v>
      </c>
      <c r="C77" s="7">
        <f>'Input Sheet'!M75</f>
        <v>0.5</v>
      </c>
      <c r="D77" s="58">
        <f>'Input Sheet'!B75</f>
        <v>2080</v>
      </c>
      <c r="E77" s="8">
        <f>'Input Sheet'!I75</f>
        <v>307</v>
      </c>
      <c r="F77" s="59">
        <f>'Input Sheet'!C75/100</f>
        <v>1</v>
      </c>
      <c r="G77" s="59">
        <f>'Input Sheet'!F75/100</f>
        <v>0.8</v>
      </c>
      <c r="H77" s="2">
        <f t="shared" si="10"/>
        <v>10</v>
      </c>
      <c r="I77" s="2">
        <f t="shared" si="11"/>
        <v>10</v>
      </c>
      <c r="J77" s="2">
        <f t="shared" si="9"/>
        <v>10</v>
      </c>
      <c r="K77" s="2">
        <f t="shared" si="12"/>
        <v>10</v>
      </c>
      <c r="L77" s="2">
        <f t="shared" si="13"/>
        <v>10</v>
      </c>
      <c r="M77" s="2" t="str">
        <f>'Input Sheet'!E75</f>
        <v>C</v>
      </c>
      <c r="N77" s="2">
        <f t="shared" si="14"/>
        <v>4</v>
      </c>
      <c r="P77">
        <f t="shared" si="16"/>
        <v>0</v>
      </c>
      <c r="Q77">
        <f t="shared" si="16"/>
        <v>0</v>
      </c>
      <c r="R77">
        <f t="shared" si="16"/>
        <v>0</v>
      </c>
      <c r="S77">
        <f t="shared" si="16"/>
        <v>10</v>
      </c>
      <c r="T77">
        <f t="shared" si="16"/>
        <v>0</v>
      </c>
    </row>
    <row r="78" spans="1:20" ht="16.5" x14ac:dyDescent="0.35">
      <c r="A78" s="57" t="str">
        <f>'Long Sample Name'!A74</f>
        <v>Sample 2090m: 0% Siltstone, 100% very fine to coarse Sandstone, 80% bright FLUOR in SST. TG 395U</v>
      </c>
      <c r="B78" s="1">
        <f>'Input Sheet'!L76</f>
        <v>45208</v>
      </c>
      <c r="C78" s="7">
        <f>'Input Sheet'!M76</f>
        <v>0.51736111111111105</v>
      </c>
      <c r="D78" s="58">
        <f>'Input Sheet'!B76</f>
        <v>2090</v>
      </c>
      <c r="E78" s="8">
        <f>'Input Sheet'!I76</f>
        <v>395</v>
      </c>
      <c r="F78" s="59">
        <f>'Input Sheet'!C76/100</f>
        <v>1</v>
      </c>
      <c r="G78" s="59">
        <f>'Input Sheet'!F76/100</f>
        <v>0.9</v>
      </c>
      <c r="H78" s="2">
        <f t="shared" si="10"/>
        <v>10</v>
      </c>
      <c r="I78" s="2">
        <f t="shared" si="11"/>
        <v>10</v>
      </c>
      <c r="J78" s="2">
        <f t="shared" si="9"/>
        <v>10</v>
      </c>
      <c r="K78" s="2">
        <f t="shared" si="12"/>
        <v>10</v>
      </c>
      <c r="L78" s="2">
        <f t="shared" si="13"/>
        <v>10</v>
      </c>
      <c r="M78" s="2" t="str">
        <f>'Input Sheet'!E76</f>
        <v>C</v>
      </c>
      <c r="N78" s="2">
        <f t="shared" si="14"/>
        <v>4</v>
      </c>
      <c r="P78">
        <f t="shared" ref="P78:T92" si="17">IF($M78=P$1,$H78,0)</f>
        <v>0</v>
      </c>
      <c r="Q78">
        <f t="shared" si="17"/>
        <v>0</v>
      </c>
      <c r="R78">
        <f t="shared" si="17"/>
        <v>0</v>
      </c>
      <c r="S78">
        <f t="shared" si="17"/>
        <v>10</v>
      </c>
      <c r="T78">
        <f t="shared" si="17"/>
        <v>0</v>
      </c>
    </row>
    <row r="79" spans="1:20" ht="16.5" x14ac:dyDescent="0.35">
      <c r="A79" s="57" t="str">
        <f>'Long Sample Name'!A75</f>
        <v>Sample 2100m: 0% Siltstone, 100% very fine to coarse Sandstone, 90% bright FLUOR in SST. TG 410U</v>
      </c>
      <c r="B79" s="1">
        <f>'Input Sheet'!L77</f>
        <v>45208</v>
      </c>
      <c r="C79" s="7">
        <f>'Input Sheet'!M77</f>
        <v>0.53472222222222221</v>
      </c>
      <c r="D79" s="58">
        <f>'Input Sheet'!B77</f>
        <v>2100</v>
      </c>
      <c r="E79" s="8">
        <f>'Input Sheet'!I77</f>
        <v>410</v>
      </c>
      <c r="F79" s="59">
        <f>'Input Sheet'!C77/100</f>
        <v>1</v>
      </c>
      <c r="G79" s="59">
        <f>'Input Sheet'!F77/100</f>
        <v>0.9</v>
      </c>
      <c r="H79" s="2">
        <f t="shared" si="10"/>
        <v>10</v>
      </c>
      <c r="I79" s="2">
        <f t="shared" si="11"/>
        <v>10</v>
      </c>
      <c r="J79" s="2">
        <f t="shared" si="9"/>
        <v>10</v>
      </c>
      <c r="K79" s="2">
        <f t="shared" si="12"/>
        <v>10</v>
      </c>
      <c r="L79" s="2">
        <f t="shared" si="13"/>
        <v>10</v>
      </c>
      <c r="M79" s="2" t="str">
        <f>'Input Sheet'!E77</f>
        <v>C</v>
      </c>
      <c r="N79" s="2">
        <f t="shared" si="14"/>
        <v>4</v>
      </c>
      <c r="P79">
        <f t="shared" si="17"/>
        <v>0</v>
      </c>
      <c r="Q79">
        <f t="shared" si="17"/>
        <v>0</v>
      </c>
      <c r="R79">
        <f t="shared" si="17"/>
        <v>0</v>
      </c>
      <c r="S79">
        <f t="shared" si="17"/>
        <v>10</v>
      </c>
      <c r="T79">
        <f t="shared" si="17"/>
        <v>0</v>
      </c>
    </row>
    <row r="80" spans="1:20" ht="16.5" x14ac:dyDescent="0.35">
      <c r="A80" s="57" t="str">
        <f>'Long Sample Name'!A76</f>
        <v>Sample 2110m: 5% Siltstone, 95% very fine to fine Sandstone, 90% bright FLUOR in SST. TG 280U</v>
      </c>
      <c r="B80" s="1">
        <f>'Input Sheet'!L78</f>
        <v>45208</v>
      </c>
      <c r="C80" s="7">
        <f>'Input Sheet'!M78</f>
        <v>0.5625</v>
      </c>
      <c r="D80" s="58">
        <f>'Input Sheet'!B78</f>
        <v>2110</v>
      </c>
      <c r="E80" s="8">
        <f>'Input Sheet'!I78</f>
        <v>280</v>
      </c>
      <c r="F80" s="59">
        <f>'Input Sheet'!C78/100</f>
        <v>0.95</v>
      </c>
      <c r="G80" s="59">
        <f>'Input Sheet'!F78/100</f>
        <v>1</v>
      </c>
      <c r="H80" s="2">
        <f t="shared" si="10"/>
        <v>10</v>
      </c>
      <c r="I80" s="2">
        <f t="shared" si="11"/>
        <v>10</v>
      </c>
      <c r="J80" s="2">
        <f t="shared" si="9"/>
        <v>9.5</v>
      </c>
      <c r="K80" s="2">
        <f t="shared" si="12"/>
        <v>10</v>
      </c>
      <c r="L80" s="2">
        <f t="shared" si="13"/>
        <v>9.5</v>
      </c>
      <c r="M80" s="2" t="str">
        <f>'Input Sheet'!E78</f>
        <v>M</v>
      </c>
      <c r="N80" s="2">
        <f t="shared" si="14"/>
        <v>3</v>
      </c>
      <c r="P80">
        <f t="shared" si="17"/>
        <v>0</v>
      </c>
      <c r="Q80">
        <f t="shared" si="17"/>
        <v>0</v>
      </c>
      <c r="R80">
        <f t="shared" si="17"/>
        <v>10</v>
      </c>
      <c r="S80">
        <f t="shared" si="17"/>
        <v>0</v>
      </c>
      <c r="T80">
        <f t="shared" si="17"/>
        <v>0</v>
      </c>
    </row>
    <row r="81" spans="1:20" ht="16.5" x14ac:dyDescent="0.35">
      <c r="A81" s="57" t="str">
        <f>'Long Sample Name'!A77</f>
        <v>Sample 2120m: 10% Siltstone, 90% very fine to coarse Sandstone, 100% moderately bright  to  bright FLUOR in SST. TG 270U</v>
      </c>
      <c r="B81" s="1">
        <f>'Input Sheet'!L79</f>
        <v>45208</v>
      </c>
      <c r="C81" s="7">
        <f>'Input Sheet'!M79</f>
        <v>0.59027777777777779</v>
      </c>
      <c r="D81" s="58">
        <f>'Input Sheet'!B79</f>
        <v>2120</v>
      </c>
      <c r="E81" s="8">
        <f>'Input Sheet'!I79</f>
        <v>270</v>
      </c>
      <c r="F81" s="59">
        <f>'Input Sheet'!C79/100</f>
        <v>0.9</v>
      </c>
      <c r="G81" s="59">
        <f>'Input Sheet'!F79/100</f>
        <v>0.75</v>
      </c>
      <c r="H81" s="2">
        <f t="shared" si="10"/>
        <v>10</v>
      </c>
      <c r="I81" s="2">
        <f t="shared" si="11"/>
        <v>10</v>
      </c>
      <c r="J81" s="2">
        <f t="shared" si="9"/>
        <v>9</v>
      </c>
      <c r="K81" s="2">
        <f t="shared" si="12"/>
        <v>10</v>
      </c>
      <c r="L81" s="2">
        <f t="shared" si="13"/>
        <v>9</v>
      </c>
      <c r="M81" s="2" t="str">
        <f>'Input Sheet'!E79</f>
        <v>C</v>
      </c>
      <c r="N81" s="2">
        <f t="shared" si="14"/>
        <v>4</v>
      </c>
      <c r="P81">
        <f t="shared" si="17"/>
        <v>0</v>
      </c>
      <c r="Q81">
        <f t="shared" si="17"/>
        <v>0</v>
      </c>
      <c r="R81">
        <f t="shared" si="17"/>
        <v>0</v>
      </c>
      <c r="S81">
        <f t="shared" si="17"/>
        <v>10</v>
      </c>
      <c r="T81">
        <f t="shared" si="17"/>
        <v>0</v>
      </c>
    </row>
    <row r="82" spans="1:20" ht="16.5" x14ac:dyDescent="0.35">
      <c r="A82" s="57" t="str">
        <f>'Long Sample Name'!A78</f>
        <v>Sample 2130m: 5% Siltstone, 95% very fine to coarse Sandstone, 75% moderately bright  to  bright FLUOR in SST. TG 210U</v>
      </c>
      <c r="B82" s="1">
        <f>'Input Sheet'!L80</f>
        <v>45208</v>
      </c>
      <c r="C82" s="7">
        <f>'Input Sheet'!M80</f>
        <v>0.61111111111111105</v>
      </c>
      <c r="D82" s="58">
        <f>'Input Sheet'!B80</f>
        <v>2130</v>
      </c>
      <c r="E82" s="8">
        <f>'Input Sheet'!I80</f>
        <v>210</v>
      </c>
      <c r="F82" s="59">
        <f>'Input Sheet'!C80/100</f>
        <v>0.95</v>
      </c>
      <c r="G82" s="59">
        <f>'Input Sheet'!F80/100</f>
        <v>0.75</v>
      </c>
      <c r="H82" s="2">
        <f t="shared" si="10"/>
        <v>10</v>
      </c>
      <c r="I82" s="2">
        <f t="shared" si="11"/>
        <v>10</v>
      </c>
      <c r="J82" s="2">
        <f t="shared" si="9"/>
        <v>9.5</v>
      </c>
      <c r="K82" s="2">
        <f t="shared" si="12"/>
        <v>10</v>
      </c>
      <c r="L82" s="2">
        <f t="shared" si="13"/>
        <v>9.5</v>
      </c>
      <c r="M82" s="2" t="str">
        <f>'Input Sheet'!E80</f>
        <v>C</v>
      </c>
      <c r="N82" s="2">
        <f t="shared" si="14"/>
        <v>4</v>
      </c>
      <c r="P82">
        <f t="shared" si="17"/>
        <v>0</v>
      </c>
      <c r="Q82">
        <f t="shared" si="17"/>
        <v>0</v>
      </c>
      <c r="R82">
        <f t="shared" si="17"/>
        <v>0</v>
      </c>
      <c r="S82">
        <f t="shared" si="17"/>
        <v>10</v>
      </c>
      <c r="T82">
        <f t="shared" si="17"/>
        <v>0</v>
      </c>
    </row>
    <row r="83" spans="1:20" ht="16.5" x14ac:dyDescent="0.35">
      <c r="A83" s="57" t="str">
        <f>'Long Sample Name'!A79</f>
        <v>Sample 2140m: 10% Siltstone, 90% fine to coarse Sandstone, 75% moderately bright  to  bright FLUOR in SST. TG 274U</v>
      </c>
      <c r="B83" s="1">
        <f>'Input Sheet'!L81</f>
        <v>45208</v>
      </c>
      <c r="C83" s="7">
        <f>'Input Sheet'!M81</f>
        <v>0.625</v>
      </c>
      <c r="D83" s="58">
        <f>'Input Sheet'!B81</f>
        <v>2140</v>
      </c>
      <c r="E83" s="8">
        <f>'Input Sheet'!I81</f>
        <v>274</v>
      </c>
      <c r="F83" s="59">
        <f>'Input Sheet'!C81/100</f>
        <v>0.9</v>
      </c>
      <c r="G83" s="59">
        <f>'Input Sheet'!F81/100</f>
        <v>0.75</v>
      </c>
      <c r="H83" s="2">
        <f t="shared" si="10"/>
        <v>10</v>
      </c>
      <c r="I83" s="2">
        <f t="shared" si="11"/>
        <v>10</v>
      </c>
      <c r="J83" s="2">
        <f t="shared" si="9"/>
        <v>9</v>
      </c>
      <c r="K83" s="2">
        <f t="shared" si="12"/>
        <v>10</v>
      </c>
      <c r="L83" s="2">
        <f t="shared" si="13"/>
        <v>9</v>
      </c>
      <c r="M83" s="2" t="str">
        <f>'Input Sheet'!E81</f>
        <v>C</v>
      </c>
      <c r="N83" s="2">
        <f t="shared" si="14"/>
        <v>4</v>
      </c>
      <c r="P83">
        <f t="shared" si="17"/>
        <v>0</v>
      </c>
      <c r="Q83">
        <f t="shared" si="17"/>
        <v>0</v>
      </c>
      <c r="R83">
        <f t="shared" si="17"/>
        <v>0</v>
      </c>
      <c r="S83">
        <f t="shared" si="17"/>
        <v>10</v>
      </c>
      <c r="T83">
        <f t="shared" si="17"/>
        <v>0</v>
      </c>
    </row>
    <row r="84" spans="1:20" ht="16.5" x14ac:dyDescent="0.35">
      <c r="A84" s="57" t="str">
        <f>'Long Sample Name'!A80</f>
        <v>Sample 2150m: 10% Siltstone, 90% fine to coarse Sandstone, 75% moderately bright  to  bright FLUOR in SST. TG 263U</v>
      </c>
      <c r="B84" s="1">
        <f>'Input Sheet'!L82</f>
        <v>45208</v>
      </c>
      <c r="C84" s="7">
        <f>'Input Sheet'!M82</f>
        <v>0.64930555555555558</v>
      </c>
      <c r="D84" s="58">
        <f>'Input Sheet'!B82</f>
        <v>2150</v>
      </c>
      <c r="E84" s="8">
        <f>'Input Sheet'!I82</f>
        <v>263</v>
      </c>
      <c r="F84" s="59">
        <f>'Input Sheet'!C82/100</f>
        <v>0.9</v>
      </c>
      <c r="G84" s="59">
        <f>'Input Sheet'!F82/100</f>
        <v>0.85</v>
      </c>
      <c r="H84" s="2">
        <f t="shared" si="10"/>
        <v>10</v>
      </c>
      <c r="I84" s="2">
        <f t="shared" si="11"/>
        <v>10</v>
      </c>
      <c r="J84" s="2">
        <f t="shared" si="9"/>
        <v>9</v>
      </c>
      <c r="K84" s="2">
        <f t="shared" si="12"/>
        <v>10</v>
      </c>
      <c r="L84" s="2">
        <f t="shared" si="13"/>
        <v>9</v>
      </c>
      <c r="M84" s="2" t="str">
        <f>'Input Sheet'!E82</f>
        <v>C</v>
      </c>
      <c r="N84" s="2">
        <f t="shared" si="14"/>
        <v>4</v>
      </c>
      <c r="P84">
        <f t="shared" si="17"/>
        <v>0</v>
      </c>
      <c r="Q84">
        <f t="shared" si="17"/>
        <v>0</v>
      </c>
      <c r="R84">
        <f t="shared" si="17"/>
        <v>0</v>
      </c>
      <c r="S84">
        <f t="shared" si="17"/>
        <v>10</v>
      </c>
      <c r="T84">
        <f t="shared" si="17"/>
        <v>0</v>
      </c>
    </row>
    <row r="85" spans="1:20" ht="16.5" x14ac:dyDescent="0.35">
      <c r="A85" s="57" t="str">
        <f>'Long Sample Name'!A81</f>
        <v>Sample 2160m: 5% Siltstone, 95% fine to coarse Sandstone, 85% moderately bright  to  bright FLUOR in SST. TG 310U</v>
      </c>
      <c r="B85" s="1">
        <f>'Input Sheet'!L83</f>
        <v>45208</v>
      </c>
      <c r="C85" s="7">
        <f>'Input Sheet'!M83</f>
        <v>0.66319444444444442</v>
      </c>
      <c r="D85" s="58">
        <f>'Input Sheet'!B83</f>
        <v>2160</v>
      </c>
      <c r="E85" s="8">
        <f>'Input Sheet'!I83</f>
        <v>310</v>
      </c>
      <c r="F85" s="59">
        <f>'Input Sheet'!C83/100</f>
        <v>0.95</v>
      </c>
      <c r="G85" s="59">
        <f>'Input Sheet'!F83/100</f>
        <v>0.85</v>
      </c>
      <c r="H85" s="2">
        <f t="shared" si="10"/>
        <v>10</v>
      </c>
      <c r="I85" s="2">
        <f t="shared" si="11"/>
        <v>10</v>
      </c>
      <c r="J85" s="2">
        <f t="shared" si="9"/>
        <v>9.5</v>
      </c>
      <c r="K85" s="2">
        <f t="shared" si="12"/>
        <v>10</v>
      </c>
      <c r="L85" s="2">
        <f t="shared" si="13"/>
        <v>9.5</v>
      </c>
      <c r="M85" s="2" t="str">
        <f>'Input Sheet'!E83</f>
        <v>C</v>
      </c>
      <c r="N85" s="2">
        <f t="shared" si="14"/>
        <v>4</v>
      </c>
      <c r="P85">
        <f t="shared" si="17"/>
        <v>0</v>
      </c>
      <c r="Q85">
        <f t="shared" si="17"/>
        <v>0</v>
      </c>
      <c r="R85">
        <f t="shared" si="17"/>
        <v>0</v>
      </c>
      <c r="S85">
        <f t="shared" si="17"/>
        <v>10</v>
      </c>
      <c r="T85">
        <f t="shared" si="17"/>
        <v>0</v>
      </c>
    </row>
    <row r="86" spans="1:20" ht="16.5" x14ac:dyDescent="0.35">
      <c r="A86" s="57" t="str">
        <f>'Long Sample Name'!A82</f>
        <v>Sample 2170m: 0% Siltstone, 100% fine to coarse Sandstone, 85% moderately bright  to  bright FLUOR in SST. TG 283U</v>
      </c>
      <c r="B86" s="1">
        <f>'Input Sheet'!L84</f>
        <v>45208</v>
      </c>
      <c r="C86" s="7">
        <f>'Input Sheet'!M84</f>
        <v>0.69444444444444453</v>
      </c>
      <c r="D86" s="58">
        <f>'Input Sheet'!B84</f>
        <v>2170</v>
      </c>
      <c r="E86" s="8">
        <f>'Input Sheet'!I84</f>
        <v>283</v>
      </c>
      <c r="F86" s="59">
        <f>'Input Sheet'!C84/100</f>
        <v>1</v>
      </c>
      <c r="G86" s="59">
        <f>'Input Sheet'!F84/100</f>
        <v>0.8</v>
      </c>
      <c r="H86" s="2">
        <f t="shared" si="10"/>
        <v>10</v>
      </c>
      <c r="I86" s="2">
        <f t="shared" si="11"/>
        <v>10</v>
      </c>
      <c r="J86" s="2">
        <f t="shared" si="9"/>
        <v>10</v>
      </c>
      <c r="K86" s="2">
        <f t="shared" si="12"/>
        <v>10</v>
      </c>
      <c r="L86" s="2">
        <f t="shared" si="13"/>
        <v>10</v>
      </c>
      <c r="M86" s="2" t="str">
        <f>'Input Sheet'!E84</f>
        <v>C</v>
      </c>
      <c r="N86" s="2">
        <f t="shared" si="14"/>
        <v>4</v>
      </c>
      <c r="P86">
        <f t="shared" si="17"/>
        <v>0</v>
      </c>
      <c r="Q86">
        <f t="shared" si="17"/>
        <v>0</v>
      </c>
      <c r="R86">
        <f t="shared" si="17"/>
        <v>0</v>
      </c>
      <c r="S86">
        <f t="shared" si="17"/>
        <v>10</v>
      </c>
      <c r="T86">
        <f t="shared" si="17"/>
        <v>0</v>
      </c>
    </row>
    <row r="87" spans="1:20" ht="16.5" x14ac:dyDescent="0.35">
      <c r="A87" s="57" t="str">
        <f>'Long Sample Name'!A83</f>
        <v>Sample 2180m: 0% Siltstone, 100% fine to medium Sandstone, 80% moderately bright  to  bright FLUOR in SST. TG 408U</v>
      </c>
      <c r="B87" s="1">
        <f>'Input Sheet'!L85</f>
        <v>45208</v>
      </c>
      <c r="C87" s="7">
        <f>'Input Sheet'!M85</f>
        <v>0.71527777777777779</v>
      </c>
      <c r="D87" s="58">
        <f>'Input Sheet'!B85</f>
        <v>2180</v>
      </c>
      <c r="E87" s="8">
        <f>'Input Sheet'!I85</f>
        <v>408</v>
      </c>
      <c r="F87" s="59">
        <f>'Input Sheet'!C85/100</f>
        <v>1</v>
      </c>
      <c r="G87" s="59">
        <f>'Input Sheet'!F85/100</f>
        <v>0.9</v>
      </c>
      <c r="H87" s="2">
        <f t="shared" si="10"/>
        <v>10</v>
      </c>
      <c r="I87" s="2">
        <f t="shared" si="11"/>
        <v>10</v>
      </c>
      <c r="J87" s="2">
        <f t="shared" si="9"/>
        <v>10</v>
      </c>
      <c r="K87" s="2">
        <f t="shared" si="12"/>
        <v>10</v>
      </c>
      <c r="L87" s="2">
        <f t="shared" si="13"/>
        <v>10</v>
      </c>
      <c r="M87" s="2" t="str">
        <f>'Input Sheet'!E85</f>
        <v>C</v>
      </c>
      <c r="N87" s="2">
        <f t="shared" si="14"/>
        <v>4</v>
      </c>
      <c r="P87">
        <f t="shared" si="17"/>
        <v>0</v>
      </c>
      <c r="Q87">
        <f t="shared" si="17"/>
        <v>0</v>
      </c>
      <c r="R87">
        <f t="shared" si="17"/>
        <v>0</v>
      </c>
      <c r="S87">
        <f t="shared" si="17"/>
        <v>10</v>
      </c>
      <c r="T87">
        <f t="shared" si="17"/>
        <v>0</v>
      </c>
    </row>
    <row r="88" spans="1:20" ht="16.5" x14ac:dyDescent="0.35">
      <c r="A88" s="57" t="str">
        <f>'Long Sample Name'!A84</f>
        <v>Sample 2190m: 0% Siltstone, 100% very fine to medium Sandstone, 90% bright FLUOR in SST. TG 285U</v>
      </c>
      <c r="B88" s="1">
        <f>'Input Sheet'!L86</f>
        <v>45208</v>
      </c>
      <c r="C88" s="7">
        <f>'Input Sheet'!M86</f>
        <v>0.73958333333333337</v>
      </c>
      <c r="D88" s="58">
        <f>'Input Sheet'!B86</f>
        <v>2190</v>
      </c>
      <c r="E88" s="8">
        <f>'Input Sheet'!I86</f>
        <v>285</v>
      </c>
      <c r="F88" s="59">
        <f>'Input Sheet'!C86/100</f>
        <v>1</v>
      </c>
      <c r="G88" s="59">
        <f>'Input Sheet'!F86/100</f>
        <v>1</v>
      </c>
      <c r="H88" s="2">
        <f t="shared" si="10"/>
        <v>10</v>
      </c>
      <c r="I88" s="2">
        <f t="shared" si="11"/>
        <v>10</v>
      </c>
      <c r="J88" s="2">
        <f t="shared" si="9"/>
        <v>10</v>
      </c>
      <c r="K88" s="2">
        <f t="shared" si="12"/>
        <v>10</v>
      </c>
      <c r="L88" s="2">
        <f t="shared" si="13"/>
        <v>10</v>
      </c>
      <c r="M88" s="2" t="str">
        <f>'Input Sheet'!E86</f>
        <v>M</v>
      </c>
      <c r="N88" s="2">
        <f t="shared" si="14"/>
        <v>3</v>
      </c>
      <c r="P88">
        <f t="shared" si="17"/>
        <v>0</v>
      </c>
      <c r="Q88">
        <f t="shared" si="17"/>
        <v>0</v>
      </c>
      <c r="R88">
        <f t="shared" si="17"/>
        <v>10</v>
      </c>
      <c r="S88">
        <f t="shared" si="17"/>
        <v>0</v>
      </c>
      <c r="T88">
        <f t="shared" si="17"/>
        <v>0</v>
      </c>
    </row>
    <row r="89" spans="1:20" ht="16.5" x14ac:dyDescent="0.35">
      <c r="A89" s="57" t="str">
        <f>'Long Sample Name'!A85</f>
        <v>Sample 2200m: 0% Siltstone, 100% fine to coarse Sandstone, 100% moderately bright  to  bright FLUOR in SST. TG 270U</v>
      </c>
      <c r="B89" s="1">
        <f>'Input Sheet'!L87</f>
        <v>45208</v>
      </c>
      <c r="C89" s="7">
        <f>'Input Sheet'!M87</f>
        <v>0.76736111111111116</v>
      </c>
      <c r="D89" s="58">
        <f>'Input Sheet'!B87</f>
        <v>2200</v>
      </c>
      <c r="E89" s="8">
        <f>'Input Sheet'!I87</f>
        <v>270</v>
      </c>
      <c r="F89" s="59">
        <f>'Input Sheet'!C87/100</f>
        <v>1</v>
      </c>
      <c r="G89" s="59">
        <f>'Input Sheet'!F87/100</f>
        <v>1</v>
      </c>
      <c r="H89" s="2">
        <f t="shared" si="10"/>
        <v>10</v>
      </c>
      <c r="I89" s="2">
        <f t="shared" si="11"/>
        <v>10</v>
      </c>
      <c r="J89" s="2">
        <f t="shared" si="9"/>
        <v>10</v>
      </c>
      <c r="K89" s="2">
        <f t="shared" si="12"/>
        <v>10</v>
      </c>
      <c r="L89" s="2">
        <f t="shared" si="13"/>
        <v>10</v>
      </c>
      <c r="M89" s="2" t="str">
        <f>'Input Sheet'!E87</f>
        <v>C</v>
      </c>
      <c r="N89" s="2">
        <f t="shared" si="14"/>
        <v>4</v>
      </c>
      <c r="P89">
        <f t="shared" si="17"/>
        <v>0</v>
      </c>
      <c r="Q89">
        <f t="shared" si="17"/>
        <v>0</v>
      </c>
      <c r="R89">
        <f t="shared" si="17"/>
        <v>0</v>
      </c>
      <c r="S89">
        <f t="shared" si="17"/>
        <v>10</v>
      </c>
      <c r="T89">
        <f t="shared" si="17"/>
        <v>0</v>
      </c>
    </row>
    <row r="90" spans="1:20" ht="16.5" x14ac:dyDescent="0.35">
      <c r="A90" s="57" t="str">
        <f>'Long Sample Name'!A86</f>
        <v>Sample 2210m: 0% Siltstone, 100% fine to medium Sandstone, 100% bright FLUOR in SST. TG 290U</v>
      </c>
      <c r="B90" s="1">
        <f>'Input Sheet'!L88</f>
        <v>45208</v>
      </c>
      <c r="C90" s="7">
        <f>'Input Sheet'!M88</f>
        <v>0.78472222222222221</v>
      </c>
      <c r="D90" s="58">
        <f>'Input Sheet'!B88</f>
        <v>2210</v>
      </c>
      <c r="E90" s="8">
        <f>'Input Sheet'!I88</f>
        <v>290</v>
      </c>
      <c r="F90" s="59">
        <f>'Input Sheet'!C88/100</f>
        <v>1</v>
      </c>
      <c r="G90" s="59">
        <f>'Input Sheet'!F88/100</f>
        <v>1</v>
      </c>
      <c r="H90" s="2">
        <f t="shared" si="10"/>
        <v>10</v>
      </c>
      <c r="I90" s="2">
        <f t="shared" si="11"/>
        <v>10</v>
      </c>
      <c r="J90" s="2">
        <f t="shared" si="9"/>
        <v>10</v>
      </c>
      <c r="K90" s="2">
        <f t="shared" si="12"/>
        <v>10</v>
      </c>
      <c r="L90" s="2">
        <f t="shared" si="13"/>
        <v>10</v>
      </c>
      <c r="M90" s="2" t="str">
        <f>'Input Sheet'!E88</f>
        <v>M</v>
      </c>
      <c r="N90" s="2">
        <f t="shared" si="14"/>
        <v>3</v>
      </c>
      <c r="P90">
        <f t="shared" si="17"/>
        <v>0</v>
      </c>
      <c r="Q90">
        <f t="shared" si="17"/>
        <v>0</v>
      </c>
      <c r="R90">
        <f t="shared" si="17"/>
        <v>10</v>
      </c>
      <c r="S90">
        <f t="shared" si="17"/>
        <v>0</v>
      </c>
      <c r="T90">
        <f t="shared" si="17"/>
        <v>0</v>
      </c>
    </row>
    <row r="91" spans="1:20" ht="16.5" x14ac:dyDescent="0.35">
      <c r="A91" s="57" t="str">
        <f>'Long Sample Name'!A87</f>
        <v>Sample 2220m: 0% Siltstone, 100% fine to coarse Sandstone, 100% bright FLUOR in SST. TG 237U</v>
      </c>
      <c r="B91" s="1">
        <f>'Input Sheet'!L89</f>
        <v>45208</v>
      </c>
      <c r="C91" s="7">
        <f>'Input Sheet'!M89</f>
        <v>0.8125</v>
      </c>
      <c r="D91" s="58">
        <f>'Input Sheet'!B89</f>
        <v>2220</v>
      </c>
      <c r="E91" s="8">
        <f>'Input Sheet'!I89</f>
        <v>237</v>
      </c>
      <c r="F91" s="59">
        <f>'Input Sheet'!C89/100</f>
        <v>1</v>
      </c>
      <c r="G91" s="59">
        <f>'Input Sheet'!F89/100</f>
        <v>1</v>
      </c>
      <c r="H91" s="2">
        <f t="shared" si="10"/>
        <v>10</v>
      </c>
      <c r="I91" s="2">
        <f t="shared" si="11"/>
        <v>10</v>
      </c>
      <c r="J91" s="2">
        <f t="shared" si="9"/>
        <v>10</v>
      </c>
      <c r="K91" s="2">
        <f t="shared" si="12"/>
        <v>10</v>
      </c>
      <c r="L91" s="2">
        <f t="shared" si="13"/>
        <v>10</v>
      </c>
      <c r="M91" s="2" t="str">
        <f>'Input Sheet'!E89</f>
        <v>C</v>
      </c>
      <c r="N91" s="2">
        <f t="shared" si="14"/>
        <v>4</v>
      </c>
      <c r="P91">
        <f t="shared" si="17"/>
        <v>0</v>
      </c>
      <c r="Q91">
        <f t="shared" si="17"/>
        <v>0</v>
      </c>
      <c r="R91">
        <f t="shared" si="17"/>
        <v>0</v>
      </c>
      <c r="S91">
        <f t="shared" si="17"/>
        <v>10</v>
      </c>
      <c r="T91">
        <f t="shared" si="17"/>
        <v>0</v>
      </c>
    </row>
    <row r="92" spans="1:20" ht="16.5" x14ac:dyDescent="0.35">
      <c r="A92" s="57" t="str">
        <f>'Long Sample Name'!A88</f>
        <v>Sample 2230m: 0% Siltstone, 100% fine to coarse Sandstone, 100% bright FLUOR in SST. TG 260U</v>
      </c>
      <c r="B92" s="1">
        <f>'Input Sheet'!L90</f>
        <v>45208</v>
      </c>
      <c r="C92" s="7">
        <f>'Input Sheet'!M90</f>
        <v>0.82986111111111116</v>
      </c>
      <c r="D92" s="58">
        <f>'Input Sheet'!B90</f>
        <v>2230</v>
      </c>
      <c r="E92" s="8">
        <f>'Input Sheet'!I90</f>
        <v>260</v>
      </c>
      <c r="F92" s="59">
        <f>'Input Sheet'!C90/100</f>
        <v>1</v>
      </c>
      <c r="G92" s="59">
        <f>'Input Sheet'!F90/100</f>
        <v>1</v>
      </c>
      <c r="H92" s="2">
        <f t="shared" si="10"/>
        <v>10</v>
      </c>
      <c r="I92" s="2">
        <f t="shared" si="11"/>
        <v>10</v>
      </c>
      <c r="J92" s="2">
        <f t="shared" si="9"/>
        <v>10</v>
      </c>
      <c r="K92" s="2">
        <f t="shared" si="12"/>
        <v>10</v>
      </c>
      <c r="L92" s="2">
        <f t="shared" si="13"/>
        <v>10</v>
      </c>
      <c r="M92" s="2" t="str">
        <f>'Input Sheet'!E90</f>
        <v>C</v>
      </c>
      <c r="N92" s="2">
        <f t="shared" si="14"/>
        <v>4</v>
      </c>
      <c r="P92">
        <f t="shared" si="17"/>
        <v>0</v>
      </c>
      <c r="Q92">
        <f t="shared" si="17"/>
        <v>0</v>
      </c>
      <c r="R92">
        <f t="shared" si="17"/>
        <v>0</v>
      </c>
      <c r="S92">
        <f t="shared" si="17"/>
        <v>10</v>
      </c>
      <c r="T92">
        <f t="shared" si="17"/>
        <v>0</v>
      </c>
    </row>
    <row r="93" spans="1:20" ht="16.5" x14ac:dyDescent="0.35">
      <c r="A93" s="57" t="str">
        <f>'Long Sample Name'!A89</f>
        <v>Sample 2240m: 0% Siltstone, 100% fine to medium Sandstone, 100% bright FLUOR in SST. TG 278U</v>
      </c>
      <c r="B93" s="1">
        <f>'Input Sheet'!L91</f>
        <v>45208</v>
      </c>
      <c r="C93" s="7">
        <f>'Input Sheet'!M91</f>
        <v>0.85069444444444453</v>
      </c>
      <c r="D93" s="58">
        <f>'Input Sheet'!B91</f>
        <v>2240</v>
      </c>
      <c r="E93" s="8">
        <f>'Input Sheet'!I91</f>
        <v>278</v>
      </c>
      <c r="F93" s="59">
        <f>'Input Sheet'!C91/100</f>
        <v>1</v>
      </c>
      <c r="G93" s="59">
        <f>'Input Sheet'!F91/100</f>
        <v>1</v>
      </c>
      <c r="H93" s="2">
        <f t="shared" ref="H93:H124" si="18">IF(D93&lt;&gt;"",D93-D92,"")</f>
        <v>10</v>
      </c>
      <c r="I93" s="2">
        <f t="shared" ref="I93:I124" si="19">IF(AND(F93&gt;=$F$2,G93&gt;=$G$2),H93,0)</f>
        <v>10</v>
      </c>
      <c r="J93" s="2">
        <f t="shared" ref="J93:J124" si="20">IF(I93&gt;0,I93*F93,0)</f>
        <v>10</v>
      </c>
      <c r="K93" s="2">
        <f t="shared" ref="K93:K124" si="21">IF(AND(F93&gt;=$F$3,G93&gt;=$G$3),H93,0)</f>
        <v>10</v>
      </c>
      <c r="L93" s="2">
        <f t="shared" ref="L93:L124" si="22">IF(K93&gt;0,K93*F93,0)</f>
        <v>10</v>
      </c>
      <c r="M93" s="2" t="str">
        <f>'Input Sheet'!E91</f>
        <v>M</v>
      </c>
      <c r="N93" s="2">
        <f t="shared" ref="N93:N124" si="23">IF(M93="VF",1,IF(M93="F",2,IF(M93="M",3,IF(M93="C",4,IF(M93="VC",5,0)))))</f>
        <v>3</v>
      </c>
      <c r="P93">
        <f t="shared" ref="P93:T102" si="24">IF($M93=P$1,$H93,0)</f>
        <v>0</v>
      </c>
      <c r="Q93">
        <f t="shared" si="24"/>
        <v>0</v>
      </c>
      <c r="R93">
        <f t="shared" si="24"/>
        <v>10</v>
      </c>
      <c r="S93">
        <f t="shared" si="24"/>
        <v>0</v>
      </c>
      <c r="T93">
        <f t="shared" si="24"/>
        <v>0</v>
      </c>
    </row>
    <row r="94" spans="1:20" ht="16.5" x14ac:dyDescent="0.35">
      <c r="A94" s="57" t="str">
        <f>'Long Sample Name'!A90</f>
        <v>Sample 2250m: 5% Siltstone, 95% fine to medium Sandstone, 100% bright FLUOR in SST. TG 252U</v>
      </c>
      <c r="B94" s="1">
        <f>'Input Sheet'!L92</f>
        <v>45208</v>
      </c>
      <c r="C94" s="7">
        <f>'Input Sheet'!M92</f>
        <v>0.86597222222222225</v>
      </c>
      <c r="D94" s="58">
        <f>'Input Sheet'!B92</f>
        <v>2250</v>
      </c>
      <c r="E94" s="8">
        <f>'Input Sheet'!I92</f>
        <v>252</v>
      </c>
      <c r="F94" s="59">
        <f>'Input Sheet'!C92/100</f>
        <v>0.95</v>
      </c>
      <c r="G94" s="59">
        <f>'Input Sheet'!F92/100</f>
        <v>1</v>
      </c>
      <c r="H94" s="2">
        <f t="shared" si="18"/>
        <v>10</v>
      </c>
      <c r="I94" s="2">
        <f t="shared" si="19"/>
        <v>10</v>
      </c>
      <c r="J94" s="2">
        <f t="shared" si="20"/>
        <v>9.5</v>
      </c>
      <c r="K94" s="2">
        <f t="shared" si="21"/>
        <v>10</v>
      </c>
      <c r="L94" s="2">
        <f t="shared" si="22"/>
        <v>9.5</v>
      </c>
      <c r="M94" s="2" t="str">
        <f>'Input Sheet'!E92</f>
        <v>M</v>
      </c>
      <c r="N94" s="2">
        <f t="shared" si="23"/>
        <v>3</v>
      </c>
      <c r="P94">
        <f t="shared" si="24"/>
        <v>0</v>
      </c>
      <c r="Q94">
        <f t="shared" si="24"/>
        <v>0</v>
      </c>
      <c r="R94">
        <f t="shared" si="24"/>
        <v>10</v>
      </c>
      <c r="S94">
        <f t="shared" si="24"/>
        <v>0</v>
      </c>
      <c r="T94">
        <f t="shared" si="24"/>
        <v>0</v>
      </c>
    </row>
    <row r="95" spans="1:20" ht="16.5" x14ac:dyDescent="0.35">
      <c r="A95" s="57" t="str">
        <f>'Long Sample Name'!A91</f>
        <v>Sample 2260m: 10% Siltstone, 90% fine to medium Sandstone, 100% moderately bright  to  bright FLUOR in SST. TG 152U</v>
      </c>
      <c r="B95" s="1">
        <f>'Input Sheet'!L93</f>
        <v>45208</v>
      </c>
      <c r="C95" s="7">
        <f>'Input Sheet'!M93</f>
        <v>0.88888888888888884</v>
      </c>
      <c r="D95" s="58">
        <f>'Input Sheet'!B93</f>
        <v>2260</v>
      </c>
      <c r="E95" s="8">
        <f>'Input Sheet'!I93</f>
        <v>152</v>
      </c>
      <c r="F95" s="59">
        <f>'Input Sheet'!C93/100</f>
        <v>0.9</v>
      </c>
      <c r="G95" s="59">
        <f>'Input Sheet'!F93/100</f>
        <v>1</v>
      </c>
      <c r="H95" s="2">
        <f t="shared" si="18"/>
        <v>10</v>
      </c>
      <c r="I95" s="2">
        <f t="shared" si="19"/>
        <v>10</v>
      </c>
      <c r="J95" s="2">
        <f t="shared" si="20"/>
        <v>9</v>
      </c>
      <c r="K95" s="2">
        <f t="shared" si="21"/>
        <v>10</v>
      </c>
      <c r="L95" s="2">
        <f t="shared" si="22"/>
        <v>9</v>
      </c>
      <c r="M95" s="2" t="str">
        <f>'Input Sheet'!E93</f>
        <v>M</v>
      </c>
      <c r="N95" s="2">
        <f t="shared" si="23"/>
        <v>3</v>
      </c>
      <c r="P95">
        <f t="shared" si="24"/>
        <v>0</v>
      </c>
      <c r="Q95">
        <f t="shared" si="24"/>
        <v>0</v>
      </c>
      <c r="R95">
        <f t="shared" si="24"/>
        <v>10</v>
      </c>
      <c r="S95">
        <f t="shared" si="24"/>
        <v>0</v>
      </c>
      <c r="T95">
        <f t="shared" si="24"/>
        <v>0</v>
      </c>
    </row>
    <row r="96" spans="1:20" ht="16.5" x14ac:dyDescent="0.35">
      <c r="A96" s="57" t="str">
        <f>'Long Sample Name'!A92</f>
        <v>Sample 2270m: 60% Siltstone, 40% very fine to medium Sandstone, 100% moderately bright FLUOR in SST. TG 153U</v>
      </c>
      <c r="B96" s="1">
        <f>'Input Sheet'!L94</f>
        <v>45208</v>
      </c>
      <c r="C96" s="7">
        <f>'Input Sheet'!M94</f>
        <v>0.90972222222222221</v>
      </c>
      <c r="D96" s="58">
        <f>'Input Sheet'!B94</f>
        <v>2270</v>
      </c>
      <c r="E96" s="8">
        <f>'Input Sheet'!I94</f>
        <v>153</v>
      </c>
      <c r="F96" s="59">
        <f>'Input Sheet'!C94/100</f>
        <v>0.4</v>
      </c>
      <c r="G96" s="59">
        <f>'Input Sheet'!F94/100</f>
        <v>0.6</v>
      </c>
      <c r="H96" s="2">
        <f t="shared" si="18"/>
        <v>10</v>
      </c>
      <c r="I96" s="2">
        <f t="shared" si="19"/>
        <v>10</v>
      </c>
      <c r="J96" s="2">
        <f t="shared" si="20"/>
        <v>4</v>
      </c>
      <c r="K96" s="2">
        <f t="shared" si="21"/>
        <v>0</v>
      </c>
      <c r="L96" s="2">
        <f t="shared" si="22"/>
        <v>0</v>
      </c>
      <c r="M96" s="2" t="str">
        <f>'Input Sheet'!E94</f>
        <v>M</v>
      </c>
      <c r="N96" s="2">
        <f t="shared" si="23"/>
        <v>3</v>
      </c>
      <c r="P96">
        <f t="shared" si="24"/>
        <v>0</v>
      </c>
      <c r="Q96">
        <f t="shared" si="24"/>
        <v>0</v>
      </c>
      <c r="R96">
        <f t="shared" si="24"/>
        <v>10</v>
      </c>
      <c r="S96">
        <f t="shared" si="24"/>
        <v>0</v>
      </c>
      <c r="T96">
        <f t="shared" si="24"/>
        <v>0</v>
      </c>
    </row>
    <row r="97" spans="1:20" ht="16.5" x14ac:dyDescent="0.35">
      <c r="A97" s="57" t="str">
        <f>'Long Sample Name'!A93</f>
        <v>Sample 2280m: 70% Siltstone, 30% very fine to fine Sandstone, 60% dull  to  moderately bright FLUOR in SST. TG 130U</v>
      </c>
      <c r="B97" s="1">
        <f>'Input Sheet'!L95</f>
        <v>45208</v>
      </c>
      <c r="C97" s="7">
        <f>'Input Sheet'!M95</f>
        <v>0.93888888888888899</v>
      </c>
      <c r="D97" s="58">
        <f>'Input Sheet'!B95</f>
        <v>2280</v>
      </c>
      <c r="E97" s="8">
        <f>'Input Sheet'!I95</f>
        <v>130</v>
      </c>
      <c r="F97" s="59">
        <f>'Input Sheet'!C95/100</f>
        <v>0.3</v>
      </c>
      <c r="G97" s="59">
        <f>'Input Sheet'!F95/100</f>
        <v>0.4</v>
      </c>
      <c r="H97" s="2">
        <f t="shared" si="18"/>
        <v>10</v>
      </c>
      <c r="I97" s="2">
        <f t="shared" si="19"/>
        <v>10</v>
      </c>
      <c r="J97" s="2">
        <f t="shared" si="20"/>
        <v>3</v>
      </c>
      <c r="K97" s="2">
        <f t="shared" si="21"/>
        <v>0</v>
      </c>
      <c r="L97" s="2">
        <f t="shared" si="22"/>
        <v>0</v>
      </c>
      <c r="M97" s="2" t="str">
        <f>'Input Sheet'!E95</f>
        <v>F</v>
      </c>
      <c r="N97" s="2">
        <f t="shared" si="23"/>
        <v>2</v>
      </c>
      <c r="P97">
        <f t="shared" si="24"/>
        <v>0</v>
      </c>
      <c r="Q97">
        <f t="shared" si="24"/>
        <v>10</v>
      </c>
      <c r="R97">
        <f t="shared" si="24"/>
        <v>0</v>
      </c>
      <c r="S97">
        <f t="shared" si="24"/>
        <v>0</v>
      </c>
      <c r="T97">
        <f t="shared" si="24"/>
        <v>0</v>
      </c>
    </row>
    <row r="98" spans="1:20" ht="16.5" x14ac:dyDescent="0.35">
      <c r="A98" s="57" t="str">
        <f>'Long Sample Name'!A94</f>
        <v>Sample 2290m: 90% Siltstone, 10% very fine to fine Sandstone, 40% dull FLUOR in SST. TG 115U</v>
      </c>
      <c r="B98" s="1">
        <f>'Input Sheet'!L96</f>
        <v>45208</v>
      </c>
      <c r="C98" s="7">
        <f>'Input Sheet'!M96</f>
        <v>0.96111111111111114</v>
      </c>
      <c r="D98" s="58">
        <f>'Input Sheet'!B96</f>
        <v>2290</v>
      </c>
      <c r="E98" s="8">
        <f>'Input Sheet'!I96</f>
        <v>115</v>
      </c>
      <c r="F98" s="59">
        <f>'Input Sheet'!C96/100</f>
        <v>0.1</v>
      </c>
      <c r="G98" s="59">
        <f>'Input Sheet'!F96/100</f>
        <v>0</v>
      </c>
      <c r="H98" s="2">
        <f t="shared" si="18"/>
        <v>10</v>
      </c>
      <c r="I98" s="2">
        <f t="shared" si="19"/>
        <v>10</v>
      </c>
      <c r="J98" s="2">
        <f t="shared" si="20"/>
        <v>1</v>
      </c>
      <c r="K98" s="2">
        <f t="shared" si="21"/>
        <v>0</v>
      </c>
      <c r="L98" s="2">
        <f t="shared" si="22"/>
        <v>0</v>
      </c>
      <c r="M98" s="2" t="str">
        <f>'Input Sheet'!E96</f>
        <v>F</v>
      </c>
      <c r="N98" s="2">
        <f t="shared" si="23"/>
        <v>2</v>
      </c>
      <c r="P98">
        <f t="shared" si="24"/>
        <v>0</v>
      </c>
      <c r="Q98">
        <f t="shared" si="24"/>
        <v>10</v>
      </c>
      <c r="R98">
        <f t="shared" si="24"/>
        <v>0</v>
      </c>
      <c r="S98">
        <f t="shared" si="24"/>
        <v>0</v>
      </c>
      <c r="T98">
        <f t="shared" si="24"/>
        <v>0</v>
      </c>
    </row>
    <row r="99" spans="1:20" ht="16.5" x14ac:dyDescent="0.35">
      <c r="A99" s="57" t="str">
        <f>'Long Sample Name'!A95</f>
        <v>Sample 2300m: 80% Siltstone, 20% very fine Sandstone, NOdull FLUOR in SST. TG 127U</v>
      </c>
      <c r="B99" s="1">
        <f>'Input Sheet'!L97</f>
        <v>45208</v>
      </c>
      <c r="C99" s="7">
        <f>'Input Sheet'!M97</f>
        <v>0.98402777777777783</v>
      </c>
      <c r="D99" s="58">
        <f>'Input Sheet'!B97</f>
        <v>2300</v>
      </c>
      <c r="E99" s="8">
        <f>'Input Sheet'!I97</f>
        <v>127</v>
      </c>
      <c r="F99" s="59">
        <f>'Input Sheet'!C97/100</f>
        <v>0.2</v>
      </c>
      <c r="G99" s="59">
        <f>'Input Sheet'!F97/100</f>
        <v>0</v>
      </c>
      <c r="H99" s="2">
        <f t="shared" si="18"/>
        <v>10</v>
      </c>
      <c r="I99" s="2">
        <f t="shared" si="19"/>
        <v>10</v>
      </c>
      <c r="J99" s="2">
        <f t="shared" si="20"/>
        <v>2</v>
      </c>
      <c r="K99" s="2">
        <f t="shared" si="21"/>
        <v>0</v>
      </c>
      <c r="L99" s="2">
        <f t="shared" si="22"/>
        <v>0</v>
      </c>
      <c r="M99" s="2" t="str">
        <f>'Input Sheet'!E97</f>
        <v>VF</v>
      </c>
      <c r="N99" s="2">
        <f t="shared" si="23"/>
        <v>1</v>
      </c>
      <c r="P99">
        <f t="shared" si="24"/>
        <v>10</v>
      </c>
      <c r="Q99">
        <f t="shared" si="24"/>
        <v>0</v>
      </c>
      <c r="R99">
        <f t="shared" si="24"/>
        <v>0</v>
      </c>
      <c r="S99">
        <f t="shared" si="24"/>
        <v>0</v>
      </c>
      <c r="T99">
        <f t="shared" si="24"/>
        <v>0</v>
      </c>
    </row>
    <row r="100" spans="1:20" ht="16.5" x14ac:dyDescent="0.35">
      <c r="A100" s="57" t="str">
        <f>'Long Sample Name'!A96</f>
        <v>Sample 2310m: 20% Siltstone, 80% very fine to fine Sandstone, NOdull  to  moderately bright FLUOR in SST. TG 233U</v>
      </c>
      <c r="B100" s="1">
        <f>'Input Sheet'!L98</f>
        <v>45209</v>
      </c>
      <c r="C100" s="7">
        <f>'Input Sheet'!M98</f>
        <v>3.472222222222222E-3</v>
      </c>
      <c r="D100" s="58">
        <f>'Input Sheet'!B98</f>
        <v>2310</v>
      </c>
      <c r="E100" s="8">
        <f>'Input Sheet'!I98</f>
        <v>233</v>
      </c>
      <c r="F100" s="59">
        <f>'Input Sheet'!C98/100</f>
        <v>0.8</v>
      </c>
      <c r="G100" s="59">
        <f>'Input Sheet'!F98/100</f>
        <v>0.3</v>
      </c>
      <c r="H100" s="2">
        <f t="shared" si="18"/>
        <v>10</v>
      </c>
      <c r="I100" s="2">
        <f t="shared" si="19"/>
        <v>10</v>
      </c>
      <c r="J100" s="2">
        <f t="shared" si="20"/>
        <v>8</v>
      </c>
      <c r="K100" s="2">
        <f t="shared" si="21"/>
        <v>0</v>
      </c>
      <c r="L100" s="2">
        <f t="shared" si="22"/>
        <v>0</v>
      </c>
      <c r="M100" s="2" t="str">
        <f>'Input Sheet'!E98</f>
        <v>F</v>
      </c>
      <c r="N100" s="2">
        <f t="shared" si="23"/>
        <v>2</v>
      </c>
      <c r="P100">
        <f t="shared" si="24"/>
        <v>0</v>
      </c>
      <c r="Q100">
        <f t="shared" si="24"/>
        <v>10</v>
      </c>
      <c r="R100">
        <f t="shared" si="24"/>
        <v>0</v>
      </c>
      <c r="S100">
        <f t="shared" si="24"/>
        <v>0</v>
      </c>
      <c r="T100">
        <f t="shared" si="24"/>
        <v>0</v>
      </c>
    </row>
    <row r="101" spans="1:20" ht="16.5" x14ac:dyDescent="0.35">
      <c r="A101" s="57" t="str">
        <f>'Long Sample Name'!A97</f>
        <v>Sample 2320m: 20% Siltstone, 80% fine to medium Sandstone, 30% moderately bright FLUOR in SST. TG 366U</v>
      </c>
      <c r="B101" s="1">
        <f>'Input Sheet'!L99</f>
        <v>45209</v>
      </c>
      <c r="C101" s="7">
        <f>'Input Sheet'!M99</f>
        <v>2.0833333333333332E-2</v>
      </c>
      <c r="D101" s="58">
        <f>'Input Sheet'!B99</f>
        <v>2320</v>
      </c>
      <c r="E101" s="8">
        <f>'Input Sheet'!I99</f>
        <v>366</v>
      </c>
      <c r="F101" s="59">
        <f>'Input Sheet'!C99/100</f>
        <v>0.8</v>
      </c>
      <c r="G101" s="59">
        <f>'Input Sheet'!F99/100</f>
        <v>0.6</v>
      </c>
      <c r="H101" s="2">
        <f t="shared" si="18"/>
        <v>10</v>
      </c>
      <c r="I101" s="2">
        <f t="shared" si="19"/>
        <v>10</v>
      </c>
      <c r="J101" s="2">
        <f t="shared" si="20"/>
        <v>8</v>
      </c>
      <c r="K101" s="2">
        <f t="shared" si="21"/>
        <v>0</v>
      </c>
      <c r="L101" s="2">
        <f t="shared" si="22"/>
        <v>0</v>
      </c>
      <c r="M101" s="2" t="str">
        <f>'Input Sheet'!E99</f>
        <v>M</v>
      </c>
      <c r="N101" s="2">
        <f t="shared" si="23"/>
        <v>3</v>
      </c>
      <c r="P101">
        <f t="shared" si="24"/>
        <v>0</v>
      </c>
      <c r="Q101">
        <f t="shared" si="24"/>
        <v>0</v>
      </c>
      <c r="R101">
        <f t="shared" si="24"/>
        <v>10</v>
      </c>
      <c r="S101">
        <f t="shared" si="24"/>
        <v>0</v>
      </c>
      <c r="T101">
        <f t="shared" si="24"/>
        <v>0</v>
      </c>
    </row>
    <row r="102" spans="1:20" ht="16.5" x14ac:dyDescent="0.35">
      <c r="A102" s="57" t="str">
        <f>'Long Sample Name'!A98</f>
        <v>Sample 2330m: 0% Siltstone, 100% fine to medium Sandstone, 60% moderately bright  to  bright FLUOR in SST. TG 292U</v>
      </c>
      <c r="B102" s="1">
        <f>'Input Sheet'!L100</f>
        <v>45209</v>
      </c>
      <c r="C102" s="7">
        <f>'Input Sheet'!M100</f>
        <v>3.4722222222222224E-2</v>
      </c>
      <c r="D102" s="58">
        <f>'Input Sheet'!B100</f>
        <v>2330</v>
      </c>
      <c r="E102" s="8">
        <f>'Input Sheet'!I100</f>
        <v>292</v>
      </c>
      <c r="F102" s="59">
        <f>'Input Sheet'!C100/100</f>
        <v>1</v>
      </c>
      <c r="G102" s="59">
        <f>'Input Sheet'!F100/100</f>
        <v>1</v>
      </c>
      <c r="H102" s="2">
        <f t="shared" si="18"/>
        <v>10</v>
      </c>
      <c r="I102" s="2">
        <f t="shared" si="19"/>
        <v>10</v>
      </c>
      <c r="J102" s="2">
        <f t="shared" si="20"/>
        <v>10</v>
      </c>
      <c r="K102" s="2">
        <f t="shared" si="21"/>
        <v>10</v>
      </c>
      <c r="L102" s="2">
        <f t="shared" si="22"/>
        <v>10</v>
      </c>
      <c r="M102" s="2" t="str">
        <f>'Input Sheet'!E100</f>
        <v>M</v>
      </c>
      <c r="N102" s="2">
        <f t="shared" si="23"/>
        <v>3</v>
      </c>
      <c r="P102">
        <f t="shared" si="24"/>
        <v>0</v>
      </c>
      <c r="Q102">
        <f t="shared" si="24"/>
        <v>0</v>
      </c>
      <c r="R102">
        <f t="shared" si="24"/>
        <v>10</v>
      </c>
      <c r="S102">
        <f t="shared" si="24"/>
        <v>0</v>
      </c>
      <c r="T102">
        <f t="shared" si="24"/>
        <v>0</v>
      </c>
    </row>
    <row r="103" spans="1:20" ht="16.5" x14ac:dyDescent="0.35">
      <c r="A103" s="57" t="str">
        <f>'Long Sample Name'!A99</f>
        <v>Sample 2340m: 0% Siltstone, 100% fine to medium Sandstone, 100% moderately bright  to  bright FLUOR in SST. TG 333U</v>
      </c>
      <c r="B103" s="1">
        <f>'Input Sheet'!L101</f>
        <v>45209</v>
      </c>
      <c r="C103" s="7">
        <f>'Input Sheet'!M101</f>
        <v>5.6944444444444443E-2</v>
      </c>
      <c r="D103" s="58">
        <f>'Input Sheet'!B101</f>
        <v>2340</v>
      </c>
      <c r="E103" s="8">
        <f>'Input Sheet'!I101</f>
        <v>333</v>
      </c>
      <c r="F103" s="59">
        <f>'Input Sheet'!C101/100</f>
        <v>1</v>
      </c>
      <c r="G103" s="59">
        <f>'Input Sheet'!F101/100</f>
        <v>0.9</v>
      </c>
      <c r="H103" s="2">
        <f t="shared" si="18"/>
        <v>10</v>
      </c>
      <c r="I103" s="2">
        <f t="shared" si="19"/>
        <v>10</v>
      </c>
      <c r="J103" s="2">
        <f t="shared" si="20"/>
        <v>10</v>
      </c>
      <c r="K103" s="2">
        <f t="shared" si="21"/>
        <v>10</v>
      </c>
      <c r="L103" s="2">
        <f t="shared" si="22"/>
        <v>10</v>
      </c>
      <c r="M103" s="2" t="str">
        <f>'Input Sheet'!E101</f>
        <v>M</v>
      </c>
      <c r="N103" s="2">
        <f t="shared" si="23"/>
        <v>3</v>
      </c>
      <c r="P103">
        <f t="shared" ref="P103:T112" si="25">IF($M103=P$1,$H103,0)</f>
        <v>0</v>
      </c>
      <c r="Q103">
        <f t="shared" si="25"/>
        <v>0</v>
      </c>
      <c r="R103">
        <f t="shared" si="25"/>
        <v>10</v>
      </c>
      <c r="S103">
        <f t="shared" si="25"/>
        <v>0</v>
      </c>
      <c r="T103">
        <f t="shared" si="25"/>
        <v>0</v>
      </c>
    </row>
    <row r="104" spans="1:20" ht="16.5" x14ac:dyDescent="0.35">
      <c r="A104" s="57" t="str">
        <f>'Long Sample Name'!A100</f>
        <v>Sample 2350m: 0% Siltstone, 100% fine to medium Sandstone, 90% bright FLUOR in SST. TG 315U</v>
      </c>
      <c r="B104" s="1">
        <f>'Input Sheet'!L102</f>
        <v>45209</v>
      </c>
      <c r="C104" s="7">
        <f>'Input Sheet'!M102</f>
        <v>7.6388888888888895E-2</v>
      </c>
      <c r="D104" s="58">
        <f>'Input Sheet'!B102</f>
        <v>2350</v>
      </c>
      <c r="E104" s="8">
        <f>'Input Sheet'!I102</f>
        <v>315</v>
      </c>
      <c r="F104" s="59">
        <f>'Input Sheet'!C102/100</f>
        <v>1</v>
      </c>
      <c r="G104" s="59">
        <f>'Input Sheet'!F102/100</f>
        <v>1</v>
      </c>
      <c r="H104" s="2">
        <f t="shared" si="18"/>
        <v>10</v>
      </c>
      <c r="I104" s="2">
        <f t="shared" si="19"/>
        <v>10</v>
      </c>
      <c r="J104" s="2">
        <f t="shared" si="20"/>
        <v>10</v>
      </c>
      <c r="K104" s="2">
        <f t="shared" si="21"/>
        <v>10</v>
      </c>
      <c r="L104" s="2">
        <f t="shared" si="22"/>
        <v>10</v>
      </c>
      <c r="M104" s="2" t="str">
        <f>'Input Sheet'!E102</f>
        <v>M</v>
      </c>
      <c r="N104" s="2">
        <f t="shared" si="23"/>
        <v>3</v>
      </c>
      <c r="P104">
        <f t="shared" si="25"/>
        <v>0</v>
      </c>
      <c r="Q104">
        <f t="shared" si="25"/>
        <v>0</v>
      </c>
      <c r="R104">
        <f t="shared" si="25"/>
        <v>10</v>
      </c>
      <c r="S104">
        <f t="shared" si="25"/>
        <v>0</v>
      </c>
      <c r="T104">
        <f t="shared" si="25"/>
        <v>0</v>
      </c>
    </row>
    <row r="105" spans="1:20" ht="16.5" x14ac:dyDescent="0.35">
      <c r="A105" s="57" t="str">
        <f>'Long Sample Name'!A101</f>
        <v>Sample 2360m: 0% Siltstone, 100% fine to medium Sandstone, 100% bright FLUOR in SST. TG 266U</v>
      </c>
      <c r="B105" s="1">
        <f>'Input Sheet'!L103</f>
        <v>45209</v>
      </c>
      <c r="C105" s="7">
        <f>'Input Sheet'!M103</f>
        <v>9.7222222222222224E-2</v>
      </c>
      <c r="D105" s="58">
        <f>'Input Sheet'!B103</f>
        <v>2360</v>
      </c>
      <c r="E105" s="8">
        <f>'Input Sheet'!I103</f>
        <v>266</v>
      </c>
      <c r="F105" s="59">
        <f>'Input Sheet'!C103/100</f>
        <v>1</v>
      </c>
      <c r="G105" s="59">
        <f>'Input Sheet'!F103/100</f>
        <v>0.9</v>
      </c>
      <c r="H105" s="2">
        <f t="shared" si="18"/>
        <v>10</v>
      </c>
      <c r="I105" s="2">
        <f t="shared" si="19"/>
        <v>10</v>
      </c>
      <c r="J105" s="2">
        <f t="shared" si="20"/>
        <v>10</v>
      </c>
      <c r="K105" s="2">
        <f t="shared" si="21"/>
        <v>10</v>
      </c>
      <c r="L105" s="2">
        <f t="shared" si="22"/>
        <v>10</v>
      </c>
      <c r="M105" s="2" t="str">
        <f>'Input Sheet'!E103</f>
        <v>M</v>
      </c>
      <c r="N105" s="2">
        <f t="shared" si="23"/>
        <v>3</v>
      </c>
      <c r="P105">
        <f t="shared" si="25"/>
        <v>0</v>
      </c>
      <c r="Q105">
        <f t="shared" si="25"/>
        <v>0</v>
      </c>
      <c r="R105">
        <f t="shared" si="25"/>
        <v>10</v>
      </c>
      <c r="S105">
        <f t="shared" si="25"/>
        <v>0</v>
      </c>
      <c r="T105">
        <f t="shared" si="25"/>
        <v>0</v>
      </c>
    </row>
    <row r="106" spans="1:20" ht="16.5" x14ac:dyDescent="0.35">
      <c r="A106" s="57" t="str">
        <f>'Long Sample Name'!A102</f>
        <v>Sample 2370m: 0% Siltstone, 100% fine to medium Sandstone, 90% bright FLUOR in SST. TG 263U</v>
      </c>
      <c r="B106" s="1">
        <f>'Input Sheet'!L104</f>
        <v>45209</v>
      </c>
      <c r="C106" s="7">
        <f>'Input Sheet'!M104</f>
        <v>0.11458333333333333</v>
      </c>
      <c r="D106" s="58">
        <f>'Input Sheet'!B104</f>
        <v>2370</v>
      </c>
      <c r="E106" s="8">
        <f>'Input Sheet'!I104</f>
        <v>263</v>
      </c>
      <c r="F106" s="59">
        <f>'Input Sheet'!C104/100</f>
        <v>1</v>
      </c>
      <c r="G106" s="59">
        <f>'Input Sheet'!F104/100</f>
        <v>1</v>
      </c>
      <c r="H106" s="2">
        <f t="shared" si="18"/>
        <v>10</v>
      </c>
      <c r="I106" s="2">
        <f t="shared" si="19"/>
        <v>10</v>
      </c>
      <c r="J106" s="2">
        <f t="shared" si="20"/>
        <v>10</v>
      </c>
      <c r="K106" s="2">
        <f t="shared" si="21"/>
        <v>10</v>
      </c>
      <c r="L106" s="2">
        <f t="shared" si="22"/>
        <v>10</v>
      </c>
      <c r="M106" s="2" t="str">
        <f>'Input Sheet'!E104</f>
        <v>M</v>
      </c>
      <c r="N106" s="2">
        <f t="shared" si="23"/>
        <v>3</v>
      </c>
      <c r="P106">
        <f t="shared" si="25"/>
        <v>0</v>
      </c>
      <c r="Q106">
        <f t="shared" si="25"/>
        <v>0</v>
      </c>
      <c r="R106">
        <f t="shared" si="25"/>
        <v>10</v>
      </c>
      <c r="S106">
        <f t="shared" si="25"/>
        <v>0</v>
      </c>
      <c r="T106">
        <f t="shared" si="25"/>
        <v>0</v>
      </c>
    </row>
    <row r="107" spans="1:20" ht="16.5" x14ac:dyDescent="0.35">
      <c r="A107" s="57" t="str">
        <f>'Long Sample Name'!A103</f>
        <v>Sample 2380m: 0% Siltstone, 100% very fine to fine Sandstone, 100% bright FLUOR in SST. TG 341U</v>
      </c>
      <c r="B107" s="1">
        <f>'Input Sheet'!L105</f>
        <v>45209</v>
      </c>
      <c r="C107" s="7">
        <f>'Input Sheet'!M105</f>
        <v>0.13541666666666666</v>
      </c>
      <c r="D107" s="58">
        <f>'Input Sheet'!B105</f>
        <v>2380</v>
      </c>
      <c r="E107" s="8">
        <f>'Input Sheet'!I105</f>
        <v>341</v>
      </c>
      <c r="F107" s="59">
        <f>'Input Sheet'!C105/100</f>
        <v>1</v>
      </c>
      <c r="G107" s="59">
        <f>'Input Sheet'!F105/100</f>
        <v>1</v>
      </c>
      <c r="H107" s="2">
        <f t="shared" si="18"/>
        <v>10</v>
      </c>
      <c r="I107" s="2">
        <f t="shared" si="19"/>
        <v>10</v>
      </c>
      <c r="J107" s="2">
        <f t="shared" si="20"/>
        <v>10</v>
      </c>
      <c r="K107" s="2">
        <f t="shared" si="21"/>
        <v>10</v>
      </c>
      <c r="L107" s="2">
        <f t="shared" si="22"/>
        <v>10</v>
      </c>
      <c r="M107" s="2" t="str">
        <f>'Input Sheet'!E105</f>
        <v>F</v>
      </c>
      <c r="N107" s="2">
        <f t="shared" si="23"/>
        <v>2</v>
      </c>
      <c r="P107">
        <f t="shared" si="25"/>
        <v>0</v>
      </c>
      <c r="Q107">
        <f t="shared" si="25"/>
        <v>10</v>
      </c>
      <c r="R107">
        <f t="shared" si="25"/>
        <v>0</v>
      </c>
      <c r="S107">
        <f t="shared" si="25"/>
        <v>0</v>
      </c>
      <c r="T107">
        <f t="shared" si="25"/>
        <v>0</v>
      </c>
    </row>
    <row r="108" spans="1:20" ht="16.5" x14ac:dyDescent="0.35">
      <c r="A108" s="57" t="str">
        <f>'Long Sample Name'!A104</f>
        <v>Sample 2390m: 10% Siltstone, 90% fine to coarse Sandstone, 100% moderately bright  to  bright FLUOR in SST. TG 212U</v>
      </c>
      <c r="B108" s="1">
        <f>'Input Sheet'!L106</f>
        <v>45209</v>
      </c>
      <c r="C108" s="7">
        <f>'Input Sheet'!M106</f>
        <v>0.15138888888888888</v>
      </c>
      <c r="D108" s="58">
        <f>'Input Sheet'!B106</f>
        <v>2390</v>
      </c>
      <c r="E108" s="8">
        <f>'Input Sheet'!I106</f>
        <v>212</v>
      </c>
      <c r="F108" s="59">
        <f>'Input Sheet'!C106/100</f>
        <v>0.9</v>
      </c>
      <c r="G108" s="59">
        <f>'Input Sheet'!F106/100</f>
        <v>1</v>
      </c>
      <c r="H108" s="2">
        <f t="shared" si="18"/>
        <v>10</v>
      </c>
      <c r="I108" s="2">
        <f t="shared" si="19"/>
        <v>10</v>
      </c>
      <c r="J108" s="2">
        <f t="shared" si="20"/>
        <v>9</v>
      </c>
      <c r="K108" s="2">
        <f t="shared" si="21"/>
        <v>10</v>
      </c>
      <c r="L108" s="2">
        <f t="shared" si="22"/>
        <v>9</v>
      </c>
      <c r="M108" s="2" t="str">
        <f>'Input Sheet'!E106</f>
        <v>C</v>
      </c>
      <c r="N108" s="2">
        <f t="shared" si="23"/>
        <v>4</v>
      </c>
      <c r="P108">
        <f t="shared" si="25"/>
        <v>0</v>
      </c>
      <c r="Q108">
        <f t="shared" si="25"/>
        <v>0</v>
      </c>
      <c r="R108">
        <f t="shared" si="25"/>
        <v>0</v>
      </c>
      <c r="S108">
        <f t="shared" si="25"/>
        <v>10</v>
      </c>
      <c r="T108">
        <f t="shared" si="25"/>
        <v>0</v>
      </c>
    </row>
    <row r="109" spans="1:20" ht="16.5" x14ac:dyDescent="0.35">
      <c r="A109" s="57" t="str">
        <f>'Long Sample Name'!A105</f>
        <v>Sample 2400m: 10% Siltstone, 90% fine to medium Sandstone, 100% moderately bright FLUOR in SST. TG 250U</v>
      </c>
      <c r="B109" s="1">
        <f>'Input Sheet'!L107</f>
        <v>45209</v>
      </c>
      <c r="C109" s="7">
        <f>'Input Sheet'!M107</f>
        <v>0.17013888888888887</v>
      </c>
      <c r="D109" s="58">
        <f>'Input Sheet'!B107</f>
        <v>2400</v>
      </c>
      <c r="E109" s="8">
        <f>'Input Sheet'!I107</f>
        <v>250</v>
      </c>
      <c r="F109" s="59">
        <f>'Input Sheet'!C107/100</f>
        <v>0.9</v>
      </c>
      <c r="G109" s="59">
        <f>'Input Sheet'!F107/100</f>
        <v>0.9</v>
      </c>
      <c r="H109" s="2">
        <f t="shared" si="18"/>
        <v>10</v>
      </c>
      <c r="I109" s="2">
        <f t="shared" si="19"/>
        <v>10</v>
      </c>
      <c r="J109" s="2">
        <f t="shared" si="20"/>
        <v>9</v>
      </c>
      <c r="K109" s="2">
        <f t="shared" si="21"/>
        <v>10</v>
      </c>
      <c r="L109" s="2">
        <f t="shared" si="22"/>
        <v>9</v>
      </c>
      <c r="M109" s="2" t="str">
        <f>'Input Sheet'!E107</f>
        <v>M</v>
      </c>
      <c r="N109" s="2">
        <f t="shared" si="23"/>
        <v>3</v>
      </c>
      <c r="P109">
        <f t="shared" si="25"/>
        <v>0</v>
      </c>
      <c r="Q109">
        <f t="shared" si="25"/>
        <v>0</v>
      </c>
      <c r="R109">
        <f t="shared" si="25"/>
        <v>10</v>
      </c>
      <c r="S109">
        <f t="shared" si="25"/>
        <v>0</v>
      </c>
      <c r="T109">
        <f t="shared" si="25"/>
        <v>0</v>
      </c>
    </row>
    <row r="110" spans="1:20" ht="16.5" x14ac:dyDescent="0.35">
      <c r="A110" s="57" t="str">
        <f>'Long Sample Name'!A106</f>
        <v>Sample 2410m: 0% Siltstone, 100% fine to medium Sandstone, 90% bright FLUOR in SST. TG 238U</v>
      </c>
      <c r="B110" s="1">
        <f>'Input Sheet'!L108</f>
        <v>45209</v>
      </c>
      <c r="C110" s="7">
        <f>'Input Sheet'!M108</f>
        <v>0.1875</v>
      </c>
      <c r="D110" s="58">
        <f>'Input Sheet'!B108</f>
        <v>2410</v>
      </c>
      <c r="E110" s="8">
        <f>'Input Sheet'!I108</f>
        <v>238</v>
      </c>
      <c r="F110" s="59">
        <f>'Input Sheet'!C108/100</f>
        <v>1</v>
      </c>
      <c r="G110" s="59">
        <f>'Input Sheet'!F108/100</f>
        <v>1</v>
      </c>
      <c r="H110" s="2">
        <f t="shared" si="18"/>
        <v>10</v>
      </c>
      <c r="I110" s="2">
        <f t="shared" si="19"/>
        <v>10</v>
      </c>
      <c r="J110" s="2">
        <f t="shared" si="20"/>
        <v>10</v>
      </c>
      <c r="K110" s="2">
        <f t="shared" si="21"/>
        <v>10</v>
      </c>
      <c r="L110" s="2">
        <f t="shared" si="22"/>
        <v>10</v>
      </c>
      <c r="M110" s="2" t="str">
        <f>'Input Sheet'!E108</f>
        <v>M</v>
      </c>
      <c r="N110" s="2">
        <f t="shared" si="23"/>
        <v>3</v>
      </c>
      <c r="P110">
        <f t="shared" si="25"/>
        <v>0</v>
      </c>
      <c r="Q110">
        <f t="shared" si="25"/>
        <v>0</v>
      </c>
      <c r="R110">
        <f t="shared" si="25"/>
        <v>10</v>
      </c>
      <c r="S110">
        <f t="shared" si="25"/>
        <v>0</v>
      </c>
      <c r="T110">
        <f t="shared" si="25"/>
        <v>0</v>
      </c>
    </row>
    <row r="111" spans="1:20" ht="16.5" x14ac:dyDescent="0.35">
      <c r="A111" s="57" t="str">
        <f>'Long Sample Name'!A107</f>
        <v>Sample 2420m: 0% Siltstone, 100% fine to medium Sandstone, 100% bright FLUOR in SST. TG 198U</v>
      </c>
      <c r="B111" s="1">
        <f>'Input Sheet'!L109</f>
        <v>45209</v>
      </c>
      <c r="C111" s="7">
        <f>'Input Sheet'!M109</f>
        <v>0.21527777777777779</v>
      </c>
      <c r="D111" s="58">
        <f>'Input Sheet'!B109</f>
        <v>2420</v>
      </c>
      <c r="E111" s="8">
        <f>'Input Sheet'!I109</f>
        <v>198</v>
      </c>
      <c r="F111" s="59">
        <f>'Input Sheet'!C109/100</f>
        <v>1</v>
      </c>
      <c r="G111" s="59">
        <f>'Input Sheet'!F109/100</f>
        <v>1</v>
      </c>
      <c r="H111" s="2">
        <f t="shared" si="18"/>
        <v>10</v>
      </c>
      <c r="I111" s="2">
        <f t="shared" si="19"/>
        <v>10</v>
      </c>
      <c r="J111" s="2">
        <f t="shared" si="20"/>
        <v>10</v>
      </c>
      <c r="K111" s="2">
        <f t="shared" si="21"/>
        <v>10</v>
      </c>
      <c r="L111" s="2">
        <f t="shared" si="22"/>
        <v>10</v>
      </c>
      <c r="M111" s="2" t="str">
        <f>'Input Sheet'!E109</f>
        <v>M</v>
      </c>
      <c r="N111" s="2">
        <f t="shared" si="23"/>
        <v>3</v>
      </c>
      <c r="P111">
        <f t="shared" si="25"/>
        <v>0</v>
      </c>
      <c r="Q111">
        <f t="shared" si="25"/>
        <v>0</v>
      </c>
      <c r="R111">
        <f t="shared" si="25"/>
        <v>10</v>
      </c>
      <c r="S111">
        <f t="shared" si="25"/>
        <v>0</v>
      </c>
      <c r="T111">
        <f t="shared" si="25"/>
        <v>0</v>
      </c>
    </row>
    <row r="112" spans="1:20" ht="16.5" x14ac:dyDescent="0.35">
      <c r="A112" s="57" t="str">
        <f>'Long Sample Name'!A108</f>
        <v>Sample 2430m: 0% Siltstone, 100% fine to medium Sandstone, 100% bright FLUOR in SST. TG 275U</v>
      </c>
      <c r="B112" s="1">
        <f>'Input Sheet'!L110</f>
        <v>45209</v>
      </c>
      <c r="C112" s="7">
        <f>'Input Sheet'!M110</f>
        <v>0.23611111111111113</v>
      </c>
      <c r="D112" s="58">
        <f>'Input Sheet'!B110</f>
        <v>2430</v>
      </c>
      <c r="E112" s="8">
        <f>'Input Sheet'!I110</f>
        <v>275</v>
      </c>
      <c r="F112" s="59">
        <f>'Input Sheet'!C110/100</f>
        <v>1</v>
      </c>
      <c r="G112" s="59">
        <f>'Input Sheet'!F110/100</f>
        <v>1</v>
      </c>
      <c r="H112" s="2">
        <f t="shared" si="18"/>
        <v>10</v>
      </c>
      <c r="I112" s="2">
        <f t="shared" si="19"/>
        <v>10</v>
      </c>
      <c r="J112" s="2">
        <f t="shared" si="20"/>
        <v>10</v>
      </c>
      <c r="K112" s="2">
        <f t="shared" si="21"/>
        <v>10</v>
      </c>
      <c r="L112" s="2">
        <f t="shared" si="22"/>
        <v>10</v>
      </c>
      <c r="M112" s="2" t="str">
        <f>'Input Sheet'!E110</f>
        <v>M</v>
      </c>
      <c r="N112" s="2">
        <f t="shared" si="23"/>
        <v>3</v>
      </c>
      <c r="P112">
        <f t="shared" si="25"/>
        <v>0</v>
      </c>
      <c r="Q112">
        <f t="shared" si="25"/>
        <v>0</v>
      </c>
      <c r="R112">
        <f t="shared" si="25"/>
        <v>10</v>
      </c>
      <c r="S112">
        <f t="shared" si="25"/>
        <v>0</v>
      </c>
      <c r="T112">
        <f t="shared" si="25"/>
        <v>0</v>
      </c>
    </row>
    <row r="113" spans="1:20" ht="16.5" x14ac:dyDescent="0.35">
      <c r="A113" s="57" t="str">
        <f>'Long Sample Name'!A109</f>
        <v>Sample 2440m: 20% Siltstone, 80% very fine to fine Sandstone, 100% moderately bright FLUOR in SST. TG 201U</v>
      </c>
      <c r="B113" s="1">
        <f>'Input Sheet'!L111</f>
        <v>45209</v>
      </c>
      <c r="C113" s="7">
        <f>'Input Sheet'!M111</f>
        <v>0.25347222222222221</v>
      </c>
      <c r="D113" s="58">
        <f>'Input Sheet'!B111</f>
        <v>2440</v>
      </c>
      <c r="E113" s="8">
        <f>'Input Sheet'!I111</f>
        <v>201</v>
      </c>
      <c r="F113" s="59">
        <f>'Input Sheet'!C111/100</f>
        <v>0.8</v>
      </c>
      <c r="G113" s="59">
        <f>'Input Sheet'!F111/100</f>
        <v>0.5</v>
      </c>
      <c r="H113" s="2">
        <f t="shared" si="18"/>
        <v>10</v>
      </c>
      <c r="I113" s="2">
        <f t="shared" si="19"/>
        <v>10</v>
      </c>
      <c r="J113" s="2">
        <f t="shared" si="20"/>
        <v>8</v>
      </c>
      <c r="K113" s="2">
        <f t="shared" si="21"/>
        <v>0</v>
      </c>
      <c r="L113" s="2">
        <f t="shared" si="22"/>
        <v>0</v>
      </c>
      <c r="M113" s="2" t="str">
        <f>'Input Sheet'!E111</f>
        <v>F</v>
      </c>
      <c r="N113" s="2">
        <f t="shared" si="23"/>
        <v>2</v>
      </c>
      <c r="P113">
        <f t="shared" ref="P113:T122" si="26">IF($M113=P$1,$H113,0)</f>
        <v>0</v>
      </c>
      <c r="Q113">
        <f t="shared" si="26"/>
        <v>10</v>
      </c>
      <c r="R113">
        <f t="shared" si="26"/>
        <v>0</v>
      </c>
      <c r="S113">
        <f t="shared" si="26"/>
        <v>0</v>
      </c>
      <c r="T113">
        <f t="shared" si="26"/>
        <v>0</v>
      </c>
    </row>
    <row r="114" spans="1:20" ht="16.5" x14ac:dyDescent="0.35">
      <c r="A114" s="57" t="str">
        <f>'Long Sample Name'!A110</f>
        <v>Sample 2450m: 20% Siltstone, 80% very fine to fine Sandstone, 50% moderately bright to bright FLUOR in SST. TG 219U</v>
      </c>
      <c r="B114" s="1">
        <f>'Input Sheet'!L112</f>
        <v>45209</v>
      </c>
      <c r="C114" s="7">
        <f>'Input Sheet'!M112</f>
        <v>0.27083333333333331</v>
      </c>
      <c r="D114" s="58">
        <f>'Input Sheet'!B112</f>
        <v>2450</v>
      </c>
      <c r="E114" s="8">
        <f>'Input Sheet'!I112</f>
        <v>219</v>
      </c>
      <c r="F114" s="59">
        <f>'Input Sheet'!C112/100</f>
        <v>0.8</v>
      </c>
      <c r="G114" s="59">
        <f>'Input Sheet'!F112/100</f>
        <v>1</v>
      </c>
      <c r="H114" s="2">
        <f t="shared" si="18"/>
        <v>10</v>
      </c>
      <c r="I114" s="2">
        <f t="shared" si="19"/>
        <v>10</v>
      </c>
      <c r="J114" s="2">
        <f t="shared" si="20"/>
        <v>8</v>
      </c>
      <c r="K114" s="2">
        <f t="shared" si="21"/>
        <v>10</v>
      </c>
      <c r="L114" s="2">
        <f t="shared" si="22"/>
        <v>8</v>
      </c>
      <c r="M114" s="2" t="str">
        <f>'Input Sheet'!E112</f>
        <v>F</v>
      </c>
      <c r="N114" s="2">
        <f t="shared" si="23"/>
        <v>2</v>
      </c>
      <c r="P114">
        <f t="shared" si="26"/>
        <v>0</v>
      </c>
      <c r="Q114">
        <f t="shared" si="26"/>
        <v>10</v>
      </c>
      <c r="R114">
        <f t="shared" si="26"/>
        <v>0</v>
      </c>
      <c r="S114">
        <f t="shared" si="26"/>
        <v>0</v>
      </c>
      <c r="T114">
        <f t="shared" si="26"/>
        <v>0</v>
      </c>
    </row>
    <row r="115" spans="1:20" ht="16.5" x14ac:dyDescent="0.35">
      <c r="A115" s="57" t="str">
        <f>'Long Sample Name'!A111</f>
        <v>Sample 2460m: 10% Siltstone, 90% very fine to medium Sandstone, 100% moderately bright to bright FLUOR in SST. TG 235U</v>
      </c>
      <c r="B115" s="1">
        <f>'Input Sheet'!L113</f>
        <v>45209</v>
      </c>
      <c r="C115" s="7">
        <f>'Input Sheet'!M113</f>
        <v>0.28819444444444448</v>
      </c>
      <c r="D115" s="58">
        <f>'Input Sheet'!B113</f>
        <v>2460</v>
      </c>
      <c r="E115" s="8">
        <f>'Input Sheet'!I113</f>
        <v>235</v>
      </c>
      <c r="F115" s="59">
        <f>'Input Sheet'!C113/100</f>
        <v>0.9</v>
      </c>
      <c r="G115" s="59">
        <f>'Input Sheet'!F113/100</f>
        <v>0.7</v>
      </c>
      <c r="H115" s="2">
        <f t="shared" si="18"/>
        <v>10</v>
      </c>
      <c r="I115" s="2">
        <f t="shared" si="19"/>
        <v>10</v>
      </c>
      <c r="J115" s="2">
        <f t="shared" si="20"/>
        <v>9</v>
      </c>
      <c r="K115" s="2">
        <f t="shared" si="21"/>
        <v>0</v>
      </c>
      <c r="L115" s="2">
        <f t="shared" si="22"/>
        <v>0</v>
      </c>
      <c r="M115" s="2" t="str">
        <f>'Input Sheet'!E113</f>
        <v>M</v>
      </c>
      <c r="N115" s="2">
        <f t="shared" si="23"/>
        <v>3</v>
      </c>
      <c r="P115">
        <f t="shared" si="26"/>
        <v>0</v>
      </c>
      <c r="Q115">
        <f t="shared" si="26"/>
        <v>0</v>
      </c>
      <c r="R115">
        <f t="shared" si="26"/>
        <v>10</v>
      </c>
      <c r="S115">
        <f t="shared" si="26"/>
        <v>0</v>
      </c>
      <c r="T115">
        <f t="shared" si="26"/>
        <v>0</v>
      </c>
    </row>
    <row r="116" spans="1:20" ht="16.5" x14ac:dyDescent="0.35">
      <c r="A116" s="57" t="str">
        <f>'Long Sample Name'!A112</f>
        <v>Sample 2470m: 5% Siltstone, 95% coarse Sandstone, 70% moderately bright to bright FLUOR in SST. TG 200U</v>
      </c>
      <c r="B116" s="1">
        <f>'Input Sheet'!L114</f>
        <v>45209</v>
      </c>
      <c r="C116" s="7">
        <f>'Input Sheet'!M114</f>
        <v>0.31597222222222221</v>
      </c>
      <c r="D116" s="58">
        <f>'Input Sheet'!B114</f>
        <v>2470</v>
      </c>
      <c r="E116" s="8">
        <f>'Input Sheet'!I114</f>
        <v>200</v>
      </c>
      <c r="F116" s="59">
        <f>'Input Sheet'!C114/100</f>
        <v>0.95</v>
      </c>
      <c r="G116" s="59">
        <f>'Input Sheet'!F114/100</f>
        <v>0.8</v>
      </c>
      <c r="H116" s="2">
        <f t="shared" si="18"/>
        <v>10</v>
      </c>
      <c r="I116" s="2">
        <f t="shared" si="19"/>
        <v>10</v>
      </c>
      <c r="J116" s="2">
        <f t="shared" si="20"/>
        <v>9.5</v>
      </c>
      <c r="K116" s="2">
        <f t="shared" si="21"/>
        <v>10</v>
      </c>
      <c r="L116" s="2">
        <f t="shared" si="22"/>
        <v>9.5</v>
      </c>
      <c r="M116" s="2" t="str">
        <f>'Input Sheet'!E114</f>
        <v>C</v>
      </c>
      <c r="N116" s="2">
        <f t="shared" si="23"/>
        <v>4</v>
      </c>
      <c r="P116">
        <f t="shared" si="26"/>
        <v>0</v>
      </c>
      <c r="Q116">
        <f t="shared" si="26"/>
        <v>0</v>
      </c>
      <c r="R116">
        <f t="shared" si="26"/>
        <v>0</v>
      </c>
      <c r="S116">
        <f t="shared" si="26"/>
        <v>10</v>
      </c>
      <c r="T116">
        <f t="shared" si="26"/>
        <v>0</v>
      </c>
    </row>
    <row r="117" spans="1:20" ht="16.5" x14ac:dyDescent="0.35">
      <c r="A117" s="57" t="str">
        <f>'Long Sample Name'!A113</f>
        <v>Sample 2480m: 5% Siltstone, 95% very fine to coarse Sandstone, 80% moderately bright to bright FLUOR in SST. TG 341U</v>
      </c>
      <c r="B117" s="1">
        <f>'Input Sheet'!L115</f>
        <v>45209</v>
      </c>
      <c r="C117" s="7">
        <f>'Input Sheet'!M115</f>
        <v>0.34027777777777773</v>
      </c>
      <c r="D117" s="58">
        <f>'Input Sheet'!B115</f>
        <v>2480</v>
      </c>
      <c r="E117" s="8">
        <f>'Input Sheet'!I115</f>
        <v>341</v>
      </c>
      <c r="F117" s="59">
        <f>'Input Sheet'!C115/100</f>
        <v>0.95</v>
      </c>
      <c r="G117" s="59">
        <f>'Input Sheet'!F115/100</f>
        <v>0.9</v>
      </c>
      <c r="H117" s="2">
        <f t="shared" si="18"/>
        <v>10</v>
      </c>
      <c r="I117" s="2">
        <f t="shared" si="19"/>
        <v>10</v>
      </c>
      <c r="J117" s="2">
        <f t="shared" si="20"/>
        <v>9.5</v>
      </c>
      <c r="K117" s="2">
        <f t="shared" si="21"/>
        <v>10</v>
      </c>
      <c r="L117" s="2">
        <f t="shared" si="22"/>
        <v>9.5</v>
      </c>
      <c r="M117" s="2" t="str">
        <f>'Input Sheet'!E115</f>
        <v>C</v>
      </c>
      <c r="N117" s="2">
        <f t="shared" si="23"/>
        <v>4</v>
      </c>
      <c r="P117">
        <f t="shared" si="26"/>
        <v>0</v>
      </c>
      <c r="Q117">
        <f t="shared" si="26"/>
        <v>0</v>
      </c>
      <c r="R117">
        <f t="shared" si="26"/>
        <v>0</v>
      </c>
      <c r="S117">
        <f t="shared" si="26"/>
        <v>10</v>
      </c>
      <c r="T117">
        <f t="shared" si="26"/>
        <v>0</v>
      </c>
    </row>
    <row r="118" spans="1:20" ht="16.5" x14ac:dyDescent="0.35">
      <c r="A118" s="57" t="str">
        <f>'Long Sample Name'!A114</f>
        <v>Sample 2490m: 0% Siltstone, 100% very fine to fine Sandstone, 90% moderately bright to bright FLUOR in SST. TG 330U</v>
      </c>
      <c r="B118" s="1">
        <f>'Input Sheet'!L116</f>
        <v>45209</v>
      </c>
      <c r="C118" s="7">
        <f>'Input Sheet'!M116</f>
        <v>0.3576388888888889</v>
      </c>
      <c r="D118" s="58">
        <f>'Input Sheet'!B116</f>
        <v>2490</v>
      </c>
      <c r="E118" s="8">
        <f>'Input Sheet'!I116</f>
        <v>330</v>
      </c>
      <c r="F118" s="59">
        <f>'Input Sheet'!C116/100</f>
        <v>1</v>
      </c>
      <c r="G118" s="59">
        <f>'Input Sheet'!F116/100</f>
        <v>1</v>
      </c>
      <c r="H118" s="2">
        <f t="shared" si="18"/>
        <v>10</v>
      </c>
      <c r="I118" s="2">
        <f t="shared" si="19"/>
        <v>10</v>
      </c>
      <c r="J118" s="2">
        <f t="shared" si="20"/>
        <v>10</v>
      </c>
      <c r="K118" s="2">
        <f t="shared" si="21"/>
        <v>10</v>
      </c>
      <c r="L118" s="2">
        <f t="shared" si="22"/>
        <v>10</v>
      </c>
      <c r="M118" s="2" t="str">
        <f>'Input Sheet'!E116</f>
        <v>C</v>
      </c>
      <c r="N118" s="2">
        <f t="shared" si="23"/>
        <v>4</v>
      </c>
      <c r="P118">
        <f t="shared" si="26"/>
        <v>0</v>
      </c>
      <c r="Q118">
        <f t="shared" si="26"/>
        <v>0</v>
      </c>
      <c r="R118">
        <f t="shared" si="26"/>
        <v>0</v>
      </c>
      <c r="S118">
        <f t="shared" si="26"/>
        <v>10</v>
      </c>
      <c r="T118">
        <f t="shared" si="26"/>
        <v>0</v>
      </c>
    </row>
    <row r="119" spans="1:20" ht="16.5" x14ac:dyDescent="0.35">
      <c r="A119" s="57" t="str">
        <f>'Long Sample Name'!A115</f>
        <v>Sample 2500m: 0% Siltstone, 100% very fine to fine Sandstone, 100% moderately bright to bright FLUOR in SST. TG 284U</v>
      </c>
      <c r="B119" s="1">
        <f>'Input Sheet'!L117</f>
        <v>45209</v>
      </c>
      <c r="C119" s="7">
        <f>'Input Sheet'!M117</f>
        <v>0.375</v>
      </c>
      <c r="D119" s="58">
        <f>'Input Sheet'!B117</f>
        <v>2500</v>
      </c>
      <c r="E119" s="8">
        <f>'Input Sheet'!I117</f>
        <v>284</v>
      </c>
      <c r="F119" s="59">
        <f>'Input Sheet'!C117/100</f>
        <v>1</v>
      </c>
      <c r="G119" s="59">
        <f>'Input Sheet'!F117/100</f>
        <v>1</v>
      </c>
      <c r="H119" s="2">
        <f t="shared" si="18"/>
        <v>10</v>
      </c>
      <c r="I119" s="2">
        <f t="shared" si="19"/>
        <v>10</v>
      </c>
      <c r="J119" s="2">
        <f t="shared" si="20"/>
        <v>10</v>
      </c>
      <c r="K119" s="2">
        <f t="shared" si="21"/>
        <v>10</v>
      </c>
      <c r="L119" s="2">
        <f t="shared" si="22"/>
        <v>10</v>
      </c>
      <c r="M119" s="2" t="str">
        <f>'Input Sheet'!E117</f>
        <v>M</v>
      </c>
      <c r="N119" s="2">
        <f t="shared" si="23"/>
        <v>3</v>
      </c>
      <c r="P119">
        <f t="shared" si="26"/>
        <v>0</v>
      </c>
      <c r="Q119">
        <f t="shared" si="26"/>
        <v>0</v>
      </c>
      <c r="R119">
        <f t="shared" si="26"/>
        <v>10</v>
      </c>
      <c r="S119">
        <f t="shared" si="26"/>
        <v>0</v>
      </c>
      <c r="T119">
        <f t="shared" si="26"/>
        <v>0</v>
      </c>
    </row>
    <row r="120" spans="1:20" ht="16.5" x14ac:dyDescent="0.35">
      <c r="A120" s="57" t="str">
        <f>'Long Sample Name'!A116</f>
        <v>Sample 2510m: 0% Siltstone, 100% very fine to fine Sandstone, 100% moderately bright to bright FLUOR in SST. TG 275U</v>
      </c>
      <c r="B120" s="1">
        <f>'Input Sheet'!L118</f>
        <v>45209</v>
      </c>
      <c r="C120" s="7">
        <f>'Input Sheet'!M118</f>
        <v>0.39930555555555558</v>
      </c>
      <c r="D120" s="58">
        <f>'Input Sheet'!B118</f>
        <v>2510</v>
      </c>
      <c r="E120" s="8">
        <f>'Input Sheet'!I118</f>
        <v>275</v>
      </c>
      <c r="F120" s="59">
        <f>'Input Sheet'!C118/100</f>
        <v>1</v>
      </c>
      <c r="G120" s="59">
        <f>'Input Sheet'!F118/100</f>
        <v>1</v>
      </c>
      <c r="H120" s="2">
        <f t="shared" si="18"/>
        <v>10</v>
      </c>
      <c r="I120" s="2">
        <f t="shared" si="19"/>
        <v>10</v>
      </c>
      <c r="J120" s="2">
        <f t="shared" si="20"/>
        <v>10</v>
      </c>
      <c r="K120" s="2">
        <f t="shared" si="21"/>
        <v>10</v>
      </c>
      <c r="L120" s="2">
        <f t="shared" si="22"/>
        <v>10</v>
      </c>
      <c r="M120" s="2" t="str">
        <f>'Input Sheet'!E118</f>
        <v>F</v>
      </c>
      <c r="N120" s="2">
        <f t="shared" si="23"/>
        <v>2</v>
      </c>
      <c r="P120">
        <f t="shared" si="26"/>
        <v>0</v>
      </c>
      <c r="Q120">
        <f t="shared" si="26"/>
        <v>10</v>
      </c>
      <c r="R120">
        <f t="shared" si="26"/>
        <v>0</v>
      </c>
      <c r="S120">
        <f t="shared" si="26"/>
        <v>0</v>
      </c>
      <c r="T120">
        <f t="shared" si="26"/>
        <v>0</v>
      </c>
    </row>
    <row r="121" spans="1:20" ht="16.5" x14ac:dyDescent="0.35">
      <c r="A121" s="57" t="str">
        <f>'Long Sample Name'!A117</f>
        <v>Sample 2520m: 5% Siltstone, 95% very fine to fine Sandstone, 100% moderately bright to bright FLUOR in SST. TG 260U</v>
      </c>
      <c r="B121" s="1">
        <f>'Input Sheet'!L119</f>
        <v>45209</v>
      </c>
      <c r="C121" s="7">
        <f>'Input Sheet'!M119</f>
        <v>0.41666666666666669</v>
      </c>
      <c r="D121" s="58">
        <f>'Input Sheet'!B119</f>
        <v>2520</v>
      </c>
      <c r="E121" s="8">
        <f>'Input Sheet'!I119</f>
        <v>260</v>
      </c>
      <c r="F121" s="59">
        <f>'Input Sheet'!C119/100</f>
        <v>0.95</v>
      </c>
      <c r="G121" s="59">
        <f>'Input Sheet'!F119/100</f>
        <v>1</v>
      </c>
      <c r="H121" s="2">
        <f t="shared" si="18"/>
        <v>10</v>
      </c>
      <c r="I121" s="2">
        <f t="shared" si="19"/>
        <v>10</v>
      </c>
      <c r="J121" s="2">
        <f t="shared" si="20"/>
        <v>9.5</v>
      </c>
      <c r="K121" s="2">
        <f t="shared" si="21"/>
        <v>10</v>
      </c>
      <c r="L121" s="2">
        <f t="shared" si="22"/>
        <v>9.5</v>
      </c>
      <c r="M121" s="2" t="str">
        <f>'Input Sheet'!E119</f>
        <v>C</v>
      </c>
      <c r="N121" s="2">
        <f t="shared" si="23"/>
        <v>4</v>
      </c>
      <c r="P121">
        <f t="shared" si="26"/>
        <v>0</v>
      </c>
      <c r="Q121">
        <f t="shared" si="26"/>
        <v>0</v>
      </c>
      <c r="R121">
        <f t="shared" si="26"/>
        <v>0</v>
      </c>
      <c r="S121">
        <f t="shared" si="26"/>
        <v>10</v>
      </c>
      <c r="T121">
        <f t="shared" si="26"/>
        <v>0</v>
      </c>
    </row>
    <row r="122" spans="1:20" ht="16.5" x14ac:dyDescent="0.35">
      <c r="A122" s="57" t="str">
        <f>'Long Sample Name'!A118</f>
        <v>Sample 2530m: 0% Siltstone, 100% very fine to fine Sandstone, 100% dull  to  moderately bright FLUOR in SST. TG 160U</v>
      </c>
      <c r="B122" s="1">
        <f>'Input Sheet'!L120</f>
        <v>45209</v>
      </c>
      <c r="C122" s="7">
        <f>'Input Sheet'!M120</f>
        <v>0.44444444444444442</v>
      </c>
      <c r="D122" s="58">
        <f>'Input Sheet'!B120</f>
        <v>2530</v>
      </c>
      <c r="E122" s="8">
        <f>'Input Sheet'!I120</f>
        <v>160</v>
      </c>
      <c r="F122" s="59">
        <f>'Input Sheet'!C120/100</f>
        <v>1</v>
      </c>
      <c r="G122" s="59">
        <f>'Input Sheet'!F120/100</f>
        <v>0.6</v>
      </c>
      <c r="H122" s="2">
        <f t="shared" si="18"/>
        <v>10</v>
      </c>
      <c r="I122" s="2">
        <f t="shared" si="19"/>
        <v>10</v>
      </c>
      <c r="J122" s="2">
        <f t="shared" si="20"/>
        <v>10</v>
      </c>
      <c r="K122" s="2">
        <f t="shared" si="21"/>
        <v>0</v>
      </c>
      <c r="L122" s="2">
        <f t="shared" si="22"/>
        <v>0</v>
      </c>
      <c r="M122" s="2" t="str">
        <f>'Input Sheet'!E120</f>
        <v>F</v>
      </c>
      <c r="N122" s="2">
        <f t="shared" si="23"/>
        <v>2</v>
      </c>
      <c r="P122">
        <f t="shared" si="26"/>
        <v>0</v>
      </c>
      <c r="Q122">
        <f t="shared" si="26"/>
        <v>10</v>
      </c>
      <c r="R122">
        <f t="shared" si="26"/>
        <v>0</v>
      </c>
      <c r="S122">
        <f t="shared" si="26"/>
        <v>0</v>
      </c>
      <c r="T122">
        <f t="shared" si="26"/>
        <v>0</v>
      </c>
    </row>
    <row r="123" spans="1:20" ht="16.5" x14ac:dyDescent="0.35">
      <c r="A123" s="57" t="str">
        <f>'Long Sample Name'!A119</f>
        <v>Sample 2540m: 5% Siltstone, 95% very fine to fine Sandstone, 60% dull  to  moderately bright FLUOR in SST. TG 158U</v>
      </c>
      <c r="B123" s="1">
        <f>'Input Sheet'!L121</f>
        <v>45209</v>
      </c>
      <c r="C123" s="7">
        <f>'Input Sheet'!M121</f>
        <v>0.46527777777777773</v>
      </c>
      <c r="D123" s="58">
        <f>'Input Sheet'!B121</f>
        <v>2540</v>
      </c>
      <c r="E123" s="8">
        <f>'Input Sheet'!I121</f>
        <v>158</v>
      </c>
      <c r="F123" s="59">
        <f>'Input Sheet'!C121/100</f>
        <v>0.95</v>
      </c>
      <c r="G123" s="59">
        <f>'Input Sheet'!F121/100</f>
        <v>0.5</v>
      </c>
      <c r="H123" s="2">
        <f t="shared" si="18"/>
        <v>10</v>
      </c>
      <c r="I123" s="2">
        <f t="shared" si="19"/>
        <v>10</v>
      </c>
      <c r="J123" s="2">
        <f t="shared" si="20"/>
        <v>9.5</v>
      </c>
      <c r="K123" s="2">
        <f t="shared" si="21"/>
        <v>0</v>
      </c>
      <c r="L123" s="2">
        <f t="shared" si="22"/>
        <v>0</v>
      </c>
      <c r="M123" s="2" t="str">
        <f>'Input Sheet'!E121</f>
        <v>F</v>
      </c>
      <c r="N123" s="2">
        <f t="shared" si="23"/>
        <v>2</v>
      </c>
      <c r="P123">
        <f t="shared" ref="P123:T132" si="27">IF($M123=P$1,$H123,0)</f>
        <v>0</v>
      </c>
      <c r="Q123">
        <f t="shared" si="27"/>
        <v>10</v>
      </c>
      <c r="R123">
        <f t="shared" si="27"/>
        <v>0</v>
      </c>
      <c r="S123">
        <f t="shared" si="27"/>
        <v>0</v>
      </c>
      <c r="T123">
        <f t="shared" si="27"/>
        <v>0</v>
      </c>
    </row>
    <row r="124" spans="1:20" ht="16.5" x14ac:dyDescent="0.35">
      <c r="A124" s="57" t="str">
        <f>'Long Sample Name'!A120</f>
        <v>Sample 2550m: Y siderite in 40% Siltstone, 60% very fine to fine Sandstone, 50% dull  to  moderately bright FLUOR in SST. TG 128U</v>
      </c>
      <c r="B124" s="1">
        <f>'Input Sheet'!L122</f>
        <v>45209</v>
      </c>
      <c r="C124" s="7">
        <f>'Input Sheet'!M122</f>
        <v>0.4826388888888889</v>
      </c>
      <c r="D124" s="58">
        <f>'Input Sheet'!B122</f>
        <v>2550</v>
      </c>
      <c r="E124" s="8">
        <f>'Input Sheet'!I122</f>
        <v>128</v>
      </c>
      <c r="F124" s="59">
        <f>'Input Sheet'!C122/100</f>
        <v>0.6</v>
      </c>
      <c r="G124" s="59">
        <f>'Input Sheet'!F122/100</f>
        <v>0.1</v>
      </c>
      <c r="H124" s="2">
        <f t="shared" si="18"/>
        <v>10</v>
      </c>
      <c r="I124" s="2">
        <f t="shared" si="19"/>
        <v>10</v>
      </c>
      <c r="J124" s="2">
        <f t="shared" si="20"/>
        <v>6</v>
      </c>
      <c r="K124" s="2">
        <f t="shared" si="21"/>
        <v>0</v>
      </c>
      <c r="L124" s="2">
        <f t="shared" si="22"/>
        <v>0</v>
      </c>
      <c r="M124" s="2" t="str">
        <f>'Input Sheet'!E122</f>
        <v>C</v>
      </c>
      <c r="N124" s="2">
        <f t="shared" si="23"/>
        <v>4</v>
      </c>
      <c r="P124">
        <f t="shared" si="27"/>
        <v>0</v>
      </c>
      <c r="Q124">
        <f t="shared" si="27"/>
        <v>0</v>
      </c>
      <c r="R124">
        <f t="shared" si="27"/>
        <v>0</v>
      </c>
      <c r="S124">
        <f t="shared" si="27"/>
        <v>10</v>
      </c>
      <c r="T124">
        <f t="shared" si="27"/>
        <v>0</v>
      </c>
    </row>
    <row r="125" spans="1:20" ht="16.5" x14ac:dyDescent="0.35">
      <c r="A125" s="57" t="str">
        <f>'Long Sample Name'!A121</f>
        <v>Sample 2560m: Y siderite in 80% Siltstone, 20% very fine to fine Sandstone, 10% dull  to  moderately bright FLUOR in SST. TG 119U</v>
      </c>
      <c r="B125" s="1">
        <f>'Input Sheet'!L123</f>
        <v>45209</v>
      </c>
      <c r="C125" s="7">
        <f>'Input Sheet'!M123</f>
        <v>0.50347222222222221</v>
      </c>
      <c r="D125" s="58">
        <f>'Input Sheet'!B123</f>
        <v>2560</v>
      </c>
      <c r="E125" s="8">
        <f>'Input Sheet'!I123</f>
        <v>119</v>
      </c>
      <c r="F125" s="59">
        <f>'Input Sheet'!C123/100</f>
        <v>0.2</v>
      </c>
      <c r="G125" s="59">
        <f>'Input Sheet'!F123/100</f>
        <v>0.25</v>
      </c>
      <c r="H125" s="2">
        <f t="shared" ref="H125:H156" si="28">IF(D125&lt;&gt;"",D125-D124,"")</f>
        <v>10</v>
      </c>
      <c r="I125" s="2">
        <f t="shared" ref="I125:I156" si="29">IF(AND(F125&gt;=$F$2,G125&gt;=$G$2),H125,0)</f>
        <v>10</v>
      </c>
      <c r="J125" s="2">
        <f t="shared" ref="J125:J156" si="30">IF(I125&gt;0,I125*F125,0)</f>
        <v>2</v>
      </c>
      <c r="K125" s="2">
        <f t="shared" ref="K125:K156" si="31">IF(AND(F125&gt;=$F$3,G125&gt;=$G$3),H125,0)</f>
        <v>0</v>
      </c>
      <c r="L125" s="2">
        <f t="shared" ref="L125:L156" si="32">IF(K125&gt;0,K125*F125,0)</f>
        <v>0</v>
      </c>
      <c r="M125" s="2" t="str">
        <f>'Input Sheet'!E123</f>
        <v>C</v>
      </c>
      <c r="N125" s="2">
        <f t="shared" ref="N125:N156" si="33">IF(M125="VF",1,IF(M125="F",2,IF(M125="M",3,IF(M125="C",4,IF(M125="VC",5,0)))))</f>
        <v>4</v>
      </c>
      <c r="P125">
        <f t="shared" si="27"/>
        <v>0</v>
      </c>
      <c r="Q125">
        <f t="shared" si="27"/>
        <v>0</v>
      </c>
      <c r="R125">
        <f t="shared" si="27"/>
        <v>0</v>
      </c>
      <c r="S125">
        <f t="shared" si="27"/>
        <v>10</v>
      </c>
      <c r="T125">
        <f t="shared" si="27"/>
        <v>0</v>
      </c>
    </row>
    <row r="126" spans="1:20" ht="16.5" x14ac:dyDescent="0.35">
      <c r="A126" s="57" t="str">
        <f>'Long Sample Name'!A122</f>
        <v>Sample 2570m: Y siderite in 80% Siltstone, 20% very fine to fine Sandstone, 25% dull  to  moderately bright FLUOR in SST. TG 123U</v>
      </c>
      <c r="B126" s="1">
        <f>'Input Sheet'!L124</f>
        <v>45209</v>
      </c>
      <c r="C126" s="7">
        <f>'Input Sheet'!M124</f>
        <v>0.52430555555555558</v>
      </c>
      <c r="D126" s="58">
        <f>'Input Sheet'!B124</f>
        <v>2570</v>
      </c>
      <c r="E126" s="8">
        <f>'Input Sheet'!I124</f>
        <v>123</v>
      </c>
      <c r="F126" s="59">
        <f>'Input Sheet'!C124/100</f>
        <v>0.2</v>
      </c>
      <c r="G126" s="59">
        <f>'Input Sheet'!F124/100</f>
        <v>0.25</v>
      </c>
      <c r="H126" s="2">
        <f t="shared" si="28"/>
        <v>10</v>
      </c>
      <c r="I126" s="2">
        <f t="shared" si="29"/>
        <v>10</v>
      </c>
      <c r="J126" s="2">
        <f t="shared" si="30"/>
        <v>2</v>
      </c>
      <c r="K126" s="2">
        <f t="shared" si="31"/>
        <v>0</v>
      </c>
      <c r="L126" s="2">
        <f t="shared" si="32"/>
        <v>0</v>
      </c>
      <c r="M126" s="2" t="str">
        <f>'Input Sheet'!E124</f>
        <v>C</v>
      </c>
      <c r="N126" s="2">
        <f t="shared" si="33"/>
        <v>4</v>
      </c>
      <c r="P126">
        <f t="shared" si="27"/>
        <v>0</v>
      </c>
      <c r="Q126">
        <f t="shared" si="27"/>
        <v>0</v>
      </c>
      <c r="R126">
        <f t="shared" si="27"/>
        <v>0</v>
      </c>
      <c r="S126">
        <f t="shared" si="27"/>
        <v>10</v>
      </c>
      <c r="T126">
        <f t="shared" si="27"/>
        <v>0</v>
      </c>
    </row>
    <row r="127" spans="1:20" ht="16.5" x14ac:dyDescent="0.35">
      <c r="A127" s="57" t="str">
        <f>'Long Sample Name'!A123</f>
        <v>Sample 2580m: Y siderite in 70% Siltstone, 30% very fine to fine Sandstone, 25% dull  to  moderately bright FLUOR in SST. TG 101U</v>
      </c>
      <c r="B127" s="1">
        <f>'Input Sheet'!L125</f>
        <v>45209</v>
      </c>
      <c r="C127" s="7">
        <f>'Input Sheet'!M125</f>
        <v>0.54513888888888895</v>
      </c>
      <c r="D127" s="58">
        <f>'Input Sheet'!B125</f>
        <v>2580</v>
      </c>
      <c r="E127" s="8">
        <f>'Input Sheet'!I125</f>
        <v>101</v>
      </c>
      <c r="F127" s="59">
        <f>'Input Sheet'!C125/100</f>
        <v>0.3</v>
      </c>
      <c r="G127" s="59">
        <f>'Input Sheet'!F125/100</f>
        <v>0.25</v>
      </c>
      <c r="H127" s="2">
        <f t="shared" si="28"/>
        <v>10</v>
      </c>
      <c r="I127" s="2">
        <f t="shared" si="29"/>
        <v>10</v>
      </c>
      <c r="J127" s="2">
        <f t="shared" si="30"/>
        <v>3</v>
      </c>
      <c r="K127" s="2">
        <f t="shared" si="31"/>
        <v>0</v>
      </c>
      <c r="L127" s="2">
        <f t="shared" si="32"/>
        <v>0</v>
      </c>
      <c r="M127" s="2" t="str">
        <f>'Input Sheet'!E125</f>
        <v>M</v>
      </c>
      <c r="N127" s="2">
        <f t="shared" si="33"/>
        <v>3</v>
      </c>
      <c r="P127">
        <f t="shared" si="27"/>
        <v>0</v>
      </c>
      <c r="Q127">
        <f t="shared" si="27"/>
        <v>0</v>
      </c>
      <c r="R127">
        <f t="shared" si="27"/>
        <v>10</v>
      </c>
      <c r="S127">
        <f t="shared" si="27"/>
        <v>0</v>
      </c>
      <c r="T127">
        <f t="shared" si="27"/>
        <v>0</v>
      </c>
    </row>
    <row r="128" spans="1:20" ht="16.5" x14ac:dyDescent="0.35">
      <c r="A128" s="57" t="str">
        <f>'Long Sample Name'!A124</f>
        <v>Sample 2590m: Y siderite in 70% Siltstone, 30% very fine to fine Sandstone, 25% dull  to  moderately bright FLUOR in SST. TG 89U</v>
      </c>
      <c r="B128" s="1">
        <f>'Input Sheet'!L126</f>
        <v>45209</v>
      </c>
      <c r="C128" s="7">
        <f>'Input Sheet'!M126</f>
        <v>0.58333333333333337</v>
      </c>
      <c r="D128" s="58">
        <f>'Input Sheet'!B126</f>
        <v>2590</v>
      </c>
      <c r="E128" s="8">
        <f>'Input Sheet'!I126</f>
        <v>89</v>
      </c>
      <c r="F128" s="59">
        <f>'Input Sheet'!C126/100</f>
        <v>0.3</v>
      </c>
      <c r="G128" s="59">
        <f>'Input Sheet'!F126/100</f>
        <v>0.25</v>
      </c>
      <c r="H128" s="2">
        <f t="shared" si="28"/>
        <v>10</v>
      </c>
      <c r="I128" s="2">
        <f t="shared" si="29"/>
        <v>10</v>
      </c>
      <c r="J128" s="2">
        <f t="shared" si="30"/>
        <v>3</v>
      </c>
      <c r="K128" s="2">
        <f t="shared" si="31"/>
        <v>0</v>
      </c>
      <c r="L128" s="2">
        <f t="shared" si="32"/>
        <v>0</v>
      </c>
      <c r="M128" s="2" t="str">
        <f>'Input Sheet'!E126</f>
        <v>M</v>
      </c>
      <c r="N128" s="2">
        <f t="shared" si="33"/>
        <v>3</v>
      </c>
      <c r="P128">
        <f t="shared" si="27"/>
        <v>0</v>
      </c>
      <c r="Q128">
        <f t="shared" si="27"/>
        <v>0</v>
      </c>
      <c r="R128">
        <f t="shared" si="27"/>
        <v>10</v>
      </c>
      <c r="S128">
        <f t="shared" si="27"/>
        <v>0</v>
      </c>
      <c r="T128">
        <f t="shared" si="27"/>
        <v>0</v>
      </c>
    </row>
    <row r="129" spans="1:20" ht="16.5" x14ac:dyDescent="0.35">
      <c r="A129" s="57" t="str">
        <f>'Long Sample Name'!A125</f>
        <v>Sample 2600m: Y siderite in 60% Siltstone, 40% very fine to fine Sandstone, 25% dull  to  moderately bright FLUOR in SST. TG 94U</v>
      </c>
      <c r="B129" s="1">
        <f>'Input Sheet'!L127</f>
        <v>45209</v>
      </c>
      <c r="C129" s="7">
        <f>'Input Sheet'!M127</f>
        <v>0.59722222222222221</v>
      </c>
      <c r="D129" s="58">
        <f>'Input Sheet'!B127</f>
        <v>2600</v>
      </c>
      <c r="E129" s="8">
        <f>'Input Sheet'!I127</f>
        <v>94</v>
      </c>
      <c r="F129" s="59">
        <f>'Input Sheet'!C127/100</f>
        <v>0.4</v>
      </c>
      <c r="G129" s="59">
        <f>'Input Sheet'!F127/100</f>
        <v>0.25</v>
      </c>
      <c r="H129" s="2">
        <f t="shared" si="28"/>
        <v>10</v>
      </c>
      <c r="I129" s="2">
        <f t="shared" si="29"/>
        <v>10</v>
      </c>
      <c r="J129" s="2">
        <f t="shared" si="30"/>
        <v>4</v>
      </c>
      <c r="K129" s="2">
        <f t="shared" si="31"/>
        <v>0</v>
      </c>
      <c r="L129" s="2">
        <f t="shared" si="32"/>
        <v>0</v>
      </c>
      <c r="M129" s="2" t="str">
        <f>'Input Sheet'!E127</f>
        <v>M</v>
      </c>
      <c r="N129" s="2">
        <f t="shared" si="33"/>
        <v>3</v>
      </c>
      <c r="P129">
        <f t="shared" si="27"/>
        <v>0</v>
      </c>
      <c r="Q129">
        <f t="shared" si="27"/>
        <v>0</v>
      </c>
      <c r="R129">
        <f t="shared" si="27"/>
        <v>10</v>
      </c>
      <c r="S129">
        <f t="shared" si="27"/>
        <v>0</v>
      </c>
      <c r="T129">
        <f t="shared" si="27"/>
        <v>0</v>
      </c>
    </row>
    <row r="130" spans="1:20" ht="16.5" x14ac:dyDescent="0.35">
      <c r="A130" s="57" t="str">
        <f>'Long Sample Name'!A126</f>
        <v>Sample 2610m: Y siderite in 75% Siltstone, 25% very fine to fine Sandstone, 25% dull  to  moderately bright FLUOR in SST. TG 82U</v>
      </c>
      <c r="B130" s="1">
        <f>'Input Sheet'!L128</f>
        <v>45209</v>
      </c>
      <c r="C130" s="7">
        <f>'Input Sheet'!M128</f>
        <v>0.61805555555555558</v>
      </c>
      <c r="D130" s="58">
        <f>'Input Sheet'!B128</f>
        <v>2610</v>
      </c>
      <c r="E130" s="8">
        <f>'Input Sheet'!I128</f>
        <v>82</v>
      </c>
      <c r="F130" s="59">
        <f>'Input Sheet'!C128/100</f>
        <v>0.25</v>
      </c>
      <c r="G130" s="59">
        <f>'Input Sheet'!F128/100</f>
        <v>0.2</v>
      </c>
      <c r="H130" s="2">
        <f t="shared" si="28"/>
        <v>10</v>
      </c>
      <c r="I130" s="2">
        <f t="shared" si="29"/>
        <v>10</v>
      </c>
      <c r="J130" s="2">
        <f t="shared" si="30"/>
        <v>2.5</v>
      </c>
      <c r="K130" s="2">
        <f t="shared" si="31"/>
        <v>0</v>
      </c>
      <c r="L130" s="2">
        <f t="shared" si="32"/>
        <v>0</v>
      </c>
      <c r="M130" s="2" t="str">
        <f>'Input Sheet'!E128</f>
        <v>M</v>
      </c>
      <c r="N130" s="2">
        <f t="shared" si="33"/>
        <v>3</v>
      </c>
      <c r="P130">
        <f t="shared" si="27"/>
        <v>0</v>
      </c>
      <c r="Q130">
        <f t="shared" si="27"/>
        <v>0</v>
      </c>
      <c r="R130">
        <f t="shared" si="27"/>
        <v>10</v>
      </c>
      <c r="S130">
        <f t="shared" si="27"/>
        <v>0</v>
      </c>
      <c r="T130">
        <f t="shared" si="27"/>
        <v>0</v>
      </c>
    </row>
    <row r="131" spans="1:20" ht="16.5" x14ac:dyDescent="0.35">
      <c r="A131" s="57" t="str">
        <f>'Long Sample Name'!A127</f>
        <v>Sample 2620m: Y siderite in 80% Siltstone, 20% very fine to fine Sandstone, 20% dull  to  moderately bright FLUOR in SST. TG 89U</v>
      </c>
      <c r="B131" s="1">
        <f>'Input Sheet'!L129</f>
        <v>45209</v>
      </c>
      <c r="C131" s="7">
        <f>'Input Sheet'!M129</f>
        <v>0.63194444444444442</v>
      </c>
      <c r="D131" s="58">
        <f>'Input Sheet'!B129</f>
        <v>2620</v>
      </c>
      <c r="E131" s="8">
        <f>'Input Sheet'!I129</f>
        <v>89</v>
      </c>
      <c r="F131" s="59">
        <f>'Input Sheet'!C129/100</f>
        <v>0.2</v>
      </c>
      <c r="G131" s="59">
        <f>'Input Sheet'!F129/100</f>
        <v>0.2</v>
      </c>
      <c r="H131" s="2">
        <f t="shared" si="28"/>
        <v>10</v>
      </c>
      <c r="I131" s="2">
        <f t="shared" si="29"/>
        <v>10</v>
      </c>
      <c r="J131" s="2">
        <f t="shared" si="30"/>
        <v>2</v>
      </c>
      <c r="K131" s="2">
        <f t="shared" si="31"/>
        <v>0</v>
      </c>
      <c r="L131" s="2">
        <f t="shared" si="32"/>
        <v>0</v>
      </c>
      <c r="M131" s="2" t="str">
        <f>'Input Sheet'!E129</f>
        <v>M</v>
      </c>
      <c r="N131" s="2">
        <f t="shared" si="33"/>
        <v>3</v>
      </c>
      <c r="P131">
        <f t="shared" si="27"/>
        <v>0</v>
      </c>
      <c r="Q131">
        <f t="shared" si="27"/>
        <v>0</v>
      </c>
      <c r="R131">
        <f t="shared" si="27"/>
        <v>10</v>
      </c>
      <c r="S131">
        <f t="shared" si="27"/>
        <v>0</v>
      </c>
      <c r="T131">
        <f t="shared" si="27"/>
        <v>0</v>
      </c>
    </row>
    <row r="132" spans="1:20" ht="16.5" x14ac:dyDescent="0.35">
      <c r="A132" s="57" t="str">
        <f>'Long Sample Name'!A128</f>
        <v>Sample 2630m: y siderite in 60% Siltstone, 40% very fine to fine Sandstone, 20% dull  to  moderately bright FLUOR in SST. TG 84U</v>
      </c>
      <c r="B132" s="1">
        <f>'Input Sheet'!L130</f>
        <v>45209</v>
      </c>
      <c r="C132" s="7">
        <f>'Input Sheet'!M130</f>
        <v>0.65625</v>
      </c>
      <c r="D132" s="58">
        <f>'Input Sheet'!B130</f>
        <v>2630</v>
      </c>
      <c r="E132" s="8">
        <f>'Input Sheet'!I130</f>
        <v>84</v>
      </c>
      <c r="F132" s="59">
        <f>'Input Sheet'!C130/100</f>
        <v>0.4</v>
      </c>
      <c r="G132" s="59">
        <f>'Input Sheet'!F130/100</f>
        <v>0.05</v>
      </c>
      <c r="H132" s="2">
        <f t="shared" si="28"/>
        <v>10</v>
      </c>
      <c r="I132" s="2">
        <f t="shared" si="29"/>
        <v>10</v>
      </c>
      <c r="J132" s="2">
        <f t="shared" si="30"/>
        <v>4</v>
      </c>
      <c r="K132" s="2">
        <f t="shared" si="31"/>
        <v>0</v>
      </c>
      <c r="L132" s="2">
        <f t="shared" si="32"/>
        <v>0</v>
      </c>
      <c r="M132" s="2" t="str">
        <f>'Input Sheet'!E130</f>
        <v>M</v>
      </c>
      <c r="N132" s="2">
        <f t="shared" si="33"/>
        <v>3</v>
      </c>
      <c r="P132">
        <f t="shared" si="27"/>
        <v>0</v>
      </c>
      <c r="Q132">
        <f t="shared" si="27"/>
        <v>0</v>
      </c>
      <c r="R132">
        <f t="shared" si="27"/>
        <v>10</v>
      </c>
      <c r="S132">
        <f t="shared" si="27"/>
        <v>0</v>
      </c>
      <c r="T132">
        <f t="shared" si="27"/>
        <v>0</v>
      </c>
    </row>
    <row r="133" spans="1:20" ht="16.5" x14ac:dyDescent="0.35">
      <c r="A133" s="57" t="str">
        <f>'Long Sample Name'!A129</f>
        <v>Sample 2640m: y siderite in 40% Siltstone, 60% very fine to fine Sandstone, 5% dull  to  moderately bright FLUOR in SST. TG 100U</v>
      </c>
      <c r="B133" s="1">
        <f>'Input Sheet'!L131</f>
        <v>45209</v>
      </c>
      <c r="C133" s="7">
        <f>'Input Sheet'!M131</f>
        <v>0.67013888888888884</v>
      </c>
      <c r="D133" s="58">
        <f>'Input Sheet'!B131</f>
        <v>2640</v>
      </c>
      <c r="E133" s="8">
        <f>'Input Sheet'!I131</f>
        <v>100</v>
      </c>
      <c r="F133" s="59">
        <f>'Input Sheet'!C131/100</f>
        <v>0.6</v>
      </c>
      <c r="G133" s="59">
        <f>'Input Sheet'!F131/100</f>
        <v>0.15</v>
      </c>
      <c r="H133" s="2">
        <f t="shared" si="28"/>
        <v>10</v>
      </c>
      <c r="I133" s="2">
        <f t="shared" si="29"/>
        <v>10</v>
      </c>
      <c r="J133" s="2">
        <f t="shared" si="30"/>
        <v>6</v>
      </c>
      <c r="K133" s="2">
        <f t="shared" si="31"/>
        <v>0</v>
      </c>
      <c r="L133" s="2">
        <f t="shared" si="32"/>
        <v>0</v>
      </c>
      <c r="M133" s="2" t="str">
        <f>'Input Sheet'!E131</f>
        <v>M</v>
      </c>
      <c r="N133" s="2">
        <f t="shared" si="33"/>
        <v>3</v>
      </c>
      <c r="P133">
        <f t="shared" ref="P133:T142" si="34">IF($M133=P$1,$H133,0)</f>
        <v>0</v>
      </c>
      <c r="Q133">
        <f t="shared" si="34"/>
        <v>0</v>
      </c>
      <c r="R133">
        <f t="shared" si="34"/>
        <v>10</v>
      </c>
      <c r="S133">
        <f t="shared" si="34"/>
        <v>0</v>
      </c>
      <c r="T133">
        <f t="shared" si="34"/>
        <v>0</v>
      </c>
    </row>
    <row r="134" spans="1:20" ht="16.5" x14ac:dyDescent="0.35">
      <c r="A134" s="57" t="str">
        <f>'Long Sample Name'!A130</f>
        <v>Sample 2650m: y siderite in 30% Siltstone, 70% very fine to fine Sandstone, 15% dull  to  moderately bright FLUOR in SST. TG 82U</v>
      </c>
      <c r="B134" s="1">
        <f>'Input Sheet'!L132</f>
        <v>45209</v>
      </c>
      <c r="C134" s="7">
        <f>'Input Sheet'!M132</f>
        <v>0.69444444444444453</v>
      </c>
      <c r="D134" s="58">
        <f>'Input Sheet'!B132</f>
        <v>2650</v>
      </c>
      <c r="E134" s="8">
        <f>'Input Sheet'!I132</f>
        <v>82</v>
      </c>
      <c r="F134" s="59">
        <f>'Input Sheet'!C132/100</f>
        <v>0.7</v>
      </c>
      <c r="G134" s="59">
        <f>'Input Sheet'!F132/100</f>
        <v>0.1</v>
      </c>
      <c r="H134" s="2">
        <f t="shared" si="28"/>
        <v>10</v>
      </c>
      <c r="I134" s="2">
        <f t="shared" si="29"/>
        <v>10</v>
      </c>
      <c r="J134" s="2">
        <f t="shared" si="30"/>
        <v>7</v>
      </c>
      <c r="K134" s="2">
        <f t="shared" si="31"/>
        <v>0</v>
      </c>
      <c r="L134" s="2">
        <f t="shared" si="32"/>
        <v>0</v>
      </c>
      <c r="M134" s="2" t="str">
        <f>'Input Sheet'!E132</f>
        <v>M</v>
      </c>
      <c r="N134" s="2">
        <f t="shared" si="33"/>
        <v>3</v>
      </c>
      <c r="P134">
        <f t="shared" si="34"/>
        <v>0</v>
      </c>
      <c r="Q134">
        <f t="shared" si="34"/>
        <v>0</v>
      </c>
      <c r="R134">
        <f t="shared" si="34"/>
        <v>10</v>
      </c>
      <c r="S134">
        <f t="shared" si="34"/>
        <v>0</v>
      </c>
      <c r="T134">
        <f t="shared" si="34"/>
        <v>0</v>
      </c>
    </row>
    <row r="135" spans="1:20" ht="16.5" x14ac:dyDescent="0.35">
      <c r="A135" s="57" t="str">
        <f>'Long Sample Name'!A131</f>
        <v>Sample 2660m: N siderite in 60% Siltstone, 40% very fine to fine Sandstone, 10% dull  to  moderately bright FLUOR in SST. TG 85U</v>
      </c>
      <c r="B135" s="1">
        <f>'Input Sheet'!L133</f>
        <v>45209</v>
      </c>
      <c r="C135" s="7">
        <f>'Input Sheet'!M133</f>
        <v>0.71875</v>
      </c>
      <c r="D135" s="58">
        <f>'Input Sheet'!B133</f>
        <v>2660</v>
      </c>
      <c r="E135" s="8">
        <f>'Input Sheet'!I133</f>
        <v>85</v>
      </c>
      <c r="F135" s="59">
        <f>'Input Sheet'!C133/100</f>
        <v>0.4</v>
      </c>
      <c r="G135" s="59">
        <f>'Input Sheet'!F133/100</f>
        <v>0.2</v>
      </c>
      <c r="H135" s="2">
        <f t="shared" si="28"/>
        <v>10</v>
      </c>
      <c r="I135" s="2">
        <f t="shared" si="29"/>
        <v>10</v>
      </c>
      <c r="J135" s="2">
        <f t="shared" si="30"/>
        <v>4</v>
      </c>
      <c r="K135" s="2">
        <f t="shared" si="31"/>
        <v>0</v>
      </c>
      <c r="L135" s="2">
        <f t="shared" si="32"/>
        <v>0</v>
      </c>
      <c r="M135" s="2" t="str">
        <f>'Input Sheet'!E133</f>
        <v>M</v>
      </c>
      <c r="N135" s="2">
        <f t="shared" si="33"/>
        <v>3</v>
      </c>
      <c r="P135">
        <f t="shared" si="34"/>
        <v>0</v>
      </c>
      <c r="Q135">
        <f t="shared" si="34"/>
        <v>0</v>
      </c>
      <c r="R135">
        <f t="shared" si="34"/>
        <v>10</v>
      </c>
      <c r="S135">
        <f t="shared" si="34"/>
        <v>0</v>
      </c>
      <c r="T135">
        <f t="shared" si="34"/>
        <v>0</v>
      </c>
    </row>
    <row r="136" spans="1:20" ht="16.5" x14ac:dyDescent="0.35">
      <c r="A136" s="57" t="str">
        <f>'Long Sample Name'!A132</f>
        <v>Sample 2670m: N siderite in 30% Siltstone, 70% fine to medium Sandstone, 20% moderately bright FLUOR in SST. TG 116U</v>
      </c>
      <c r="B136" s="1">
        <f>'Input Sheet'!L134</f>
        <v>45209</v>
      </c>
      <c r="C136" s="7">
        <f>'Input Sheet'!M134</f>
        <v>0.73611111111111116</v>
      </c>
      <c r="D136" s="58">
        <f>'Input Sheet'!B134</f>
        <v>2670</v>
      </c>
      <c r="E136" s="8">
        <f>'Input Sheet'!I134</f>
        <v>116</v>
      </c>
      <c r="F136" s="59">
        <f>'Input Sheet'!C134/100</f>
        <v>0.7</v>
      </c>
      <c r="G136" s="59">
        <f>'Input Sheet'!F134/100</f>
        <v>0.45</v>
      </c>
      <c r="H136" s="2">
        <f t="shared" si="28"/>
        <v>10</v>
      </c>
      <c r="I136" s="2">
        <f t="shared" si="29"/>
        <v>10</v>
      </c>
      <c r="J136" s="2">
        <f t="shared" si="30"/>
        <v>7</v>
      </c>
      <c r="K136" s="2">
        <f t="shared" si="31"/>
        <v>0</v>
      </c>
      <c r="L136" s="2">
        <f t="shared" si="32"/>
        <v>0</v>
      </c>
      <c r="M136" s="2" t="str">
        <f>'Input Sheet'!E134</f>
        <v>C</v>
      </c>
      <c r="N136" s="2">
        <f t="shared" si="33"/>
        <v>4</v>
      </c>
      <c r="P136">
        <f t="shared" si="34"/>
        <v>0</v>
      </c>
      <c r="Q136">
        <f t="shared" si="34"/>
        <v>0</v>
      </c>
      <c r="R136">
        <f t="shared" si="34"/>
        <v>0</v>
      </c>
      <c r="S136">
        <f t="shared" si="34"/>
        <v>10</v>
      </c>
      <c r="T136">
        <f t="shared" si="34"/>
        <v>0</v>
      </c>
    </row>
    <row r="137" spans="1:20" ht="16.5" x14ac:dyDescent="0.35">
      <c r="A137" s="57" t="str">
        <f>'Long Sample Name'!A133</f>
        <v>Sample 2680m: 10% Siltstone, 90% fine to medium Sandstone, 45% dull  to  moderately bright FLUOR in SST. TG 228U</v>
      </c>
      <c r="B137" s="1">
        <f>'Input Sheet'!L135</f>
        <v>45209</v>
      </c>
      <c r="C137" s="7">
        <f>'Input Sheet'!M135</f>
        <v>0.75486111111111109</v>
      </c>
      <c r="D137" s="58">
        <f>'Input Sheet'!B135</f>
        <v>2680</v>
      </c>
      <c r="E137" s="8">
        <f>'Input Sheet'!I135</f>
        <v>228</v>
      </c>
      <c r="F137" s="59">
        <f>'Input Sheet'!C135/100</f>
        <v>0.9</v>
      </c>
      <c r="G137" s="59">
        <f>'Input Sheet'!F135/100</f>
        <v>0.6</v>
      </c>
      <c r="H137" s="2">
        <f t="shared" si="28"/>
        <v>10</v>
      </c>
      <c r="I137" s="2">
        <f t="shared" si="29"/>
        <v>10</v>
      </c>
      <c r="J137" s="2">
        <f t="shared" si="30"/>
        <v>9</v>
      </c>
      <c r="K137" s="2">
        <f t="shared" si="31"/>
        <v>0</v>
      </c>
      <c r="L137" s="2">
        <f t="shared" si="32"/>
        <v>0</v>
      </c>
      <c r="M137" s="2" t="str">
        <f>'Input Sheet'!E135</f>
        <v>M</v>
      </c>
      <c r="N137" s="2">
        <f t="shared" si="33"/>
        <v>3</v>
      </c>
      <c r="P137">
        <f t="shared" si="34"/>
        <v>0</v>
      </c>
      <c r="Q137">
        <f t="shared" si="34"/>
        <v>0</v>
      </c>
      <c r="R137">
        <f t="shared" si="34"/>
        <v>10</v>
      </c>
      <c r="S137">
        <f t="shared" si="34"/>
        <v>0</v>
      </c>
      <c r="T137">
        <f t="shared" si="34"/>
        <v>0</v>
      </c>
    </row>
    <row r="138" spans="1:20" ht="16.5" x14ac:dyDescent="0.35">
      <c r="A138" s="57" t="str">
        <f>'Long Sample Name'!A134</f>
        <v>Sample 2690m: 0% Siltstone, 100% fine to medium Sandstone, 60% moderately bright  to  bright FLUOR in SST. TG 250U</v>
      </c>
      <c r="B138" s="1">
        <f>'Input Sheet'!L136</f>
        <v>45209</v>
      </c>
      <c r="C138" s="7">
        <f>'Input Sheet'!M136</f>
        <v>0.77430555555555547</v>
      </c>
      <c r="D138" s="58">
        <f>'Input Sheet'!B136</f>
        <v>2690</v>
      </c>
      <c r="E138" s="8">
        <f>'Input Sheet'!I136</f>
        <v>250</v>
      </c>
      <c r="F138" s="59">
        <f>'Input Sheet'!C136/100</f>
        <v>1</v>
      </c>
      <c r="G138" s="59">
        <f>'Input Sheet'!F136/100</f>
        <v>0.8</v>
      </c>
      <c r="H138" s="2">
        <f t="shared" si="28"/>
        <v>10</v>
      </c>
      <c r="I138" s="2">
        <f t="shared" si="29"/>
        <v>10</v>
      </c>
      <c r="J138" s="2">
        <f t="shared" si="30"/>
        <v>10</v>
      </c>
      <c r="K138" s="2">
        <f t="shared" si="31"/>
        <v>10</v>
      </c>
      <c r="L138" s="2">
        <f t="shared" si="32"/>
        <v>10</v>
      </c>
      <c r="M138" s="2" t="str">
        <f>'Input Sheet'!E136</f>
        <v>M</v>
      </c>
      <c r="N138" s="2">
        <f t="shared" si="33"/>
        <v>3</v>
      </c>
      <c r="P138">
        <f t="shared" si="34"/>
        <v>0</v>
      </c>
      <c r="Q138">
        <f t="shared" si="34"/>
        <v>0</v>
      </c>
      <c r="R138">
        <f t="shared" si="34"/>
        <v>10</v>
      </c>
      <c r="S138">
        <f t="shared" si="34"/>
        <v>0</v>
      </c>
      <c r="T138">
        <f t="shared" si="34"/>
        <v>0</v>
      </c>
    </row>
    <row r="139" spans="1:20" ht="16.5" x14ac:dyDescent="0.35">
      <c r="A139" s="57" t="str">
        <f>'Long Sample Name'!A135</f>
        <v>Sample 2700m: 10% Siltstone, 90% fine to medium Sandstone, 80% moderately bright  to  bright FLUOR in SST. TG 174U</v>
      </c>
      <c r="B139" s="1">
        <f>'Input Sheet'!L137</f>
        <v>45209</v>
      </c>
      <c r="C139" s="7">
        <f>'Input Sheet'!M137</f>
        <v>0.79513888888888884</v>
      </c>
      <c r="D139" s="58">
        <f>'Input Sheet'!B137</f>
        <v>2700</v>
      </c>
      <c r="E139" s="8">
        <f>'Input Sheet'!I137</f>
        <v>174</v>
      </c>
      <c r="F139" s="59">
        <f>'Input Sheet'!C137/100</f>
        <v>0.9</v>
      </c>
      <c r="G139" s="59">
        <f>'Input Sheet'!F137/100</f>
        <v>0.8</v>
      </c>
      <c r="H139" s="2">
        <f t="shared" si="28"/>
        <v>10</v>
      </c>
      <c r="I139" s="2">
        <f t="shared" si="29"/>
        <v>10</v>
      </c>
      <c r="J139" s="2">
        <f t="shared" si="30"/>
        <v>9</v>
      </c>
      <c r="K139" s="2">
        <f t="shared" si="31"/>
        <v>10</v>
      </c>
      <c r="L139" s="2">
        <f t="shared" si="32"/>
        <v>9</v>
      </c>
      <c r="M139" s="2" t="str">
        <f>'Input Sheet'!E137</f>
        <v>M</v>
      </c>
      <c r="N139" s="2">
        <f t="shared" si="33"/>
        <v>3</v>
      </c>
      <c r="P139">
        <f t="shared" si="34"/>
        <v>0</v>
      </c>
      <c r="Q139">
        <f t="shared" si="34"/>
        <v>0</v>
      </c>
      <c r="R139">
        <f t="shared" si="34"/>
        <v>10</v>
      </c>
      <c r="S139">
        <f t="shared" si="34"/>
        <v>0</v>
      </c>
      <c r="T139">
        <f t="shared" si="34"/>
        <v>0</v>
      </c>
    </row>
    <row r="140" spans="1:20" ht="16.5" x14ac:dyDescent="0.35">
      <c r="A140" s="57" t="str">
        <f>'Long Sample Name'!A136</f>
        <v>Sample 2710m: 0% Siltstone, 100% fine to medium Sandstone, 80% bright FLUOR in SST. TG 253U</v>
      </c>
      <c r="B140" s="1">
        <f>'Input Sheet'!L138</f>
        <v>45209</v>
      </c>
      <c r="C140" s="7">
        <f>'Input Sheet'!M138</f>
        <v>0.8125</v>
      </c>
      <c r="D140" s="58">
        <f>'Input Sheet'!B138</f>
        <v>2710</v>
      </c>
      <c r="E140" s="8">
        <f>'Input Sheet'!I138</f>
        <v>253</v>
      </c>
      <c r="F140" s="59">
        <f>'Input Sheet'!C138/100</f>
        <v>1</v>
      </c>
      <c r="G140" s="59">
        <f>'Input Sheet'!F138/100</f>
        <v>1</v>
      </c>
      <c r="H140" s="2">
        <f t="shared" si="28"/>
        <v>10</v>
      </c>
      <c r="I140" s="2">
        <f t="shared" si="29"/>
        <v>10</v>
      </c>
      <c r="J140" s="2">
        <f t="shared" si="30"/>
        <v>10</v>
      </c>
      <c r="K140" s="2">
        <f t="shared" si="31"/>
        <v>10</v>
      </c>
      <c r="L140" s="2">
        <f t="shared" si="32"/>
        <v>10</v>
      </c>
      <c r="M140" s="2" t="str">
        <f>'Input Sheet'!E138</f>
        <v>M</v>
      </c>
      <c r="N140" s="2">
        <f t="shared" si="33"/>
        <v>3</v>
      </c>
      <c r="P140">
        <f t="shared" si="34"/>
        <v>0</v>
      </c>
      <c r="Q140">
        <f t="shared" si="34"/>
        <v>0</v>
      </c>
      <c r="R140">
        <f t="shared" si="34"/>
        <v>10</v>
      </c>
      <c r="S140">
        <f t="shared" si="34"/>
        <v>0</v>
      </c>
      <c r="T140">
        <f t="shared" si="34"/>
        <v>0</v>
      </c>
    </row>
    <row r="141" spans="1:20" ht="16.5" x14ac:dyDescent="0.35">
      <c r="A141" s="57" t="str">
        <f>'Long Sample Name'!A137</f>
        <v>Sample 2720m: 5% Siltstone, 95% fine to medium Sandstone, 100% moderately bright  to  bright FLUOR in SST. TG 285U</v>
      </c>
      <c r="B141" s="1">
        <f>'Input Sheet'!L139</f>
        <v>45209</v>
      </c>
      <c r="C141" s="7">
        <f>'Input Sheet'!M139</f>
        <v>0.83333333333333337</v>
      </c>
      <c r="D141" s="58">
        <f>'Input Sheet'!B139</f>
        <v>2720</v>
      </c>
      <c r="E141" s="8">
        <f>'Input Sheet'!I139</f>
        <v>285</v>
      </c>
      <c r="F141" s="59">
        <f>'Input Sheet'!C139/100</f>
        <v>0.95</v>
      </c>
      <c r="G141" s="59">
        <f>'Input Sheet'!F139/100</f>
        <v>0.8</v>
      </c>
      <c r="H141" s="2">
        <f t="shared" si="28"/>
        <v>10</v>
      </c>
      <c r="I141" s="2">
        <f t="shared" si="29"/>
        <v>10</v>
      </c>
      <c r="J141" s="2">
        <f t="shared" si="30"/>
        <v>9.5</v>
      </c>
      <c r="K141" s="2">
        <f t="shared" si="31"/>
        <v>10</v>
      </c>
      <c r="L141" s="2">
        <f t="shared" si="32"/>
        <v>9.5</v>
      </c>
      <c r="M141" s="2" t="str">
        <f>'Input Sheet'!E139</f>
        <v>M</v>
      </c>
      <c r="N141" s="2">
        <f t="shared" si="33"/>
        <v>3</v>
      </c>
      <c r="P141">
        <f t="shared" si="34"/>
        <v>0</v>
      </c>
      <c r="Q141">
        <f t="shared" si="34"/>
        <v>0</v>
      </c>
      <c r="R141">
        <f t="shared" si="34"/>
        <v>10</v>
      </c>
      <c r="S141">
        <f t="shared" si="34"/>
        <v>0</v>
      </c>
      <c r="T141">
        <f t="shared" si="34"/>
        <v>0</v>
      </c>
    </row>
    <row r="142" spans="1:20" ht="16.5" x14ac:dyDescent="0.35">
      <c r="A142" s="57" t="str">
        <f>'Long Sample Name'!A138</f>
        <v>Sample 2730m: 0% Siltstone, 100% fine to medium Sandstone, 80% bright FLUOR in SST. TG 277U</v>
      </c>
      <c r="B142" s="1">
        <f>'Input Sheet'!L140</f>
        <v>45209</v>
      </c>
      <c r="C142" s="7">
        <f>'Input Sheet'!M140</f>
        <v>0.85069444444444453</v>
      </c>
      <c r="D142" s="58">
        <f>'Input Sheet'!B140</f>
        <v>2730</v>
      </c>
      <c r="E142" s="8">
        <f>'Input Sheet'!I140</f>
        <v>277</v>
      </c>
      <c r="F142" s="59">
        <f>'Input Sheet'!C140/100</f>
        <v>1</v>
      </c>
      <c r="G142" s="59">
        <f>'Input Sheet'!F140/100</f>
        <v>1</v>
      </c>
      <c r="H142" s="2">
        <f t="shared" si="28"/>
        <v>10</v>
      </c>
      <c r="I142" s="2">
        <f t="shared" si="29"/>
        <v>10</v>
      </c>
      <c r="J142" s="2">
        <f t="shared" si="30"/>
        <v>10</v>
      </c>
      <c r="K142" s="2">
        <f t="shared" si="31"/>
        <v>10</v>
      </c>
      <c r="L142" s="2">
        <f t="shared" si="32"/>
        <v>10</v>
      </c>
      <c r="M142" s="2" t="str">
        <f>'Input Sheet'!E140</f>
        <v>M</v>
      </c>
      <c r="N142" s="2">
        <f t="shared" si="33"/>
        <v>3</v>
      </c>
      <c r="P142">
        <f t="shared" si="34"/>
        <v>0</v>
      </c>
      <c r="Q142">
        <f t="shared" si="34"/>
        <v>0</v>
      </c>
      <c r="R142">
        <f t="shared" si="34"/>
        <v>10</v>
      </c>
      <c r="S142">
        <f t="shared" si="34"/>
        <v>0</v>
      </c>
      <c r="T142">
        <f t="shared" si="34"/>
        <v>0</v>
      </c>
    </row>
    <row r="143" spans="1:20" ht="16.5" x14ac:dyDescent="0.35">
      <c r="A143" s="57" t="str">
        <f>'Long Sample Name'!A139</f>
        <v>Sample 2740m: 0% Siltstone, 100% fine to medium Sandstone, 100% bright FLUOR in SST. TG 246U</v>
      </c>
      <c r="B143" s="1">
        <f>'Input Sheet'!L141</f>
        <v>45209</v>
      </c>
      <c r="C143" s="7">
        <f>'Input Sheet'!M141</f>
        <v>0.87152777777777779</v>
      </c>
      <c r="D143" s="58">
        <f>'Input Sheet'!B141</f>
        <v>2740</v>
      </c>
      <c r="E143" s="8">
        <f>'Input Sheet'!I141</f>
        <v>246</v>
      </c>
      <c r="F143" s="59">
        <f>'Input Sheet'!C141/100</f>
        <v>1</v>
      </c>
      <c r="G143" s="59">
        <f>'Input Sheet'!F141/100</f>
        <v>1</v>
      </c>
      <c r="H143" s="2">
        <f t="shared" si="28"/>
        <v>10</v>
      </c>
      <c r="I143" s="2">
        <f t="shared" si="29"/>
        <v>10</v>
      </c>
      <c r="J143" s="2">
        <f t="shared" si="30"/>
        <v>10</v>
      </c>
      <c r="K143" s="2">
        <f t="shared" si="31"/>
        <v>10</v>
      </c>
      <c r="L143" s="2">
        <f t="shared" si="32"/>
        <v>10</v>
      </c>
      <c r="M143" s="2" t="str">
        <f>'Input Sheet'!E141</f>
        <v>M</v>
      </c>
      <c r="N143" s="2">
        <f t="shared" si="33"/>
        <v>3</v>
      </c>
      <c r="P143">
        <f t="shared" ref="P143:T152" si="35">IF($M143=P$1,$H143,0)</f>
        <v>0</v>
      </c>
      <c r="Q143">
        <f t="shared" si="35"/>
        <v>0</v>
      </c>
      <c r="R143">
        <f t="shared" si="35"/>
        <v>10</v>
      </c>
      <c r="S143">
        <f t="shared" si="35"/>
        <v>0</v>
      </c>
      <c r="T143">
        <f t="shared" si="35"/>
        <v>0</v>
      </c>
    </row>
    <row r="144" spans="1:20" ht="16.5" x14ac:dyDescent="0.35">
      <c r="A144" s="57" t="str">
        <f>'Long Sample Name'!A140</f>
        <v>Sample 2750m: 0% Siltstone, 100% fine to medium Sandstone, 100% bright FLUOR in SST. TG 249U</v>
      </c>
      <c r="B144" s="1">
        <f>'Input Sheet'!L142</f>
        <v>45209</v>
      </c>
      <c r="C144" s="7">
        <f>'Input Sheet'!M142</f>
        <v>0.88888888888888884</v>
      </c>
      <c r="D144" s="58">
        <f>'Input Sheet'!B142</f>
        <v>2750</v>
      </c>
      <c r="E144" s="8">
        <f>'Input Sheet'!I142</f>
        <v>249</v>
      </c>
      <c r="F144" s="59">
        <f>'Input Sheet'!C142/100</f>
        <v>1</v>
      </c>
      <c r="G144" s="59">
        <f>'Input Sheet'!F142/100</f>
        <v>1</v>
      </c>
      <c r="H144" s="2">
        <f t="shared" si="28"/>
        <v>10</v>
      </c>
      <c r="I144" s="2">
        <f t="shared" si="29"/>
        <v>10</v>
      </c>
      <c r="J144" s="2">
        <f t="shared" si="30"/>
        <v>10</v>
      </c>
      <c r="K144" s="2">
        <f t="shared" si="31"/>
        <v>10</v>
      </c>
      <c r="L144" s="2">
        <f t="shared" si="32"/>
        <v>10</v>
      </c>
      <c r="M144" s="2" t="str">
        <f>'Input Sheet'!E142</f>
        <v>M</v>
      </c>
      <c r="N144" s="2">
        <f t="shared" si="33"/>
        <v>3</v>
      </c>
      <c r="P144">
        <f t="shared" si="35"/>
        <v>0</v>
      </c>
      <c r="Q144">
        <f t="shared" si="35"/>
        <v>0</v>
      </c>
      <c r="R144">
        <f t="shared" si="35"/>
        <v>10</v>
      </c>
      <c r="S144">
        <f t="shared" si="35"/>
        <v>0</v>
      </c>
      <c r="T144">
        <f t="shared" si="35"/>
        <v>0</v>
      </c>
    </row>
    <row r="145" spans="1:20" ht="16.5" x14ac:dyDescent="0.35">
      <c r="A145" s="57" t="str">
        <f>'Long Sample Name'!A141</f>
        <v>Sample 2760m: 10% Siltstone, 90% fine to medium Sandstone, 100% bright FLUOR in SST. TG 190U</v>
      </c>
      <c r="B145" s="1">
        <f>'Input Sheet'!L143</f>
        <v>45209</v>
      </c>
      <c r="C145" s="7">
        <f>'Input Sheet'!M143</f>
        <v>0.91666666666666663</v>
      </c>
      <c r="D145" s="58">
        <f>'Input Sheet'!B143</f>
        <v>2760</v>
      </c>
      <c r="E145" s="8">
        <f>'Input Sheet'!I143</f>
        <v>190</v>
      </c>
      <c r="F145" s="59">
        <f>'Input Sheet'!C143/100</f>
        <v>0.9</v>
      </c>
      <c r="G145" s="59">
        <f>'Input Sheet'!F143/100</f>
        <v>0.8</v>
      </c>
      <c r="H145" s="2">
        <f t="shared" si="28"/>
        <v>10</v>
      </c>
      <c r="I145" s="2">
        <f t="shared" si="29"/>
        <v>10</v>
      </c>
      <c r="J145" s="2">
        <f t="shared" si="30"/>
        <v>9</v>
      </c>
      <c r="K145" s="2">
        <f t="shared" si="31"/>
        <v>10</v>
      </c>
      <c r="L145" s="2">
        <f t="shared" si="32"/>
        <v>9</v>
      </c>
      <c r="M145" s="2" t="str">
        <f>'Input Sheet'!E143</f>
        <v>M</v>
      </c>
      <c r="N145" s="2">
        <f t="shared" si="33"/>
        <v>3</v>
      </c>
      <c r="P145">
        <f t="shared" si="35"/>
        <v>0</v>
      </c>
      <c r="Q145">
        <f t="shared" si="35"/>
        <v>0</v>
      </c>
      <c r="R145">
        <f t="shared" si="35"/>
        <v>10</v>
      </c>
      <c r="S145">
        <f t="shared" si="35"/>
        <v>0</v>
      </c>
      <c r="T145">
        <f t="shared" si="35"/>
        <v>0</v>
      </c>
    </row>
    <row r="146" spans="1:20" ht="16.5" x14ac:dyDescent="0.35">
      <c r="A146" s="57" t="str">
        <f>'Long Sample Name'!A142</f>
        <v>Sample 2770m: 10% Siltstone, 90% fine to medium Sandstone, 80% moderately bright  to  bright FLUOR in SST. TG 191U</v>
      </c>
      <c r="B146" s="1">
        <f>'Input Sheet'!L144</f>
        <v>45209</v>
      </c>
      <c r="C146" s="7">
        <f>'Input Sheet'!M144</f>
        <v>0.93055555555555547</v>
      </c>
      <c r="D146" s="58">
        <f>'Input Sheet'!B144</f>
        <v>2770</v>
      </c>
      <c r="E146" s="8">
        <f>'Input Sheet'!I144</f>
        <v>191</v>
      </c>
      <c r="F146" s="59">
        <f>'Input Sheet'!C144/100</f>
        <v>0.9</v>
      </c>
      <c r="G146" s="59">
        <f>'Input Sheet'!F144/100</f>
        <v>0.7</v>
      </c>
      <c r="H146" s="2">
        <f t="shared" si="28"/>
        <v>10</v>
      </c>
      <c r="I146" s="2">
        <f t="shared" si="29"/>
        <v>10</v>
      </c>
      <c r="J146" s="2">
        <f t="shared" si="30"/>
        <v>9</v>
      </c>
      <c r="K146" s="2">
        <f t="shared" si="31"/>
        <v>0</v>
      </c>
      <c r="L146" s="2">
        <f t="shared" si="32"/>
        <v>0</v>
      </c>
      <c r="M146" s="2" t="str">
        <f>'Input Sheet'!E144</f>
        <v>M</v>
      </c>
      <c r="N146" s="2">
        <f t="shared" si="33"/>
        <v>3</v>
      </c>
      <c r="P146">
        <f t="shared" si="35"/>
        <v>0</v>
      </c>
      <c r="Q146">
        <f t="shared" si="35"/>
        <v>0</v>
      </c>
      <c r="R146">
        <f t="shared" si="35"/>
        <v>10</v>
      </c>
      <c r="S146">
        <f t="shared" si="35"/>
        <v>0</v>
      </c>
      <c r="T146">
        <f t="shared" si="35"/>
        <v>0</v>
      </c>
    </row>
    <row r="147" spans="1:20" ht="16.5" x14ac:dyDescent="0.35">
      <c r="A147" s="57" t="str">
        <f>'Long Sample Name'!A143</f>
        <v>Sample 2780m: 10% Siltstone, 90% fine to medium Sandstone, 70% moderately bright  to  bright FLUOR in SST. TG 107U</v>
      </c>
      <c r="B147" s="1">
        <f>'Input Sheet'!L145</f>
        <v>45209</v>
      </c>
      <c r="C147" s="7">
        <f>'Input Sheet'!M145</f>
        <v>0.95277777777777783</v>
      </c>
      <c r="D147" s="58">
        <f>'Input Sheet'!B145</f>
        <v>2780</v>
      </c>
      <c r="E147" s="8">
        <f>'Input Sheet'!I145</f>
        <v>107</v>
      </c>
      <c r="F147" s="59">
        <f>'Input Sheet'!C145/100</f>
        <v>0.9</v>
      </c>
      <c r="G147" s="59">
        <f>'Input Sheet'!F145/100</f>
        <v>0.7</v>
      </c>
      <c r="H147" s="2">
        <f t="shared" si="28"/>
        <v>10</v>
      </c>
      <c r="I147" s="2">
        <f t="shared" si="29"/>
        <v>10</v>
      </c>
      <c r="J147" s="2">
        <f t="shared" si="30"/>
        <v>9</v>
      </c>
      <c r="K147" s="2">
        <f t="shared" si="31"/>
        <v>0</v>
      </c>
      <c r="L147" s="2">
        <f t="shared" si="32"/>
        <v>0</v>
      </c>
      <c r="M147" s="2" t="str">
        <f>'Input Sheet'!E145</f>
        <v>M</v>
      </c>
      <c r="N147" s="2">
        <f t="shared" si="33"/>
        <v>3</v>
      </c>
      <c r="P147">
        <f t="shared" si="35"/>
        <v>0</v>
      </c>
      <c r="Q147">
        <f t="shared" si="35"/>
        <v>0</v>
      </c>
      <c r="R147">
        <f t="shared" si="35"/>
        <v>10</v>
      </c>
      <c r="S147">
        <f t="shared" si="35"/>
        <v>0</v>
      </c>
      <c r="T147">
        <f t="shared" si="35"/>
        <v>0</v>
      </c>
    </row>
    <row r="148" spans="1:20" ht="16.5" x14ac:dyDescent="0.35">
      <c r="A148" s="57" t="str">
        <f>'Long Sample Name'!A144</f>
        <v>Sample 2790m: 30% Siltstone, 70% fine Sandstone, 70% dull FLUOR in SST. TG 96U</v>
      </c>
      <c r="B148" s="1">
        <f>'Input Sheet'!L146</f>
        <v>45209</v>
      </c>
      <c r="C148" s="7">
        <f>'Input Sheet'!M146</f>
        <v>0.96527777777777779</v>
      </c>
      <c r="D148" s="58">
        <f>'Input Sheet'!B146</f>
        <v>2790</v>
      </c>
      <c r="E148" s="8">
        <f>'Input Sheet'!I146</f>
        <v>96</v>
      </c>
      <c r="F148" s="59">
        <f>'Input Sheet'!C146/100</f>
        <v>0.7</v>
      </c>
      <c r="G148" s="59">
        <f>'Input Sheet'!F146/100</f>
        <v>0.1</v>
      </c>
      <c r="H148" s="2">
        <f t="shared" si="28"/>
        <v>10</v>
      </c>
      <c r="I148" s="2">
        <f t="shared" si="29"/>
        <v>10</v>
      </c>
      <c r="J148" s="2">
        <f t="shared" si="30"/>
        <v>7</v>
      </c>
      <c r="K148" s="2">
        <f t="shared" si="31"/>
        <v>0</v>
      </c>
      <c r="L148" s="2">
        <f t="shared" si="32"/>
        <v>0</v>
      </c>
      <c r="M148" s="2" t="str">
        <f>'Input Sheet'!E146</f>
        <v>F</v>
      </c>
      <c r="N148" s="2">
        <f t="shared" si="33"/>
        <v>2</v>
      </c>
      <c r="P148">
        <f t="shared" si="35"/>
        <v>0</v>
      </c>
      <c r="Q148">
        <f t="shared" si="35"/>
        <v>10</v>
      </c>
      <c r="R148">
        <f t="shared" si="35"/>
        <v>0</v>
      </c>
      <c r="S148">
        <f t="shared" si="35"/>
        <v>0</v>
      </c>
      <c r="T148">
        <f t="shared" si="35"/>
        <v>0</v>
      </c>
    </row>
    <row r="149" spans="1:20" ht="16.5" x14ac:dyDescent="0.35">
      <c r="A149" s="57" t="str">
        <f>'Long Sample Name'!A145</f>
        <v>Sample 2800m: 60% Siltstone, 40% very fine  to  fine Sandstone, 10% dull FLUOR in SST. TG 114U</v>
      </c>
      <c r="B149" s="1">
        <f>'Input Sheet'!L147</f>
        <v>45209</v>
      </c>
      <c r="C149" s="7">
        <f>'Input Sheet'!M147</f>
        <v>0.98611111111111116</v>
      </c>
      <c r="D149" s="58">
        <f>'Input Sheet'!B147</f>
        <v>2800</v>
      </c>
      <c r="E149" s="8">
        <f>'Input Sheet'!I147</f>
        <v>114</v>
      </c>
      <c r="F149" s="59">
        <f>'Input Sheet'!C147/100</f>
        <v>0.4</v>
      </c>
      <c r="G149" s="59">
        <f>'Input Sheet'!F147/100</f>
        <v>0.1</v>
      </c>
      <c r="H149" s="2">
        <f t="shared" si="28"/>
        <v>10</v>
      </c>
      <c r="I149" s="2">
        <f t="shared" si="29"/>
        <v>10</v>
      </c>
      <c r="J149" s="2">
        <f t="shared" si="30"/>
        <v>4</v>
      </c>
      <c r="K149" s="2">
        <f t="shared" si="31"/>
        <v>0</v>
      </c>
      <c r="L149" s="2">
        <f t="shared" si="32"/>
        <v>0</v>
      </c>
      <c r="M149" s="2" t="str">
        <f>'Input Sheet'!E147</f>
        <v>F</v>
      </c>
      <c r="N149" s="2">
        <f t="shared" si="33"/>
        <v>2</v>
      </c>
      <c r="P149">
        <f t="shared" si="35"/>
        <v>0</v>
      </c>
      <c r="Q149">
        <f t="shared" si="35"/>
        <v>10</v>
      </c>
      <c r="R149">
        <f t="shared" si="35"/>
        <v>0</v>
      </c>
      <c r="S149">
        <f t="shared" si="35"/>
        <v>0</v>
      </c>
      <c r="T149">
        <f t="shared" si="35"/>
        <v>0</v>
      </c>
    </row>
    <row r="150" spans="1:20" ht="16.5" x14ac:dyDescent="0.35">
      <c r="A150" s="57" t="str">
        <f>'Long Sample Name'!A146</f>
        <v>Sample 2810m: 70% Siltstone, 30% very fine to fine Sandstone, 10% dull FLUOR in SST. TG 96U</v>
      </c>
      <c r="B150" s="1">
        <f>'Input Sheet'!L148</f>
        <v>45210</v>
      </c>
      <c r="C150" s="7">
        <f>'Input Sheet'!M148</f>
        <v>6.9444444444444441E-3</v>
      </c>
      <c r="D150" s="58">
        <f>'Input Sheet'!B148</f>
        <v>2810</v>
      </c>
      <c r="E150" s="8">
        <f>'Input Sheet'!I148</f>
        <v>96</v>
      </c>
      <c r="F150" s="59">
        <f>'Input Sheet'!C148/100</f>
        <v>0.3</v>
      </c>
      <c r="G150" s="59">
        <f>'Input Sheet'!F148/100</f>
        <v>0.1</v>
      </c>
      <c r="H150" s="2">
        <f t="shared" si="28"/>
        <v>10</v>
      </c>
      <c r="I150" s="2">
        <f t="shared" si="29"/>
        <v>10</v>
      </c>
      <c r="J150" s="2">
        <f t="shared" si="30"/>
        <v>3</v>
      </c>
      <c r="K150" s="2">
        <f t="shared" si="31"/>
        <v>0</v>
      </c>
      <c r="L150" s="2">
        <f t="shared" si="32"/>
        <v>0</v>
      </c>
      <c r="M150" s="2" t="str">
        <f>'Input Sheet'!E148</f>
        <v>F</v>
      </c>
      <c r="N150" s="2">
        <f t="shared" si="33"/>
        <v>2</v>
      </c>
      <c r="P150">
        <f t="shared" si="35"/>
        <v>0</v>
      </c>
      <c r="Q150">
        <f t="shared" si="35"/>
        <v>10</v>
      </c>
      <c r="R150">
        <f t="shared" si="35"/>
        <v>0</v>
      </c>
      <c r="S150">
        <f t="shared" si="35"/>
        <v>0</v>
      </c>
      <c r="T150">
        <f t="shared" si="35"/>
        <v>0</v>
      </c>
    </row>
    <row r="151" spans="1:20" ht="16.5" x14ac:dyDescent="0.35">
      <c r="A151" s="57" t="str">
        <f>'Long Sample Name'!A147</f>
        <v>Sample 2820m: 70% Siltstone, 30% very fine to fine Sandstone, 10% dull FLUOR in SST. TG 80U</v>
      </c>
      <c r="B151" s="1">
        <f>'Input Sheet'!L149</f>
        <v>45210</v>
      </c>
      <c r="C151" s="7">
        <f>'Input Sheet'!M149</f>
        <v>3.4722222222222224E-2</v>
      </c>
      <c r="D151" s="58">
        <f>'Input Sheet'!B149</f>
        <v>2820</v>
      </c>
      <c r="E151" s="8">
        <f>'Input Sheet'!I149</f>
        <v>80</v>
      </c>
      <c r="F151" s="59">
        <f>'Input Sheet'!C149/100</f>
        <v>0.3</v>
      </c>
      <c r="G151" s="59">
        <f>'Input Sheet'!F149/100</f>
        <v>0.05</v>
      </c>
      <c r="H151" s="2">
        <f t="shared" si="28"/>
        <v>10</v>
      </c>
      <c r="I151" s="2">
        <f t="shared" si="29"/>
        <v>10</v>
      </c>
      <c r="J151" s="2">
        <f t="shared" si="30"/>
        <v>3</v>
      </c>
      <c r="K151" s="2">
        <f t="shared" si="31"/>
        <v>0</v>
      </c>
      <c r="L151" s="2">
        <f t="shared" si="32"/>
        <v>0</v>
      </c>
      <c r="M151" s="2" t="str">
        <f>'Input Sheet'!E149</f>
        <v>F</v>
      </c>
      <c r="N151" s="2">
        <f t="shared" si="33"/>
        <v>2</v>
      </c>
      <c r="P151">
        <f t="shared" si="35"/>
        <v>0</v>
      </c>
      <c r="Q151">
        <f t="shared" si="35"/>
        <v>10</v>
      </c>
      <c r="R151">
        <f t="shared" si="35"/>
        <v>0</v>
      </c>
      <c r="S151">
        <f t="shared" si="35"/>
        <v>0</v>
      </c>
      <c r="T151">
        <f t="shared" si="35"/>
        <v>0</v>
      </c>
    </row>
    <row r="152" spans="1:20" ht="16.5" x14ac:dyDescent="0.35">
      <c r="A152" s="57" t="str">
        <f>'Long Sample Name'!A148</f>
        <v>Sample 2830m: 70% Siltstone, 30% very fine Sandstone, 5% dull FLUOR in SST. TG 90U</v>
      </c>
      <c r="B152" s="1">
        <f>'Input Sheet'!L150</f>
        <v>45210</v>
      </c>
      <c r="C152" s="7">
        <f>'Input Sheet'!M150</f>
        <v>4.9999999999999996E-2</v>
      </c>
      <c r="D152" s="58">
        <f>'Input Sheet'!B150</f>
        <v>2830</v>
      </c>
      <c r="E152" s="8">
        <f>'Input Sheet'!I150</f>
        <v>90</v>
      </c>
      <c r="F152" s="59">
        <f>'Input Sheet'!C150/100</f>
        <v>0.3</v>
      </c>
      <c r="G152" s="59" t="e">
        <f>'Input Sheet'!F150/100</f>
        <v>#VALUE!</v>
      </c>
      <c r="H152" s="2">
        <f t="shared" si="28"/>
        <v>10</v>
      </c>
      <c r="I152" s="2" t="e">
        <f t="shared" si="29"/>
        <v>#VALUE!</v>
      </c>
      <c r="J152" s="2" t="e">
        <f t="shared" si="30"/>
        <v>#VALUE!</v>
      </c>
      <c r="K152" s="2" t="e">
        <f t="shared" si="31"/>
        <v>#VALUE!</v>
      </c>
      <c r="L152" s="2" t="e">
        <f t="shared" si="32"/>
        <v>#VALUE!</v>
      </c>
      <c r="M152" s="2" t="str">
        <f>'Input Sheet'!E150</f>
        <v>VF</v>
      </c>
      <c r="N152" s="2">
        <f t="shared" si="33"/>
        <v>1</v>
      </c>
      <c r="P152">
        <f t="shared" si="35"/>
        <v>10</v>
      </c>
      <c r="Q152">
        <f t="shared" si="35"/>
        <v>0</v>
      </c>
      <c r="R152">
        <f t="shared" si="35"/>
        <v>0</v>
      </c>
      <c r="S152">
        <f t="shared" si="35"/>
        <v>0</v>
      </c>
      <c r="T152">
        <f t="shared" si="35"/>
        <v>0</v>
      </c>
    </row>
    <row r="153" spans="1:20" ht="16.5" x14ac:dyDescent="0.35">
      <c r="A153" s="57" t="str">
        <f>'Long Sample Name'!A149</f>
        <v>Sample 2840m: 40% Siltstone, 60% very fine  to  fine Sandstone, tr% dull FLUOR in SST. TG 85U</v>
      </c>
      <c r="B153" s="1">
        <f>'Input Sheet'!L151</f>
        <v>45210</v>
      </c>
      <c r="C153" s="7">
        <f>'Input Sheet'!M151</f>
        <v>6.9444444444444434E-2</v>
      </c>
      <c r="D153" s="58">
        <f>'Input Sheet'!B151</f>
        <v>2840</v>
      </c>
      <c r="E153" s="8">
        <f>'Input Sheet'!I151</f>
        <v>85</v>
      </c>
      <c r="F153" s="59">
        <f>'Input Sheet'!C151/100</f>
        <v>0.6</v>
      </c>
      <c r="G153" s="59" t="e">
        <f>'Input Sheet'!F151/100</f>
        <v>#VALUE!</v>
      </c>
      <c r="H153" s="2">
        <f t="shared" si="28"/>
        <v>10</v>
      </c>
      <c r="I153" s="2" t="e">
        <f t="shared" si="29"/>
        <v>#VALUE!</v>
      </c>
      <c r="J153" s="2" t="e">
        <f t="shared" si="30"/>
        <v>#VALUE!</v>
      </c>
      <c r="K153" s="2" t="e">
        <f t="shared" si="31"/>
        <v>#VALUE!</v>
      </c>
      <c r="L153" s="2" t="e">
        <f t="shared" si="32"/>
        <v>#VALUE!</v>
      </c>
      <c r="M153" s="2" t="str">
        <f>'Input Sheet'!E151</f>
        <v>F</v>
      </c>
      <c r="N153" s="2">
        <f t="shared" si="33"/>
        <v>2</v>
      </c>
      <c r="P153">
        <f t="shared" ref="P153:T162" si="36">IF($M153=P$1,$H153,0)</f>
        <v>0</v>
      </c>
      <c r="Q153">
        <f t="shared" si="36"/>
        <v>10</v>
      </c>
      <c r="R153">
        <f t="shared" si="36"/>
        <v>0</v>
      </c>
      <c r="S153">
        <f t="shared" si="36"/>
        <v>0</v>
      </c>
      <c r="T153">
        <f t="shared" si="36"/>
        <v>0</v>
      </c>
    </row>
    <row r="154" spans="1:20" ht="16.5" x14ac:dyDescent="0.35">
      <c r="A154" s="57" t="str">
        <f>'Long Sample Name'!A150</f>
        <v/>
      </c>
      <c r="B154" s="1">
        <f>'Input Sheet'!L152</f>
        <v>0</v>
      </c>
      <c r="C154" s="7" t="str">
        <f ca="1">'Input Sheet'!M152</f>
        <v/>
      </c>
      <c r="D154" s="58">
        <f>'Input Sheet'!B152</f>
        <v>0</v>
      </c>
      <c r="E154" s="8">
        <f>'Input Sheet'!I152</f>
        <v>0</v>
      </c>
      <c r="F154" s="59">
        <f>'Input Sheet'!C152/100</f>
        <v>0</v>
      </c>
      <c r="G154" s="59">
        <f>'Input Sheet'!F152/100</f>
        <v>0</v>
      </c>
      <c r="H154" s="2">
        <f t="shared" si="28"/>
        <v>-2840</v>
      </c>
      <c r="I154" s="2">
        <f t="shared" si="29"/>
        <v>-2840</v>
      </c>
      <c r="J154" s="2">
        <f t="shared" si="30"/>
        <v>0</v>
      </c>
      <c r="K154" s="2">
        <f t="shared" si="31"/>
        <v>0</v>
      </c>
      <c r="L154" s="2">
        <f t="shared" si="32"/>
        <v>0</v>
      </c>
      <c r="M154" s="2">
        <f>'Input Sheet'!E152</f>
        <v>0</v>
      </c>
      <c r="N154" s="2">
        <f t="shared" si="33"/>
        <v>0</v>
      </c>
      <c r="P154">
        <f t="shared" si="36"/>
        <v>0</v>
      </c>
      <c r="Q154">
        <f t="shared" si="36"/>
        <v>0</v>
      </c>
      <c r="R154">
        <f t="shared" si="36"/>
        <v>0</v>
      </c>
      <c r="S154">
        <f t="shared" si="36"/>
        <v>0</v>
      </c>
      <c r="T154">
        <f t="shared" si="36"/>
        <v>0</v>
      </c>
    </row>
    <row r="155" spans="1:20" ht="16.5" x14ac:dyDescent="0.35">
      <c r="A155" s="57" t="str">
        <f>'Long Sample Name'!A151</f>
        <v/>
      </c>
      <c r="B155" s="1">
        <f>'Input Sheet'!L153</f>
        <v>0</v>
      </c>
      <c r="C155" s="7" t="str">
        <f ca="1">'Input Sheet'!M153</f>
        <v/>
      </c>
      <c r="D155" s="58">
        <f>'Input Sheet'!B153</f>
        <v>0</v>
      </c>
      <c r="E155" s="8">
        <f>'Input Sheet'!I153</f>
        <v>0</v>
      </c>
      <c r="F155" s="59">
        <f>'Input Sheet'!C153/100</f>
        <v>0</v>
      </c>
      <c r="G155" s="59">
        <f>'Input Sheet'!F153/100</f>
        <v>0</v>
      </c>
      <c r="H155" s="2">
        <f t="shared" si="28"/>
        <v>0</v>
      </c>
      <c r="I155" s="2">
        <f t="shared" si="29"/>
        <v>0</v>
      </c>
      <c r="J155" s="2">
        <f t="shared" si="30"/>
        <v>0</v>
      </c>
      <c r="K155" s="2">
        <f t="shared" si="31"/>
        <v>0</v>
      </c>
      <c r="L155" s="2">
        <f t="shared" si="32"/>
        <v>0</v>
      </c>
      <c r="M155" s="2">
        <f>'Input Sheet'!E153</f>
        <v>0</v>
      </c>
      <c r="N155" s="2">
        <f t="shared" si="33"/>
        <v>0</v>
      </c>
      <c r="P155">
        <f t="shared" si="36"/>
        <v>0</v>
      </c>
      <c r="Q155">
        <f t="shared" si="36"/>
        <v>0</v>
      </c>
      <c r="R155">
        <f t="shared" si="36"/>
        <v>0</v>
      </c>
      <c r="S155">
        <f t="shared" si="36"/>
        <v>0</v>
      </c>
      <c r="T155">
        <f t="shared" si="36"/>
        <v>0</v>
      </c>
    </row>
    <row r="156" spans="1:20" ht="16.5" x14ac:dyDescent="0.35">
      <c r="A156" s="57" t="str">
        <f>'Long Sample Name'!A152</f>
        <v/>
      </c>
      <c r="B156" s="1">
        <f>'Input Sheet'!L154</f>
        <v>0</v>
      </c>
      <c r="C156" s="7" t="str">
        <f ca="1">'Input Sheet'!M154</f>
        <v/>
      </c>
      <c r="D156" s="58">
        <f>'Input Sheet'!B154</f>
        <v>0</v>
      </c>
      <c r="E156" s="8">
        <f>'Input Sheet'!I154</f>
        <v>0</v>
      </c>
      <c r="F156" s="59">
        <f>'Input Sheet'!C154/100</f>
        <v>0</v>
      </c>
      <c r="G156" s="59">
        <f>'Input Sheet'!F154/100</f>
        <v>0</v>
      </c>
      <c r="H156" s="2">
        <f t="shared" si="28"/>
        <v>0</v>
      </c>
      <c r="I156" s="2">
        <f t="shared" si="29"/>
        <v>0</v>
      </c>
      <c r="J156" s="2">
        <f t="shared" si="30"/>
        <v>0</v>
      </c>
      <c r="K156" s="2">
        <f t="shared" si="31"/>
        <v>0</v>
      </c>
      <c r="L156" s="2">
        <f t="shared" si="32"/>
        <v>0</v>
      </c>
      <c r="M156" s="2">
        <f>'Input Sheet'!E154</f>
        <v>0</v>
      </c>
      <c r="N156" s="2">
        <f t="shared" si="33"/>
        <v>0</v>
      </c>
      <c r="P156">
        <f t="shared" si="36"/>
        <v>0</v>
      </c>
      <c r="Q156">
        <f t="shared" si="36"/>
        <v>0</v>
      </c>
      <c r="R156">
        <f t="shared" si="36"/>
        <v>0</v>
      </c>
      <c r="S156">
        <f t="shared" si="36"/>
        <v>0</v>
      </c>
      <c r="T156">
        <f t="shared" si="36"/>
        <v>0</v>
      </c>
    </row>
    <row r="157" spans="1:20" ht="16.5" x14ac:dyDescent="0.35">
      <c r="A157" s="57" t="str">
        <f>'Long Sample Name'!A153</f>
        <v/>
      </c>
      <c r="B157" s="1">
        <f>'Input Sheet'!L155</f>
        <v>0</v>
      </c>
      <c r="C157" s="7" t="str">
        <f ca="1">'Input Sheet'!M155</f>
        <v/>
      </c>
      <c r="D157" s="58">
        <f>'Input Sheet'!B155</f>
        <v>0</v>
      </c>
      <c r="E157" s="8">
        <f>'Input Sheet'!I155</f>
        <v>0</v>
      </c>
      <c r="F157" s="59">
        <f>'Input Sheet'!C155/100</f>
        <v>0</v>
      </c>
      <c r="G157" s="59">
        <f>'Input Sheet'!F155/100</f>
        <v>0</v>
      </c>
      <c r="H157" s="2">
        <f t="shared" ref="H157:H188" si="37">IF(D157&lt;&gt;"",D157-D156,"")</f>
        <v>0</v>
      </c>
      <c r="I157" s="2">
        <f t="shared" ref="I157:I188" si="38">IF(AND(F157&gt;=$F$2,G157&gt;=$G$2),H157,0)</f>
        <v>0</v>
      </c>
      <c r="J157" s="2">
        <f t="shared" ref="J157:J188" si="39">IF(I157&gt;0,I157*F157,0)</f>
        <v>0</v>
      </c>
      <c r="K157" s="2">
        <f t="shared" ref="K157:K188" si="40">IF(AND(F157&gt;=$F$3,G157&gt;=$G$3),H157,0)</f>
        <v>0</v>
      </c>
      <c r="L157" s="2">
        <f t="shared" ref="L157:L188" si="41">IF(K157&gt;0,K157*F157,0)</f>
        <v>0</v>
      </c>
      <c r="M157" s="2">
        <f>'Input Sheet'!E155</f>
        <v>0</v>
      </c>
      <c r="N157" s="2">
        <f t="shared" ref="N157:N188" si="42">IF(M157="VF",1,IF(M157="F",2,IF(M157="M",3,IF(M157="C",4,IF(M157="VC",5,0)))))</f>
        <v>0</v>
      </c>
      <c r="P157">
        <f t="shared" si="36"/>
        <v>0</v>
      </c>
      <c r="Q157">
        <f t="shared" si="36"/>
        <v>0</v>
      </c>
      <c r="R157">
        <f t="shared" si="36"/>
        <v>0</v>
      </c>
      <c r="S157">
        <f t="shared" si="36"/>
        <v>0</v>
      </c>
      <c r="T157">
        <f t="shared" si="36"/>
        <v>0</v>
      </c>
    </row>
    <row r="158" spans="1:20" ht="16.5" x14ac:dyDescent="0.35">
      <c r="A158" s="57" t="str">
        <f>'Long Sample Name'!A154</f>
        <v/>
      </c>
      <c r="B158" s="1">
        <f>'Input Sheet'!L156</f>
        <v>0</v>
      </c>
      <c r="C158" s="7" t="str">
        <f ca="1">'Input Sheet'!M156</f>
        <v/>
      </c>
      <c r="D158" s="58">
        <f>'Input Sheet'!B156</f>
        <v>0</v>
      </c>
      <c r="E158" s="8">
        <f>'Input Sheet'!I156</f>
        <v>0</v>
      </c>
      <c r="F158" s="59">
        <f>'Input Sheet'!C156/100</f>
        <v>0</v>
      </c>
      <c r="G158" s="59">
        <f>'Input Sheet'!F156/100</f>
        <v>0</v>
      </c>
      <c r="H158" s="2">
        <f t="shared" si="37"/>
        <v>0</v>
      </c>
      <c r="I158" s="2">
        <f t="shared" si="38"/>
        <v>0</v>
      </c>
      <c r="J158" s="2">
        <f t="shared" si="39"/>
        <v>0</v>
      </c>
      <c r="K158" s="2">
        <f t="shared" si="40"/>
        <v>0</v>
      </c>
      <c r="L158" s="2">
        <f t="shared" si="41"/>
        <v>0</v>
      </c>
      <c r="M158" s="2">
        <f>'Input Sheet'!E156</f>
        <v>0</v>
      </c>
      <c r="N158" s="2">
        <f t="shared" si="42"/>
        <v>0</v>
      </c>
      <c r="P158">
        <f t="shared" si="36"/>
        <v>0</v>
      </c>
      <c r="Q158">
        <f t="shared" si="36"/>
        <v>0</v>
      </c>
      <c r="R158">
        <f t="shared" si="36"/>
        <v>0</v>
      </c>
      <c r="S158">
        <f t="shared" si="36"/>
        <v>0</v>
      </c>
      <c r="T158">
        <f t="shared" si="36"/>
        <v>0</v>
      </c>
    </row>
    <row r="159" spans="1:20" ht="16.5" x14ac:dyDescent="0.35">
      <c r="A159" s="57" t="str">
        <f>'Long Sample Name'!A155</f>
        <v/>
      </c>
      <c r="B159" s="1" t="str">
        <f ca="1">'Input Sheet'!L157</f>
        <v/>
      </c>
      <c r="C159" s="7" t="str">
        <f ca="1">'Input Sheet'!M157</f>
        <v/>
      </c>
      <c r="D159" s="58">
        <f>'Input Sheet'!B157</f>
        <v>0</v>
      </c>
      <c r="E159" s="8">
        <f>'Input Sheet'!I157</f>
        <v>0</v>
      </c>
      <c r="F159" s="59">
        <f>'Input Sheet'!C157/100</f>
        <v>0</v>
      </c>
      <c r="G159" s="59">
        <f>'Input Sheet'!F157/100</f>
        <v>0</v>
      </c>
      <c r="H159" s="2">
        <f t="shared" si="37"/>
        <v>0</v>
      </c>
      <c r="I159" s="2">
        <f t="shared" si="38"/>
        <v>0</v>
      </c>
      <c r="J159" s="2">
        <f t="shared" si="39"/>
        <v>0</v>
      </c>
      <c r="K159" s="2">
        <f t="shared" si="40"/>
        <v>0</v>
      </c>
      <c r="L159" s="2">
        <f t="shared" si="41"/>
        <v>0</v>
      </c>
      <c r="M159" s="2">
        <f>'Input Sheet'!E157</f>
        <v>0</v>
      </c>
      <c r="N159" s="2">
        <f t="shared" si="42"/>
        <v>0</v>
      </c>
      <c r="P159">
        <f t="shared" si="36"/>
        <v>0</v>
      </c>
      <c r="Q159">
        <f t="shared" si="36"/>
        <v>0</v>
      </c>
      <c r="R159">
        <f t="shared" si="36"/>
        <v>0</v>
      </c>
      <c r="S159">
        <f t="shared" si="36"/>
        <v>0</v>
      </c>
      <c r="T159">
        <f t="shared" si="36"/>
        <v>0</v>
      </c>
    </row>
    <row r="160" spans="1:20" ht="16.5" x14ac:dyDescent="0.35">
      <c r="A160" s="57" t="str">
        <f>'Long Sample Name'!A156</f>
        <v/>
      </c>
      <c r="B160" s="1" t="str">
        <f ca="1">'Input Sheet'!L158</f>
        <v/>
      </c>
      <c r="C160" s="7" t="str">
        <f ca="1">'Input Sheet'!M158</f>
        <v/>
      </c>
      <c r="D160" s="58">
        <f>'Input Sheet'!B158</f>
        <v>0</v>
      </c>
      <c r="E160" s="8">
        <f>'Input Sheet'!I158</f>
        <v>0</v>
      </c>
      <c r="F160" s="59">
        <f>'Input Sheet'!C158/100</f>
        <v>0</v>
      </c>
      <c r="G160" s="59">
        <f>'Input Sheet'!F158/100</f>
        <v>0</v>
      </c>
      <c r="H160" s="2">
        <f t="shared" si="37"/>
        <v>0</v>
      </c>
      <c r="I160" s="2">
        <f t="shared" si="38"/>
        <v>0</v>
      </c>
      <c r="J160" s="2">
        <f t="shared" si="39"/>
        <v>0</v>
      </c>
      <c r="K160" s="2">
        <f t="shared" si="40"/>
        <v>0</v>
      </c>
      <c r="L160" s="2">
        <f t="shared" si="41"/>
        <v>0</v>
      </c>
      <c r="M160" s="2">
        <f>'Input Sheet'!E158</f>
        <v>0</v>
      </c>
      <c r="N160" s="2">
        <f t="shared" si="42"/>
        <v>0</v>
      </c>
      <c r="P160">
        <f t="shared" si="36"/>
        <v>0</v>
      </c>
      <c r="Q160">
        <f t="shared" si="36"/>
        <v>0</v>
      </c>
      <c r="R160">
        <f t="shared" si="36"/>
        <v>0</v>
      </c>
      <c r="S160">
        <f t="shared" si="36"/>
        <v>0</v>
      </c>
      <c r="T160">
        <f t="shared" si="36"/>
        <v>0</v>
      </c>
    </row>
    <row r="161" spans="1:20" ht="16.5" x14ac:dyDescent="0.35">
      <c r="A161" s="57" t="str">
        <f>'Long Sample Name'!A157</f>
        <v/>
      </c>
      <c r="B161" s="1" t="str">
        <f ca="1">'Input Sheet'!L159</f>
        <v/>
      </c>
      <c r="C161" s="7" t="str">
        <f ca="1">'Input Sheet'!M159</f>
        <v/>
      </c>
      <c r="D161" s="58">
        <f>'Input Sheet'!B159</f>
        <v>0</v>
      </c>
      <c r="E161" s="8">
        <f>'Input Sheet'!I159</f>
        <v>0</v>
      </c>
      <c r="F161" s="59">
        <f>'Input Sheet'!C159/100</f>
        <v>0</v>
      </c>
      <c r="G161" s="59">
        <f>'Input Sheet'!F159/100</f>
        <v>0</v>
      </c>
      <c r="H161" s="2">
        <f t="shared" si="37"/>
        <v>0</v>
      </c>
      <c r="I161" s="2">
        <f t="shared" si="38"/>
        <v>0</v>
      </c>
      <c r="J161" s="2">
        <f t="shared" si="39"/>
        <v>0</v>
      </c>
      <c r="K161" s="2">
        <f t="shared" si="40"/>
        <v>0</v>
      </c>
      <c r="L161" s="2">
        <f t="shared" si="41"/>
        <v>0</v>
      </c>
      <c r="M161" s="2">
        <f>'Input Sheet'!E159</f>
        <v>0</v>
      </c>
      <c r="N161" s="2">
        <f t="shared" si="42"/>
        <v>0</v>
      </c>
      <c r="P161">
        <f t="shared" si="36"/>
        <v>0</v>
      </c>
      <c r="Q161">
        <f t="shared" si="36"/>
        <v>0</v>
      </c>
      <c r="R161">
        <f t="shared" si="36"/>
        <v>0</v>
      </c>
      <c r="S161">
        <f t="shared" si="36"/>
        <v>0</v>
      </c>
      <c r="T161">
        <f t="shared" si="36"/>
        <v>0</v>
      </c>
    </row>
    <row r="162" spans="1:20" ht="16.5" x14ac:dyDescent="0.35">
      <c r="A162" s="57" t="str">
        <f>'Long Sample Name'!A158</f>
        <v/>
      </c>
      <c r="B162" s="1" t="str">
        <f ca="1">'Input Sheet'!L160</f>
        <v/>
      </c>
      <c r="C162" s="7" t="str">
        <f ca="1">'Input Sheet'!M160</f>
        <v/>
      </c>
      <c r="D162" s="58">
        <f>'Input Sheet'!B160</f>
        <v>0</v>
      </c>
      <c r="E162" s="8">
        <f>'Input Sheet'!I160</f>
        <v>0</v>
      </c>
      <c r="F162" s="59">
        <f>'Input Sheet'!C160/100</f>
        <v>0</v>
      </c>
      <c r="G162" s="59">
        <f>'Input Sheet'!F160/100</f>
        <v>0</v>
      </c>
      <c r="H162" s="2">
        <f t="shared" si="37"/>
        <v>0</v>
      </c>
      <c r="I162" s="2">
        <f t="shared" si="38"/>
        <v>0</v>
      </c>
      <c r="J162" s="2">
        <f t="shared" si="39"/>
        <v>0</v>
      </c>
      <c r="K162" s="2">
        <f t="shared" si="40"/>
        <v>0</v>
      </c>
      <c r="L162" s="2">
        <f t="shared" si="41"/>
        <v>0</v>
      </c>
      <c r="M162" s="2">
        <f>'Input Sheet'!E160</f>
        <v>0</v>
      </c>
      <c r="N162" s="2">
        <f t="shared" si="42"/>
        <v>0</v>
      </c>
      <c r="P162">
        <f t="shared" si="36"/>
        <v>0</v>
      </c>
      <c r="Q162">
        <f t="shared" si="36"/>
        <v>0</v>
      </c>
      <c r="R162">
        <f t="shared" si="36"/>
        <v>0</v>
      </c>
      <c r="S162">
        <f t="shared" si="36"/>
        <v>0</v>
      </c>
      <c r="T162">
        <f t="shared" si="36"/>
        <v>0</v>
      </c>
    </row>
    <row r="163" spans="1:20" ht="16.5" x14ac:dyDescent="0.35">
      <c r="A163" s="57" t="str">
        <f>'Long Sample Name'!A159</f>
        <v/>
      </c>
      <c r="B163" s="1" t="str">
        <f ca="1">'Input Sheet'!L161</f>
        <v/>
      </c>
      <c r="C163" s="7" t="str">
        <f ca="1">'Input Sheet'!M161</f>
        <v/>
      </c>
      <c r="D163" s="58">
        <f>'Input Sheet'!B161</f>
        <v>0</v>
      </c>
      <c r="E163" s="8">
        <f>'Input Sheet'!I161</f>
        <v>0</v>
      </c>
      <c r="F163" s="59">
        <f>'Input Sheet'!C161/100</f>
        <v>0</v>
      </c>
      <c r="G163" s="59">
        <f>'Input Sheet'!F161/100</f>
        <v>0</v>
      </c>
      <c r="H163" s="2">
        <f t="shared" si="37"/>
        <v>0</v>
      </c>
      <c r="I163" s="2">
        <f t="shared" si="38"/>
        <v>0</v>
      </c>
      <c r="J163" s="2">
        <f t="shared" si="39"/>
        <v>0</v>
      </c>
      <c r="K163" s="2">
        <f t="shared" si="40"/>
        <v>0</v>
      </c>
      <c r="L163" s="2">
        <f t="shared" si="41"/>
        <v>0</v>
      </c>
      <c r="M163" s="2">
        <f>'Input Sheet'!E161</f>
        <v>0</v>
      </c>
      <c r="N163" s="2">
        <f t="shared" si="42"/>
        <v>0</v>
      </c>
      <c r="P163">
        <f t="shared" ref="P163:T172" si="43">IF($M163=P$1,$H163,0)</f>
        <v>0</v>
      </c>
      <c r="Q163">
        <f t="shared" si="43"/>
        <v>0</v>
      </c>
      <c r="R163">
        <f t="shared" si="43"/>
        <v>0</v>
      </c>
      <c r="S163">
        <f t="shared" si="43"/>
        <v>0</v>
      </c>
      <c r="T163">
        <f t="shared" si="43"/>
        <v>0</v>
      </c>
    </row>
    <row r="164" spans="1:20" ht="16.5" x14ac:dyDescent="0.35">
      <c r="A164" s="57" t="str">
        <f>'Long Sample Name'!A160</f>
        <v/>
      </c>
      <c r="B164" s="1" t="str">
        <f ca="1">'Input Sheet'!L162</f>
        <v/>
      </c>
      <c r="C164" s="7" t="str">
        <f ca="1">'Input Sheet'!M162</f>
        <v/>
      </c>
      <c r="D164" s="58">
        <f>'Input Sheet'!B162</f>
        <v>0</v>
      </c>
      <c r="E164" s="8">
        <f>'Input Sheet'!I162</f>
        <v>0</v>
      </c>
      <c r="F164" s="59">
        <f>'Input Sheet'!C162/100</f>
        <v>0</v>
      </c>
      <c r="G164" s="59">
        <f>'Input Sheet'!F162/100</f>
        <v>0</v>
      </c>
      <c r="H164" s="2">
        <f t="shared" si="37"/>
        <v>0</v>
      </c>
      <c r="I164" s="2">
        <f t="shared" si="38"/>
        <v>0</v>
      </c>
      <c r="J164" s="2">
        <f t="shared" si="39"/>
        <v>0</v>
      </c>
      <c r="K164" s="2">
        <f t="shared" si="40"/>
        <v>0</v>
      </c>
      <c r="L164" s="2">
        <f t="shared" si="41"/>
        <v>0</v>
      </c>
      <c r="M164" s="2">
        <f>'Input Sheet'!E162</f>
        <v>0</v>
      </c>
      <c r="N164" s="2">
        <f t="shared" si="42"/>
        <v>0</v>
      </c>
      <c r="P164">
        <f t="shared" si="43"/>
        <v>0</v>
      </c>
      <c r="Q164">
        <f t="shared" si="43"/>
        <v>0</v>
      </c>
      <c r="R164">
        <f t="shared" si="43"/>
        <v>0</v>
      </c>
      <c r="S164">
        <f t="shared" si="43"/>
        <v>0</v>
      </c>
      <c r="T164">
        <f t="shared" si="43"/>
        <v>0</v>
      </c>
    </row>
    <row r="165" spans="1:20" ht="16.5" x14ac:dyDescent="0.35">
      <c r="A165" s="57" t="str">
        <f>'Long Sample Name'!A161</f>
        <v/>
      </c>
      <c r="B165" s="1" t="str">
        <f ca="1">'Input Sheet'!L163</f>
        <v/>
      </c>
      <c r="C165" s="7" t="str">
        <f ca="1">'Input Sheet'!M163</f>
        <v/>
      </c>
      <c r="D165" s="58">
        <f>'Input Sheet'!B163</f>
        <v>0</v>
      </c>
      <c r="E165" s="8">
        <f>'Input Sheet'!I163</f>
        <v>0</v>
      </c>
      <c r="F165" s="59">
        <f>'Input Sheet'!C163/100</f>
        <v>0</v>
      </c>
      <c r="G165" s="59">
        <f>'Input Sheet'!F163/100</f>
        <v>0</v>
      </c>
      <c r="H165" s="2">
        <f t="shared" si="37"/>
        <v>0</v>
      </c>
      <c r="I165" s="2">
        <f t="shared" si="38"/>
        <v>0</v>
      </c>
      <c r="J165" s="2">
        <f t="shared" si="39"/>
        <v>0</v>
      </c>
      <c r="K165" s="2">
        <f t="shared" si="40"/>
        <v>0</v>
      </c>
      <c r="L165" s="2">
        <f t="shared" si="41"/>
        <v>0</v>
      </c>
      <c r="M165" s="2">
        <f>'Input Sheet'!E163</f>
        <v>0</v>
      </c>
      <c r="N165" s="2">
        <f t="shared" si="42"/>
        <v>0</v>
      </c>
      <c r="P165">
        <f t="shared" si="43"/>
        <v>0</v>
      </c>
      <c r="Q165">
        <f t="shared" si="43"/>
        <v>0</v>
      </c>
      <c r="R165">
        <f t="shared" si="43"/>
        <v>0</v>
      </c>
      <c r="S165">
        <f t="shared" si="43"/>
        <v>0</v>
      </c>
      <c r="T165">
        <f t="shared" si="43"/>
        <v>0</v>
      </c>
    </row>
    <row r="166" spans="1:20" ht="16.5" x14ac:dyDescent="0.35">
      <c r="A166" s="57" t="str">
        <f>'Long Sample Name'!A162</f>
        <v/>
      </c>
      <c r="B166" s="1" t="str">
        <f ca="1">'Input Sheet'!L164</f>
        <v/>
      </c>
      <c r="C166" s="7" t="str">
        <f ca="1">'Input Sheet'!M164</f>
        <v/>
      </c>
      <c r="D166" s="58">
        <f>'Input Sheet'!B164</f>
        <v>0</v>
      </c>
      <c r="E166" s="8">
        <f>'Input Sheet'!I164</f>
        <v>0</v>
      </c>
      <c r="F166" s="59">
        <f>'Input Sheet'!C164/100</f>
        <v>0</v>
      </c>
      <c r="G166" s="59">
        <f>'Input Sheet'!F164/100</f>
        <v>0</v>
      </c>
      <c r="H166" s="2">
        <f t="shared" si="37"/>
        <v>0</v>
      </c>
      <c r="I166" s="2">
        <f t="shared" si="38"/>
        <v>0</v>
      </c>
      <c r="J166" s="2">
        <f t="shared" si="39"/>
        <v>0</v>
      </c>
      <c r="K166" s="2">
        <f t="shared" si="40"/>
        <v>0</v>
      </c>
      <c r="L166" s="2">
        <f t="shared" si="41"/>
        <v>0</v>
      </c>
      <c r="M166" s="2">
        <f>'Input Sheet'!E164</f>
        <v>0</v>
      </c>
      <c r="N166" s="2">
        <f t="shared" si="42"/>
        <v>0</v>
      </c>
      <c r="P166">
        <f t="shared" si="43"/>
        <v>0</v>
      </c>
      <c r="Q166">
        <f t="shared" si="43"/>
        <v>0</v>
      </c>
      <c r="R166">
        <f t="shared" si="43"/>
        <v>0</v>
      </c>
      <c r="S166">
        <f t="shared" si="43"/>
        <v>0</v>
      </c>
      <c r="T166">
        <f t="shared" si="43"/>
        <v>0</v>
      </c>
    </row>
    <row r="167" spans="1:20" ht="16.5" x14ac:dyDescent="0.35">
      <c r="A167" s="57" t="str">
        <f>'Long Sample Name'!A163</f>
        <v/>
      </c>
      <c r="B167" s="1" t="str">
        <f ca="1">'Input Sheet'!L165</f>
        <v/>
      </c>
      <c r="C167" s="7" t="str">
        <f ca="1">'Input Sheet'!M165</f>
        <v/>
      </c>
      <c r="D167" s="58">
        <f>'Input Sheet'!B165</f>
        <v>0</v>
      </c>
      <c r="E167" s="8">
        <f>'Input Sheet'!I165</f>
        <v>0</v>
      </c>
      <c r="F167" s="59">
        <f>'Input Sheet'!C165/100</f>
        <v>0</v>
      </c>
      <c r="G167" s="59">
        <f>'Input Sheet'!F165/100</f>
        <v>0</v>
      </c>
      <c r="H167" s="2">
        <f t="shared" si="37"/>
        <v>0</v>
      </c>
      <c r="I167" s="2">
        <f t="shared" si="38"/>
        <v>0</v>
      </c>
      <c r="J167" s="2">
        <f t="shared" si="39"/>
        <v>0</v>
      </c>
      <c r="K167" s="2">
        <f t="shared" si="40"/>
        <v>0</v>
      </c>
      <c r="L167" s="2">
        <f t="shared" si="41"/>
        <v>0</v>
      </c>
      <c r="M167" s="2">
        <f>'Input Sheet'!E165</f>
        <v>0</v>
      </c>
      <c r="N167" s="2">
        <f t="shared" si="42"/>
        <v>0</v>
      </c>
      <c r="P167">
        <f t="shared" si="43"/>
        <v>0</v>
      </c>
      <c r="Q167">
        <f t="shared" si="43"/>
        <v>0</v>
      </c>
      <c r="R167">
        <f t="shared" si="43"/>
        <v>0</v>
      </c>
      <c r="S167">
        <f t="shared" si="43"/>
        <v>0</v>
      </c>
      <c r="T167">
        <f t="shared" si="43"/>
        <v>0</v>
      </c>
    </row>
    <row r="168" spans="1:20" ht="16.5" x14ac:dyDescent="0.35">
      <c r="A168" s="57" t="str">
        <f>'Long Sample Name'!A164</f>
        <v/>
      </c>
      <c r="B168" s="1" t="str">
        <f ca="1">'Input Sheet'!L166</f>
        <v/>
      </c>
      <c r="C168" s="7" t="str">
        <f ca="1">'Input Sheet'!M166</f>
        <v/>
      </c>
      <c r="D168" s="58">
        <f>'Input Sheet'!B166</f>
        <v>0</v>
      </c>
      <c r="E168" s="8">
        <f>'Input Sheet'!I166</f>
        <v>0</v>
      </c>
      <c r="F168" s="59">
        <f>'Input Sheet'!C166/100</f>
        <v>0</v>
      </c>
      <c r="G168" s="59">
        <f>'Input Sheet'!F166/100</f>
        <v>0</v>
      </c>
      <c r="H168" s="2">
        <f t="shared" si="37"/>
        <v>0</v>
      </c>
      <c r="I168" s="2">
        <f t="shared" si="38"/>
        <v>0</v>
      </c>
      <c r="J168" s="2">
        <f t="shared" si="39"/>
        <v>0</v>
      </c>
      <c r="K168" s="2">
        <f t="shared" si="40"/>
        <v>0</v>
      </c>
      <c r="L168" s="2">
        <f t="shared" si="41"/>
        <v>0</v>
      </c>
      <c r="M168" s="2">
        <f>'Input Sheet'!E166</f>
        <v>0</v>
      </c>
      <c r="N168" s="2">
        <f t="shared" si="42"/>
        <v>0</v>
      </c>
      <c r="P168">
        <f t="shared" si="43"/>
        <v>0</v>
      </c>
      <c r="Q168">
        <f t="shared" si="43"/>
        <v>0</v>
      </c>
      <c r="R168">
        <f t="shared" si="43"/>
        <v>0</v>
      </c>
      <c r="S168">
        <f t="shared" si="43"/>
        <v>0</v>
      </c>
      <c r="T168">
        <f t="shared" si="43"/>
        <v>0</v>
      </c>
    </row>
    <row r="169" spans="1:20" ht="16.5" x14ac:dyDescent="0.35">
      <c r="A169" s="57" t="str">
        <f>'Long Sample Name'!A165</f>
        <v/>
      </c>
      <c r="B169" s="1" t="str">
        <f ca="1">'Input Sheet'!L167</f>
        <v/>
      </c>
      <c r="C169" s="7" t="str">
        <f ca="1">'Input Sheet'!M167</f>
        <v/>
      </c>
      <c r="D169" s="58">
        <f>'Input Sheet'!B167</f>
        <v>0</v>
      </c>
      <c r="E169" s="8">
        <f>'Input Sheet'!I167</f>
        <v>0</v>
      </c>
      <c r="F169" s="59">
        <f>'Input Sheet'!C167/100</f>
        <v>0</v>
      </c>
      <c r="G169" s="59">
        <f>'Input Sheet'!F167/100</f>
        <v>0</v>
      </c>
      <c r="H169" s="2">
        <f t="shared" si="37"/>
        <v>0</v>
      </c>
      <c r="I169" s="2">
        <f t="shared" si="38"/>
        <v>0</v>
      </c>
      <c r="J169" s="2">
        <f t="shared" si="39"/>
        <v>0</v>
      </c>
      <c r="K169" s="2">
        <f t="shared" si="40"/>
        <v>0</v>
      </c>
      <c r="L169" s="2">
        <f t="shared" si="41"/>
        <v>0</v>
      </c>
      <c r="M169" s="2">
        <f>'Input Sheet'!E167</f>
        <v>0</v>
      </c>
      <c r="N169" s="2">
        <f t="shared" si="42"/>
        <v>0</v>
      </c>
      <c r="P169">
        <f t="shared" si="43"/>
        <v>0</v>
      </c>
      <c r="Q169">
        <f t="shared" si="43"/>
        <v>0</v>
      </c>
      <c r="R169">
        <f t="shared" si="43"/>
        <v>0</v>
      </c>
      <c r="S169">
        <f t="shared" si="43"/>
        <v>0</v>
      </c>
      <c r="T169">
        <f t="shared" si="43"/>
        <v>0</v>
      </c>
    </row>
    <row r="170" spans="1:20" ht="16.5" x14ac:dyDescent="0.35">
      <c r="A170" s="57" t="str">
        <f>'Long Sample Name'!A166</f>
        <v/>
      </c>
      <c r="B170" s="1" t="str">
        <f ca="1">'Input Sheet'!L168</f>
        <v/>
      </c>
      <c r="C170" s="7" t="str">
        <f ca="1">'Input Sheet'!M168</f>
        <v/>
      </c>
      <c r="D170" s="58">
        <f>'Input Sheet'!B168</f>
        <v>0</v>
      </c>
      <c r="E170" s="8">
        <f>'Input Sheet'!I168</f>
        <v>0</v>
      </c>
      <c r="F170" s="59">
        <f>'Input Sheet'!C168/100</f>
        <v>0</v>
      </c>
      <c r="G170" s="59">
        <f>'Input Sheet'!F168/100</f>
        <v>0</v>
      </c>
      <c r="H170" s="2">
        <f t="shared" si="37"/>
        <v>0</v>
      </c>
      <c r="I170" s="2">
        <f t="shared" si="38"/>
        <v>0</v>
      </c>
      <c r="J170" s="2">
        <f t="shared" si="39"/>
        <v>0</v>
      </c>
      <c r="K170" s="2">
        <f t="shared" si="40"/>
        <v>0</v>
      </c>
      <c r="L170" s="2">
        <f t="shared" si="41"/>
        <v>0</v>
      </c>
      <c r="M170" s="2">
        <f>'Input Sheet'!E168</f>
        <v>0</v>
      </c>
      <c r="N170" s="2">
        <f t="shared" si="42"/>
        <v>0</v>
      </c>
      <c r="P170">
        <f t="shared" si="43"/>
        <v>0</v>
      </c>
      <c r="Q170">
        <f t="shared" si="43"/>
        <v>0</v>
      </c>
      <c r="R170">
        <f t="shared" si="43"/>
        <v>0</v>
      </c>
      <c r="S170">
        <f t="shared" si="43"/>
        <v>0</v>
      </c>
      <c r="T170">
        <f t="shared" si="43"/>
        <v>0</v>
      </c>
    </row>
    <row r="171" spans="1:20" ht="16.5" x14ac:dyDescent="0.35">
      <c r="A171" s="57" t="str">
        <f>'Long Sample Name'!A167</f>
        <v/>
      </c>
      <c r="B171" s="1" t="str">
        <f ca="1">'Input Sheet'!L169</f>
        <v/>
      </c>
      <c r="C171" s="7" t="str">
        <f ca="1">'Input Sheet'!M169</f>
        <v/>
      </c>
      <c r="D171" s="58">
        <f>'Input Sheet'!B169</f>
        <v>0</v>
      </c>
      <c r="E171" s="8">
        <f>'Input Sheet'!I169</f>
        <v>0</v>
      </c>
      <c r="F171" s="59">
        <f>'Input Sheet'!C169/100</f>
        <v>0</v>
      </c>
      <c r="G171" s="59">
        <f>'Input Sheet'!F169/100</f>
        <v>0</v>
      </c>
      <c r="H171" s="2">
        <f t="shared" si="37"/>
        <v>0</v>
      </c>
      <c r="I171" s="2">
        <f t="shared" si="38"/>
        <v>0</v>
      </c>
      <c r="J171" s="2">
        <f t="shared" si="39"/>
        <v>0</v>
      </c>
      <c r="K171" s="2">
        <f t="shared" si="40"/>
        <v>0</v>
      </c>
      <c r="L171" s="2">
        <f t="shared" si="41"/>
        <v>0</v>
      </c>
      <c r="M171" s="2">
        <f>'Input Sheet'!E169</f>
        <v>0</v>
      </c>
      <c r="N171" s="2">
        <f t="shared" si="42"/>
        <v>0</v>
      </c>
      <c r="P171">
        <f t="shared" si="43"/>
        <v>0</v>
      </c>
      <c r="Q171">
        <f t="shared" si="43"/>
        <v>0</v>
      </c>
      <c r="R171">
        <f t="shared" si="43"/>
        <v>0</v>
      </c>
      <c r="S171">
        <f t="shared" si="43"/>
        <v>0</v>
      </c>
      <c r="T171">
        <f t="shared" si="43"/>
        <v>0</v>
      </c>
    </row>
    <row r="172" spans="1:20" ht="16.5" x14ac:dyDescent="0.35">
      <c r="A172" s="57" t="str">
        <f>'Long Sample Name'!A168</f>
        <v/>
      </c>
      <c r="B172" s="1" t="str">
        <f ca="1">'Input Sheet'!L170</f>
        <v/>
      </c>
      <c r="C172" s="7" t="str">
        <f ca="1">'Input Sheet'!M170</f>
        <v/>
      </c>
      <c r="D172" s="58">
        <f>'Input Sheet'!B170</f>
        <v>0</v>
      </c>
      <c r="E172" s="8">
        <f>'Input Sheet'!I170</f>
        <v>0</v>
      </c>
      <c r="F172" s="59">
        <f>'Input Sheet'!C170/100</f>
        <v>0</v>
      </c>
      <c r="G172" s="59">
        <f>'Input Sheet'!F170/100</f>
        <v>0</v>
      </c>
      <c r="H172" s="2">
        <f t="shared" si="37"/>
        <v>0</v>
      </c>
      <c r="I172" s="2">
        <f t="shared" si="38"/>
        <v>0</v>
      </c>
      <c r="J172" s="2">
        <f t="shared" si="39"/>
        <v>0</v>
      </c>
      <c r="K172" s="2">
        <f t="shared" si="40"/>
        <v>0</v>
      </c>
      <c r="L172" s="2">
        <f t="shared" si="41"/>
        <v>0</v>
      </c>
      <c r="M172" s="2">
        <f>'Input Sheet'!E170</f>
        <v>0</v>
      </c>
      <c r="N172" s="2">
        <f t="shared" si="42"/>
        <v>0</v>
      </c>
      <c r="P172">
        <f t="shared" si="43"/>
        <v>0</v>
      </c>
      <c r="Q172">
        <f t="shared" si="43"/>
        <v>0</v>
      </c>
      <c r="R172">
        <f t="shared" si="43"/>
        <v>0</v>
      </c>
      <c r="S172">
        <f t="shared" si="43"/>
        <v>0</v>
      </c>
      <c r="T172">
        <f t="shared" si="43"/>
        <v>0</v>
      </c>
    </row>
    <row r="173" spans="1:20" ht="16.5" x14ac:dyDescent="0.35">
      <c r="A173" s="57" t="str">
        <f>'Long Sample Name'!A169</f>
        <v/>
      </c>
      <c r="B173" s="1" t="str">
        <f ca="1">'Input Sheet'!L171</f>
        <v/>
      </c>
      <c r="C173" s="7" t="str">
        <f ca="1">'Input Sheet'!M171</f>
        <v/>
      </c>
      <c r="D173" s="58">
        <f>'Input Sheet'!B171</f>
        <v>0</v>
      </c>
      <c r="E173" s="8">
        <f>'Input Sheet'!I171</f>
        <v>0</v>
      </c>
      <c r="F173" s="59">
        <f>'Input Sheet'!C171/100</f>
        <v>0</v>
      </c>
      <c r="G173" s="59">
        <f>'Input Sheet'!F171/100</f>
        <v>0</v>
      </c>
      <c r="H173" s="2">
        <f t="shared" si="37"/>
        <v>0</v>
      </c>
      <c r="I173" s="2">
        <f t="shared" si="38"/>
        <v>0</v>
      </c>
      <c r="J173" s="2">
        <f t="shared" si="39"/>
        <v>0</v>
      </c>
      <c r="K173" s="2">
        <f t="shared" si="40"/>
        <v>0</v>
      </c>
      <c r="L173" s="2">
        <f t="shared" si="41"/>
        <v>0</v>
      </c>
      <c r="M173" s="2">
        <f>'Input Sheet'!E171</f>
        <v>0</v>
      </c>
      <c r="N173" s="2">
        <f t="shared" si="42"/>
        <v>0</v>
      </c>
      <c r="P173">
        <f t="shared" ref="P173:T182" si="44">IF($M173=P$1,$H173,0)</f>
        <v>0</v>
      </c>
      <c r="Q173">
        <f t="shared" si="44"/>
        <v>0</v>
      </c>
      <c r="R173">
        <f t="shared" si="44"/>
        <v>0</v>
      </c>
      <c r="S173">
        <f t="shared" si="44"/>
        <v>0</v>
      </c>
      <c r="T173">
        <f t="shared" si="44"/>
        <v>0</v>
      </c>
    </row>
    <row r="174" spans="1:20" ht="16.5" x14ac:dyDescent="0.35">
      <c r="A174" s="57" t="str">
        <f>'Long Sample Name'!A170</f>
        <v/>
      </c>
      <c r="B174" s="1" t="str">
        <f ca="1">'Input Sheet'!L172</f>
        <v/>
      </c>
      <c r="C174" s="7" t="str">
        <f ca="1">'Input Sheet'!M172</f>
        <v/>
      </c>
      <c r="D174" s="58">
        <f>'Input Sheet'!B172</f>
        <v>0</v>
      </c>
      <c r="E174" s="8">
        <f>'Input Sheet'!I172</f>
        <v>0</v>
      </c>
      <c r="F174" s="59">
        <f>'Input Sheet'!C172/100</f>
        <v>0</v>
      </c>
      <c r="G174" s="59">
        <f>'Input Sheet'!F172/100</f>
        <v>0</v>
      </c>
      <c r="H174" s="2">
        <f t="shared" si="37"/>
        <v>0</v>
      </c>
      <c r="I174" s="2">
        <f t="shared" si="38"/>
        <v>0</v>
      </c>
      <c r="J174" s="2">
        <f t="shared" si="39"/>
        <v>0</v>
      </c>
      <c r="K174" s="2">
        <f t="shared" si="40"/>
        <v>0</v>
      </c>
      <c r="L174" s="2">
        <f t="shared" si="41"/>
        <v>0</v>
      </c>
      <c r="M174" s="2">
        <f>'Input Sheet'!E172</f>
        <v>0</v>
      </c>
      <c r="N174" s="2">
        <f t="shared" si="42"/>
        <v>0</v>
      </c>
      <c r="P174">
        <f t="shared" si="44"/>
        <v>0</v>
      </c>
      <c r="Q174">
        <f t="shared" si="44"/>
        <v>0</v>
      </c>
      <c r="R174">
        <f t="shared" si="44"/>
        <v>0</v>
      </c>
      <c r="S174">
        <f t="shared" si="44"/>
        <v>0</v>
      </c>
      <c r="T174">
        <f t="shared" si="44"/>
        <v>0</v>
      </c>
    </row>
    <row r="175" spans="1:20" ht="16.5" x14ac:dyDescent="0.35">
      <c r="A175" s="57" t="str">
        <f>'Long Sample Name'!A171</f>
        <v/>
      </c>
      <c r="B175" s="1" t="str">
        <f ca="1">'Input Sheet'!L173</f>
        <v/>
      </c>
      <c r="C175" s="7" t="str">
        <f ca="1">'Input Sheet'!M173</f>
        <v/>
      </c>
      <c r="D175" s="58">
        <f>'Input Sheet'!B173</f>
        <v>0</v>
      </c>
      <c r="E175" s="8">
        <f>'Input Sheet'!I173</f>
        <v>0</v>
      </c>
      <c r="F175" s="59">
        <f>'Input Sheet'!C173/100</f>
        <v>0</v>
      </c>
      <c r="G175" s="59">
        <f>'Input Sheet'!F173/100</f>
        <v>0</v>
      </c>
      <c r="H175" s="2">
        <f t="shared" si="37"/>
        <v>0</v>
      </c>
      <c r="I175" s="2">
        <f t="shared" si="38"/>
        <v>0</v>
      </c>
      <c r="J175" s="2">
        <f t="shared" si="39"/>
        <v>0</v>
      </c>
      <c r="K175" s="2">
        <f t="shared" si="40"/>
        <v>0</v>
      </c>
      <c r="L175" s="2">
        <f t="shared" si="41"/>
        <v>0</v>
      </c>
      <c r="M175" s="2">
        <f>'Input Sheet'!E173</f>
        <v>0</v>
      </c>
      <c r="N175" s="2">
        <f t="shared" si="42"/>
        <v>0</v>
      </c>
      <c r="P175">
        <f t="shared" si="44"/>
        <v>0</v>
      </c>
      <c r="Q175">
        <f t="shared" si="44"/>
        <v>0</v>
      </c>
      <c r="R175">
        <f t="shared" si="44"/>
        <v>0</v>
      </c>
      <c r="S175">
        <f t="shared" si="44"/>
        <v>0</v>
      </c>
      <c r="T175">
        <f t="shared" si="44"/>
        <v>0</v>
      </c>
    </row>
    <row r="176" spans="1:20" ht="16.5" x14ac:dyDescent="0.35">
      <c r="A176" s="57" t="str">
        <f>'Long Sample Name'!A172</f>
        <v/>
      </c>
      <c r="B176" s="1" t="str">
        <f ca="1">'Input Sheet'!L174</f>
        <v/>
      </c>
      <c r="C176" s="7" t="str">
        <f ca="1">'Input Sheet'!M174</f>
        <v/>
      </c>
      <c r="D176" s="58">
        <f>'Input Sheet'!B174</f>
        <v>0</v>
      </c>
      <c r="E176" s="8">
        <f>'Input Sheet'!I174</f>
        <v>0</v>
      </c>
      <c r="F176" s="59">
        <f>'Input Sheet'!C174/100</f>
        <v>0</v>
      </c>
      <c r="G176" s="59">
        <f>'Input Sheet'!F174/100</f>
        <v>0</v>
      </c>
      <c r="H176" s="2">
        <f t="shared" si="37"/>
        <v>0</v>
      </c>
      <c r="I176" s="2">
        <f t="shared" si="38"/>
        <v>0</v>
      </c>
      <c r="J176" s="2">
        <f t="shared" si="39"/>
        <v>0</v>
      </c>
      <c r="K176" s="2">
        <f t="shared" si="40"/>
        <v>0</v>
      </c>
      <c r="L176" s="2">
        <f t="shared" si="41"/>
        <v>0</v>
      </c>
      <c r="M176" s="2">
        <f>'Input Sheet'!E174</f>
        <v>0</v>
      </c>
      <c r="N176" s="2">
        <f t="shared" si="42"/>
        <v>0</v>
      </c>
      <c r="P176">
        <f t="shared" si="44"/>
        <v>0</v>
      </c>
      <c r="Q176">
        <f t="shared" si="44"/>
        <v>0</v>
      </c>
      <c r="R176">
        <f t="shared" si="44"/>
        <v>0</v>
      </c>
      <c r="S176">
        <f t="shared" si="44"/>
        <v>0</v>
      </c>
      <c r="T176">
        <f t="shared" si="44"/>
        <v>0</v>
      </c>
    </row>
    <row r="177" spans="1:20" ht="16.5" x14ac:dyDescent="0.35">
      <c r="A177" s="57" t="str">
        <f>'Long Sample Name'!A173</f>
        <v/>
      </c>
      <c r="B177" s="1" t="str">
        <f ca="1">'Input Sheet'!L175</f>
        <v/>
      </c>
      <c r="C177" s="7" t="str">
        <f ca="1">'Input Sheet'!M175</f>
        <v/>
      </c>
      <c r="D177" s="58">
        <f>'Input Sheet'!B175</f>
        <v>0</v>
      </c>
      <c r="E177" s="8">
        <f>'Input Sheet'!I175</f>
        <v>0</v>
      </c>
      <c r="F177" s="59">
        <f>'Input Sheet'!C175/100</f>
        <v>0</v>
      </c>
      <c r="G177" s="59">
        <f>'Input Sheet'!F175/100</f>
        <v>0</v>
      </c>
      <c r="H177" s="2">
        <f t="shared" si="37"/>
        <v>0</v>
      </c>
      <c r="I177" s="2">
        <f t="shared" si="38"/>
        <v>0</v>
      </c>
      <c r="J177" s="2">
        <f t="shared" si="39"/>
        <v>0</v>
      </c>
      <c r="K177" s="2">
        <f t="shared" si="40"/>
        <v>0</v>
      </c>
      <c r="L177" s="2">
        <f t="shared" si="41"/>
        <v>0</v>
      </c>
      <c r="M177" s="2">
        <f>'Input Sheet'!E175</f>
        <v>0</v>
      </c>
      <c r="N177" s="2">
        <f t="shared" si="42"/>
        <v>0</v>
      </c>
      <c r="P177">
        <f t="shared" si="44"/>
        <v>0</v>
      </c>
      <c r="Q177">
        <f t="shared" si="44"/>
        <v>0</v>
      </c>
      <c r="R177">
        <f t="shared" si="44"/>
        <v>0</v>
      </c>
      <c r="S177">
        <f t="shared" si="44"/>
        <v>0</v>
      </c>
      <c r="T177">
        <f t="shared" si="44"/>
        <v>0</v>
      </c>
    </row>
    <row r="178" spans="1:20" ht="16.5" x14ac:dyDescent="0.35">
      <c r="A178" s="57" t="str">
        <f>'Long Sample Name'!A174</f>
        <v/>
      </c>
      <c r="B178" s="1" t="str">
        <f ca="1">'Input Sheet'!L176</f>
        <v/>
      </c>
      <c r="C178" s="7" t="str">
        <f ca="1">'Input Sheet'!M176</f>
        <v/>
      </c>
      <c r="D178" s="58">
        <f>'Input Sheet'!B176</f>
        <v>0</v>
      </c>
      <c r="E178" s="8">
        <f>'Input Sheet'!I176</f>
        <v>0</v>
      </c>
      <c r="F178" s="59">
        <f>'Input Sheet'!C176/100</f>
        <v>0</v>
      </c>
      <c r="G178" s="59">
        <f>'Input Sheet'!F176/100</f>
        <v>0</v>
      </c>
      <c r="H178" s="2">
        <f t="shared" si="37"/>
        <v>0</v>
      </c>
      <c r="I178" s="2">
        <f t="shared" si="38"/>
        <v>0</v>
      </c>
      <c r="J178" s="2">
        <f t="shared" si="39"/>
        <v>0</v>
      </c>
      <c r="K178" s="2">
        <f t="shared" si="40"/>
        <v>0</v>
      </c>
      <c r="L178" s="2">
        <f t="shared" si="41"/>
        <v>0</v>
      </c>
      <c r="M178" s="2">
        <f>'Input Sheet'!E176</f>
        <v>0</v>
      </c>
      <c r="N178" s="2">
        <f t="shared" si="42"/>
        <v>0</v>
      </c>
      <c r="P178">
        <f t="shared" si="44"/>
        <v>0</v>
      </c>
      <c r="Q178">
        <f t="shared" si="44"/>
        <v>0</v>
      </c>
      <c r="R178">
        <f t="shared" si="44"/>
        <v>0</v>
      </c>
      <c r="S178">
        <f t="shared" si="44"/>
        <v>0</v>
      </c>
      <c r="T178">
        <f t="shared" si="44"/>
        <v>0</v>
      </c>
    </row>
    <row r="179" spans="1:20" ht="16.5" x14ac:dyDescent="0.35">
      <c r="A179" s="57" t="str">
        <f>'Long Sample Name'!A175</f>
        <v/>
      </c>
      <c r="B179" s="1" t="str">
        <f ca="1">'Input Sheet'!L177</f>
        <v/>
      </c>
      <c r="C179" s="7" t="str">
        <f ca="1">'Input Sheet'!M177</f>
        <v/>
      </c>
      <c r="D179" s="58">
        <f>'Input Sheet'!B177</f>
        <v>0</v>
      </c>
      <c r="E179" s="8">
        <f>'Input Sheet'!I177</f>
        <v>0</v>
      </c>
      <c r="F179" s="59">
        <f>'Input Sheet'!C177/100</f>
        <v>0</v>
      </c>
      <c r="G179" s="59">
        <f>'Input Sheet'!F177/100</f>
        <v>0</v>
      </c>
      <c r="H179" s="2">
        <f t="shared" si="37"/>
        <v>0</v>
      </c>
      <c r="I179" s="2">
        <f t="shared" si="38"/>
        <v>0</v>
      </c>
      <c r="J179" s="2">
        <f t="shared" si="39"/>
        <v>0</v>
      </c>
      <c r="K179" s="2">
        <f t="shared" si="40"/>
        <v>0</v>
      </c>
      <c r="L179" s="2">
        <f t="shared" si="41"/>
        <v>0</v>
      </c>
      <c r="M179" s="2">
        <f>'Input Sheet'!E177</f>
        <v>0</v>
      </c>
      <c r="N179" s="2">
        <f t="shared" si="42"/>
        <v>0</v>
      </c>
      <c r="P179">
        <f t="shared" si="44"/>
        <v>0</v>
      </c>
      <c r="Q179">
        <f t="shared" si="44"/>
        <v>0</v>
      </c>
      <c r="R179">
        <f t="shared" si="44"/>
        <v>0</v>
      </c>
      <c r="S179">
        <f t="shared" si="44"/>
        <v>0</v>
      </c>
      <c r="T179">
        <f t="shared" si="44"/>
        <v>0</v>
      </c>
    </row>
    <row r="180" spans="1:20" ht="16.5" x14ac:dyDescent="0.35">
      <c r="A180" s="57" t="str">
        <f>'Long Sample Name'!A176</f>
        <v/>
      </c>
      <c r="B180" s="1" t="str">
        <f ca="1">'Input Sheet'!L178</f>
        <v/>
      </c>
      <c r="C180" s="7" t="str">
        <f ca="1">'Input Sheet'!M178</f>
        <v/>
      </c>
      <c r="D180" s="58">
        <f>'Input Sheet'!B178</f>
        <v>0</v>
      </c>
      <c r="E180" s="8">
        <f>'Input Sheet'!I178</f>
        <v>0</v>
      </c>
      <c r="F180" s="59">
        <f>'Input Sheet'!C178/100</f>
        <v>0</v>
      </c>
      <c r="G180" s="59">
        <f>'Input Sheet'!F178/100</f>
        <v>0</v>
      </c>
      <c r="H180" s="2">
        <f t="shared" si="37"/>
        <v>0</v>
      </c>
      <c r="I180" s="2">
        <f t="shared" si="38"/>
        <v>0</v>
      </c>
      <c r="J180" s="2">
        <f t="shared" si="39"/>
        <v>0</v>
      </c>
      <c r="K180" s="2">
        <f t="shared" si="40"/>
        <v>0</v>
      </c>
      <c r="L180" s="2">
        <f t="shared" si="41"/>
        <v>0</v>
      </c>
      <c r="M180" s="2">
        <f>'Input Sheet'!E178</f>
        <v>0</v>
      </c>
      <c r="N180" s="2">
        <f t="shared" si="42"/>
        <v>0</v>
      </c>
      <c r="P180">
        <f t="shared" si="44"/>
        <v>0</v>
      </c>
      <c r="Q180">
        <f t="shared" si="44"/>
        <v>0</v>
      </c>
      <c r="R180">
        <f t="shared" si="44"/>
        <v>0</v>
      </c>
      <c r="S180">
        <f t="shared" si="44"/>
        <v>0</v>
      </c>
      <c r="T180">
        <f t="shared" si="44"/>
        <v>0</v>
      </c>
    </row>
    <row r="181" spans="1:20" ht="16.5" x14ac:dyDescent="0.35">
      <c r="A181" s="57" t="str">
        <f>'Long Sample Name'!A177</f>
        <v/>
      </c>
      <c r="B181" s="1" t="str">
        <f ca="1">'Input Sheet'!L179</f>
        <v/>
      </c>
      <c r="C181" s="7" t="str">
        <f ca="1">'Input Sheet'!M179</f>
        <v/>
      </c>
      <c r="D181" s="58">
        <f>'Input Sheet'!B179</f>
        <v>0</v>
      </c>
      <c r="E181" s="8">
        <f>'Input Sheet'!I179</f>
        <v>0</v>
      </c>
      <c r="F181" s="59">
        <f>'Input Sheet'!C179/100</f>
        <v>0</v>
      </c>
      <c r="G181" s="59">
        <f>'Input Sheet'!F179/100</f>
        <v>0</v>
      </c>
      <c r="H181" s="2">
        <f t="shared" si="37"/>
        <v>0</v>
      </c>
      <c r="I181" s="2">
        <f t="shared" si="38"/>
        <v>0</v>
      </c>
      <c r="J181" s="2">
        <f t="shared" si="39"/>
        <v>0</v>
      </c>
      <c r="K181" s="2">
        <f t="shared" si="40"/>
        <v>0</v>
      </c>
      <c r="L181" s="2">
        <f t="shared" si="41"/>
        <v>0</v>
      </c>
      <c r="M181" s="2">
        <f>'Input Sheet'!E179</f>
        <v>0</v>
      </c>
      <c r="N181" s="2">
        <f t="shared" si="42"/>
        <v>0</v>
      </c>
      <c r="P181">
        <f t="shared" si="44"/>
        <v>0</v>
      </c>
      <c r="Q181">
        <f t="shared" si="44"/>
        <v>0</v>
      </c>
      <c r="R181">
        <f t="shared" si="44"/>
        <v>0</v>
      </c>
      <c r="S181">
        <f t="shared" si="44"/>
        <v>0</v>
      </c>
      <c r="T181">
        <f t="shared" si="44"/>
        <v>0</v>
      </c>
    </row>
    <row r="182" spans="1:20" ht="16.5" x14ac:dyDescent="0.35">
      <c r="A182" s="57" t="str">
        <f>'Long Sample Name'!A178</f>
        <v/>
      </c>
      <c r="B182" s="1" t="str">
        <f ca="1">'Input Sheet'!L180</f>
        <v/>
      </c>
      <c r="C182" s="7" t="str">
        <f ca="1">'Input Sheet'!M180</f>
        <v/>
      </c>
      <c r="D182" s="58">
        <f>'Input Sheet'!B180</f>
        <v>0</v>
      </c>
      <c r="E182" s="8">
        <f>'Input Sheet'!I180</f>
        <v>0</v>
      </c>
      <c r="F182" s="59">
        <f>'Input Sheet'!C180/100</f>
        <v>0</v>
      </c>
      <c r="G182" s="59">
        <f>'Input Sheet'!F180/100</f>
        <v>0</v>
      </c>
      <c r="H182" s="2">
        <f t="shared" si="37"/>
        <v>0</v>
      </c>
      <c r="I182" s="2">
        <f t="shared" si="38"/>
        <v>0</v>
      </c>
      <c r="J182" s="2">
        <f t="shared" si="39"/>
        <v>0</v>
      </c>
      <c r="K182" s="2">
        <f t="shared" si="40"/>
        <v>0</v>
      </c>
      <c r="L182" s="2">
        <f t="shared" si="41"/>
        <v>0</v>
      </c>
      <c r="M182" s="2">
        <f>'Input Sheet'!E180</f>
        <v>0</v>
      </c>
      <c r="N182" s="2">
        <f t="shared" si="42"/>
        <v>0</v>
      </c>
      <c r="P182">
        <f t="shared" si="44"/>
        <v>0</v>
      </c>
      <c r="Q182">
        <f t="shared" si="44"/>
        <v>0</v>
      </c>
      <c r="R182">
        <f t="shared" si="44"/>
        <v>0</v>
      </c>
      <c r="S182">
        <f t="shared" si="44"/>
        <v>0</v>
      </c>
      <c r="T182">
        <f t="shared" si="44"/>
        <v>0</v>
      </c>
    </row>
    <row r="183" spans="1:20" ht="16.5" x14ac:dyDescent="0.35">
      <c r="A183" s="57" t="str">
        <f>'Long Sample Name'!A179</f>
        <v/>
      </c>
      <c r="B183" s="1" t="str">
        <f ca="1">'Input Sheet'!L181</f>
        <v/>
      </c>
      <c r="C183" s="7" t="str">
        <f ca="1">'Input Sheet'!M181</f>
        <v/>
      </c>
      <c r="D183" s="58">
        <f>'Input Sheet'!B181</f>
        <v>0</v>
      </c>
      <c r="E183" s="8">
        <f>'Input Sheet'!I181</f>
        <v>0</v>
      </c>
      <c r="F183" s="59">
        <f>'Input Sheet'!C181/100</f>
        <v>0</v>
      </c>
      <c r="G183" s="59">
        <f>'Input Sheet'!F181/100</f>
        <v>0</v>
      </c>
      <c r="H183" s="2">
        <f t="shared" si="37"/>
        <v>0</v>
      </c>
      <c r="I183" s="2">
        <f t="shared" si="38"/>
        <v>0</v>
      </c>
      <c r="J183" s="2">
        <f t="shared" si="39"/>
        <v>0</v>
      </c>
      <c r="K183" s="2">
        <f t="shared" si="40"/>
        <v>0</v>
      </c>
      <c r="L183" s="2">
        <f t="shared" si="41"/>
        <v>0</v>
      </c>
      <c r="M183" s="2">
        <f>'Input Sheet'!E181</f>
        <v>0</v>
      </c>
      <c r="N183" s="2">
        <f t="shared" si="42"/>
        <v>0</v>
      </c>
      <c r="P183">
        <f t="shared" ref="P183:T192" si="45">IF($M183=P$1,$H183,0)</f>
        <v>0</v>
      </c>
      <c r="Q183">
        <f t="shared" si="45"/>
        <v>0</v>
      </c>
      <c r="R183">
        <f t="shared" si="45"/>
        <v>0</v>
      </c>
      <c r="S183">
        <f t="shared" si="45"/>
        <v>0</v>
      </c>
      <c r="T183">
        <f t="shared" si="45"/>
        <v>0</v>
      </c>
    </row>
    <row r="184" spans="1:20" ht="16.5" x14ac:dyDescent="0.35">
      <c r="A184" s="57" t="str">
        <f>'Long Sample Name'!A180</f>
        <v/>
      </c>
      <c r="B184" s="1" t="str">
        <f ca="1">'Input Sheet'!L182</f>
        <v/>
      </c>
      <c r="C184" s="7" t="str">
        <f ca="1">'Input Sheet'!M182</f>
        <v/>
      </c>
      <c r="D184" s="58">
        <f>'Input Sheet'!B182</f>
        <v>0</v>
      </c>
      <c r="E184" s="8">
        <f>'Input Sheet'!I182</f>
        <v>0</v>
      </c>
      <c r="F184" s="59">
        <f>'Input Sheet'!C182/100</f>
        <v>0</v>
      </c>
      <c r="G184" s="59">
        <f>'Input Sheet'!F182/100</f>
        <v>0</v>
      </c>
      <c r="H184" s="2">
        <f t="shared" si="37"/>
        <v>0</v>
      </c>
      <c r="I184" s="2">
        <f t="shared" si="38"/>
        <v>0</v>
      </c>
      <c r="J184" s="2">
        <f t="shared" si="39"/>
        <v>0</v>
      </c>
      <c r="K184" s="2">
        <f t="shared" si="40"/>
        <v>0</v>
      </c>
      <c r="L184" s="2">
        <f t="shared" si="41"/>
        <v>0</v>
      </c>
      <c r="M184" s="2">
        <f>'Input Sheet'!E182</f>
        <v>0</v>
      </c>
      <c r="N184" s="2">
        <f t="shared" si="42"/>
        <v>0</v>
      </c>
      <c r="P184">
        <f t="shared" si="45"/>
        <v>0</v>
      </c>
      <c r="Q184">
        <f t="shared" si="45"/>
        <v>0</v>
      </c>
      <c r="R184">
        <f t="shared" si="45"/>
        <v>0</v>
      </c>
      <c r="S184">
        <f t="shared" si="45"/>
        <v>0</v>
      </c>
      <c r="T184">
        <f t="shared" si="45"/>
        <v>0</v>
      </c>
    </row>
    <row r="185" spans="1:20" ht="16.5" x14ac:dyDescent="0.35">
      <c r="A185" s="57" t="str">
        <f>'Long Sample Name'!A181</f>
        <v/>
      </c>
      <c r="B185" s="1" t="str">
        <f ca="1">'Input Sheet'!L183</f>
        <v/>
      </c>
      <c r="C185" s="7" t="str">
        <f ca="1">'Input Sheet'!M183</f>
        <v/>
      </c>
      <c r="D185" s="58">
        <f>'Input Sheet'!B183</f>
        <v>0</v>
      </c>
      <c r="E185" s="8">
        <f>'Input Sheet'!I183</f>
        <v>0</v>
      </c>
      <c r="F185" s="59">
        <f>'Input Sheet'!C183/100</f>
        <v>0</v>
      </c>
      <c r="G185" s="59">
        <f>'Input Sheet'!F183/100</f>
        <v>0</v>
      </c>
      <c r="H185" s="2">
        <f t="shared" si="37"/>
        <v>0</v>
      </c>
      <c r="I185" s="2">
        <f t="shared" si="38"/>
        <v>0</v>
      </c>
      <c r="J185" s="2">
        <f t="shared" si="39"/>
        <v>0</v>
      </c>
      <c r="K185" s="2">
        <f t="shared" si="40"/>
        <v>0</v>
      </c>
      <c r="L185" s="2">
        <f t="shared" si="41"/>
        <v>0</v>
      </c>
      <c r="M185" s="2">
        <f>'Input Sheet'!E183</f>
        <v>0</v>
      </c>
      <c r="N185" s="2">
        <f t="shared" si="42"/>
        <v>0</v>
      </c>
      <c r="P185">
        <f t="shared" si="45"/>
        <v>0</v>
      </c>
      <c r="Q185">
        <f t="shared" si="45"/>
        <v>0</v>
      </c>
      <c r="R185">
        <f t="shared" si="45"/>
        <v>0</v>
      </c>
      <c r="S185">
        <f t="shared" si="45"/>
        <v>0</v>
      </c>
      <c r="T185">
        <f t="shared" si="45"/>
        <v>0</v>
      </c>
    </row>
    <row r="186" spans="1:20" ht="16.5" x14ac:dyDescent="0.35">
      <c r="A186" s="57" t="str">
        <f>'Long Sample Name'!A182</f>
        <v/>
      </c>
      <c r="B186" s="1" t="str">
        <f ca="1">'Input Sheet'!L184</f>
        <v/>
      </c>
      <c r="C186" s="7" t="str">
        <f ca="1">'Input Sheet'!M184</f>
        <v/>
      </c>
      <c r="D186" s="58">
        <f>'Input Sheet'!B184</f>
        <v>0</v>
      </c>
      <c r="E186" s="8">
        <f>'Input Sheet'!I184</f>
        <v>0</v>
      </c>
      <c r="F186" s="59">
        <f>'Input Sheet'!C184/100</f>
        <v>0</v>
      </c>
      <c r="G186" s="59">
        <f>'Input Sheet'!F184/100</f>
        <v>0</v>
      </c>
      <c r="H186" s="2">
        <f t="shared" si="37"/>
        <v>0</v>
      </c>
      <c r="I186" s="2">
        <f t="shared" si="38"/>
        <v>0</v>
      </c>
      <c r="J186" s="2">
        <f t="shared" si="39"/>
        <v>0</v>
      </c>
      <c r="K186" s="2">
        <f t="shared" si="40"/>
        <v>0</v>
      </c>
      <c r="L186" s="2">
        <f t="shared" si="41"/>
        <v>0</v>
      </c>
      <c r="M186" s="2">
        <f>'Input Sheet'!E184</f>
        <v>0</v>
      </c>
      <c r="N186" s="2">
        <f t="shared" si="42"/>
        <v>0</v>
      </c>
      <c r="P186">
        <f t="shared" si="45"/>
        <v>0</v>
      </c>
      <c r="Q186">
        <f t="shared" si="45"/>
        <v>0</v>
      </c>
      <c r="R186">
        <f t="shared" si="45"/>
        <v>0</v>
      </c>
      <c r="S186">
        <f t="shared" si="45"/>
        <v>0</v>
      </c>
      <c r="T186">
        <f t="shared" si="45"/>
        <v>0</v>
      </c>
    </row>
    <row r="187" spans="1:20" ht="16.5" x14ac:dyDescent="0.35">
      <c r="A187" s="57" t="str">
        <f>'Long Sample Name'!A183</f>
        <v/>
      </c>
      <c r="B187" s="1" t="str">
        <f ca="1">'Input Sheet'!L185</f>
        <v/>
      </c>
      <c r="C187" s="7" t="str">
        <f ca="1">'Input Sheet'!M185</f>
        <v/>
      </c>
      <c r="D187" s="58">
        <f>'Input Sheet'!B185</f>
        <v>0</v>
      </c>
      <c r="E187" s="8">
        <f>'Input Sheet'!I185</f>
        <v>0</v>
      </c>
      <c r="F187" s="59">
        <f>'Input Sheet'!C185/100</f>
        <v>0</v>
      </c>
      <c r="G187" s="59">
        <f>'Input Sheet'!F185/100</f>
        <v>0</v>
      </c>
      <c r="H187" s="2">
        <f t="shared" si="37"/>
        <v>0</v>
      </c>
      <c r="I187" s="2">
        <f t="shared" si="38"/>
        <v>0</v>
      </c>
      <c r="J187" s="2">
        <f t="shared" si="39"/>
        <v>0</v>
      </c>
      <c r="K187" s="2">
        <f t="shared" si="40"/>
        <v>0</v>
      </c>
      <c r="L187" s="2">
        <f t="shared" si="41"/>
        <v>0</v>
      </c>
      <c r="M187" s="2">
        <f>'Input Sheet'!E185</f>
        <v>0</v>
      </c>
      <c r="N187" s="2">
        <f t="shared" si="42"/>
        <v>0</v>
      </c>
      <c r="P187">
        <f t="shared" si="45"/>
        <v>0</v>
      </c>
      <c r="Q187">
        <f t="shared" si="45"/>
        <v>0</v>
      </c>
      <c r="R187">
        <f t="shared" si="45"/>
        <v>0</v>
      </c>
      <c r="S187">
        <f t="shared" si="45"/>
        <v>0</v>
      </c>
      <c r="T187">
        <f t="shared" si="45"/>
        <v>0</v>
      </c>
    </row>
    <row r="188" spans="1:20" ht="16.5" x14ac:dyDescent="0.35">
      <c r="A188" s="57" t="str">
        <f>'Long Sample Name'!A184</f>
        <v/>
      </c>
      <c r="B188" s="1" t="str">
        <f ca="1">'Input Sheet'!L186</f>
        <v/>
      </c>
      <c r="C188" s="7" t="str">
        <f ca="1">'Input Sheet'!M186</f>
        <v/>
      </c>
      <c r="D188" s="58">
        <f>'Input Sheet'!B186</f>
        <v>0</v>
      </c>
      <c r="E188" s="8">
        <f>'Input Sheet'!I186</f>
        <v>0</v>
      </c>
      <c r="F188" s="59">
        <f>'Input Sheet'!C186/100</f>
        <v>0</v>
      </c>
      <c r="G188" s="59">
        <f>'Input Sheet'!F186/100</f>
        <v>0</v>
      </c>
      <c r="H188" s="2">
        <f t="shared" si="37"/>
        <v>0</v>
      </c>
      <c r="I188" s="2">
        <f t="shared" si="38"/>
        <v>0</v>
      </c>
      <c r="J188" s="2">
        <f t="shared" si="39"/>
        <v>0</v>
      </c>
      <c r="K188" s="2">
        <f t="shared" si="40"/>
        <v>0</v>
      </c>
      <c r="L188" s="2">
        <f t="shared" si="41"/>
        <v>0</v>
      </c>
      <c r="M188" s="2">
        <f>'Input Sheet'!E186</f>
        <v>0</v>
      </c>
      <c r="N188" s="2">
        <f t="shared" si="42"/>
        <v>0</v>
      </c>
      <c r="P188">
        <f t="shared" si="45"/>
        <v>0</v>
      </c>
      <c r="Q188">
        <f t="shared" si="45"/>
        <v>0</v>
      </c>
      <c r="R188">
        <f t="shared" si="45"/>
        <v>0</v>
      </c>
      <c r="S188">
        <f t="shared" si="45"/>
        <v>0</v>
      </c>
      <c r="T188">
        <f t="shared" si="45"/>
        <v>0</v>
      </c>
    </row>
    <row r="189" spans="1:20" ht="16.5" x14ac:dyDescent="0.35">
      <c r="A189" s="57" t="str">
        <f>'Long Sample Name'!A185</f>
        <v/>
      </c>
      <c r="B189" s="1" t="str">
        <f ca="1">'Input Sheet'!L187</f>
        <v/>
      </c>
      <c r="C189" s="7" t="str">
        <f ca="1">'Input Sheet'!M187</f>
        <v/>
      </c>
      <c r="D189" s="58">
        <f>'Input Sheet'!B187</f>
        <v>0</v>
      </c>
      <c r="E189" s="8">
        <f>'Input Sheet'!I187</f>
        <v>0</v>
      </c>
      <c r="F189" s="59">
        <f>'Input Sheet'!C187/100</f>
        <v>0</v>
      </c>
      <c r="G189" s="59">
        <f>'Input Sheet'!F187/100</f>
        <v>0</v>
      </c>
      <c r="H189" s="2">
        <f t="shared" ref="H189:H200" si="46">IF(D189&lt;&gt;"",D189-D188,"")</f>
        <v>0</v>
      </c>
      <c r="I189" s="2">
        <f t="shared" ref="I189:I200" si="47">IF(AND(F189&gt;=$F$2,G189&gt;=$G$2),H189,0)</f>
        <v>0</v>
      </c>
      <c r="J189" s="2">
        <f t="shared" ref="J189:J200" si="48">IF(I189&gt;0,I189*F189,0)</f>
        <v>0</v>
      </c>
      <c r="K189" s="2">
        <f t="shared" ref="K189:K200" si="49">IF(AND(F189&gt;=$F$3,G189&gt;=$G$3),H189,0)</f>
        <v>0</v>
      </c>
      <c r="L189" s="2">
        <f t="shared" ref="L189:L200" si="50">IF(K189&gt;0,K189*F189,0)</f>
        <v>0</v>
      </c>
      <c r="M189" s="2">
        <f>'Input Sheet'!E187</f>
        <v>0</v>
      </c>
      <c r="N189" s="2">
        <f t="shared" ref="N189:N200" si="51">IF(M189="VF",1,IF(M189="F",2,IF(M189="M",3,IF(M189="C",4,IF(M189="VC",5,0)))))</f>
        <v>0</v>
      </c>
      <c r="P189">
        <f t="shared" si="45"/>
        <v>0</v>
      </c>
      <c r="Q189">
        <f t="shared" si="45"/>
        <v>0</v>
      </c>
      <c r="R189">
        <f t="shared" si="45"/>
        <v>0</v>
      </c>
      <c r="S189">
        <f t="shared" si="45"/>
        <v>0</v>
      </c>
      <c r="T189">
        <f t="shared" si="45"/>
        <v>0</v>
      </c>
    </row>
    <row r="190" spans="1:20" ht="16.5" x14ac:dyDescent="0.35">
      <c r="A190" s="57" t="str">
        <f>'Long Sample Name'!A186</f>
        <v/>
      </c>
      <c r="B190" s="1" t="str">
        <f ca="1">'Input Sheet'!L188</f>
        <v/>
      </c>
      <c r="C190" s="7" t="str">
        <f ca="1">'Input Sheet'!M188</f>
        <v/>
      </c>
      <c r="D190" s="58">
        <f>'Input Sheet'!B188</f>
        <v>0</v>
      </c>
      <c r="E190" s="8">
        <f>'Input Sheet'!I188</f>
        <v>0</v>
      </c>
      <c r="F190" s="59">
        <f>'Input Sheet'!C188/100</f>
        <v>0</v>
      </c>
      <c r="G190" s="59">
        <f>'Input Sheet'!F188/100</f>
        <v>0</v>
      </c>
      <c r="H190" s="2">
        <f t="shared" si="46"/>
        <v>0</v>
      </c>
      <c r="I190" s="2">
        <f t="shared" si="47"/>
        <v>0</v>
      </c>
      <c r="J190" s="2">
        <f t="shared" si="48"/>
        <v>0</v>
      </c>
      <c r="K190" s="2">
        <f t="shared" si="49"/>
        <v>0</v>
      </c>
      <c r="L190" s="2">
        <f t="shared" si="50"/>
        <v>0</v>
      </c>
      <c r="M190" s="2">
        <f>'Input Sheet'!E188</f>
        <v>0</v>
      </c>
      <c r="N190" s="2">
        <f t="shared" si="51"/>
        <v>0</v>
      </c>
      <c r="P190">
        <f t="shared" si="45"/>
        <v>0</v>
      </c>
      <c r="Q190">
        <f t="shared" si="45"/>
        <v>0</v>
      </c>
      <c r="R190">
        <f t="shared" si="45"/>
        <v>0</v>
      </c>
      <c r="S190">
        <f t="shared" si="45"/>
        <v>0</v>
      </c>
      <c r="T190">
        <f t="shared" si="45"/>
        <v>0</v>
      </c>
    </row>
    <row r="191" spans="1:20" ht="16.5" x14ac:dyDescent="0.35">
      <c r="A191" s="57" t="str">
        <f>'Long Sample Name'!A187</f>
        <v/>
      </c>
      <c r="B191" s="1" t="str">
        <f ca="1">'Input Sheet'!L189</f>
        <v/>
      </c>
      <c r="C191" s="7" t="str">
        <f ca="1">'Input Sheet'!M189</f>
        <v/>
      </c>
      <c r="D191" s="58">
        <f>'Input Sheet'!B189</f>
        <v>0</v>
      </c>
      <c r="E191" s="8">
        <f>'Input Sheet'!I189</f>
        <v>0</v>
      </c>
      <c r="F191" s="59">
        <f>'Input Sheet'!C189/100</f>
        <v>0</v>
      </c>
      <c r="G191" s="59">
        <f>'Input Sheet'!F189/100</f>
        <v>0</v>
      </c>
      <c r="H191" s="2">
        <f t="shared" si="46"/>
        <v>0</v>
      </c>
      <c r="I191" s="2">
        <f t="shared" si="47"/>
        <v>0</v>
      </c>
      <c r="J191" s="2">
        <f t="shared" si="48"/>
        <v>0</v>
      </c>
      <c r="K191" s="2">
        <f t="shared" si="49"/>
        <v>0</v>
      </c>
      <c r="L191" s="2">
        <f t="shared" si="50"/>
        <v>0</v>
      </c>
      <c r="M191" s="2">
        <f>'Input Sheet'!E189</f>
        <v>0</v>
      </c>
      <c r="N191" s="2">
        <f t="shared" si="51"/>
        <v>0</v>
      </c>
      <c r="P191">
        <f t="shared" si="45"/>
        <v>0</v>
      </c>
      <c r="Q191">
        <f t="shared" si="45"/>
        <v>0</v>
      </c>
      <c r="R191">
        <f t="shared" si="45"/>
        <v>0</v>
      </c>
      <c r="S191">
        <f t="shared" si="45"/>
        <v>0</v>
      </c>
      <c r="T191">
        <f t="shared" si="45"/>
        <v>0</v>
      </c>
    </row>
    <row r="192" spans="1:20" ht="16.5" x14ac:dyDescent="0.35">
      <c r="A192" s="57" t="str">
        <f>'Long Sample Name'!A188</f>
        <v/>
      </c>
      <c r="B192" s="1" t="str">
        <f ca="1">'Input Sheet'!L190</f>
        <v/>
      </c>
      <c r="C192" s="7" t="str">
        <f ca="1">'Input Sheet'!M190</f>
        <v/>
      </c>
      <c r="D192" s="58">
        <f>'Input Sheet'!B190</f>
        <v>0</v>
      </c>
      <c r="E192" s="8">
        <f>'Input Sheet'!I190</f>
        <v>0</v>
      </c>
      <c r="F192" s="59">
        <f>'Input Sheet'!C190/100</f>
        <v>0</v>
      </c>
      <c r="G192" s="59">
        <f>'Input Sheet'!F190/100</f>
        <v>0</v>
      </c>
      <c r="H192" s="2">
        <f t="shared" si="46"/>
        <v>0</v>
      </c>
      <c r="I192" s="2">
        <f t="shared" si="47"/>
        <v>0</v>
      </c>
      <c r="J192" s="2">
        <f t="shared" si="48"/>
        <v>0</v>
      </c>
      <c r="K192" s="2">
        <f t="shared" si="49"/>
        <v>0</v>
      </c>
      <c r="L192" s="2">
        <f t="shared" si="50"/>
        <v>0</v>
      </c>
      <c r="M192" s="2">
        <f>'Input Sheet'!E190</f>
        <v>0</v>
      </c>
      <c r="N192" s="2">
        <f t="shared" si="51"/>
        <v>0</v>
      </c>
      <c r="P192">
        <f t="shared" si="45"/>
        <v>0</v>
      </c>
      <c r="Q192">
        <f t="shared" si="45"/>
        <v>0</v>
      </c>
      <c r="R192">
        <f t="shared" si="45"/>
        <v>0</v>
      </c>
      <c r="S192">
        <f t="shared" si="45"/>
        <v>0</v>
      </c>
      <c r="T192">
        <f t="shared" si="45"/>
        <v>0</v>
      </c>
    </row>
    <row r="193" spans="1:20" ht="16.5" x14ac:dyDescent="0.35">
      <c r="A193" s="57" t="str">
        <f>'Long Sample Name'!A189</f>
        <v/>
      </c>
      <c r="B193" s="1" t="str">
        <f ca="1">'Input Sheet'!L191</f>
        <v/>
      </c>
      <c r="C193" s="7" t="str">
        <f ca="1">'Input Sheet'!M191</f>
        <v/>
      </c>
      <c r="D193" s="58">
        <f>'Input Sheet'!B191</f>
        <v>0</v>
      </c>
      <c r="E193" s="8">
        <f>'Input Sheet'!I191</f>
        <v>0</v>
      </c>
      <c r="F193" s="59">
        <f>'Input Sheet'!C191/100</f>
        <v>0</v>
      </c>
      <c r="G193" s="59">
        <f>'Input Sheet'!F191/100</f>
        <v>0</v>
      </c>
      <c r="H193" s="2">
        <f t="shared" si="46"/>
        <v>0</v>
      </c>
      <c r="I193" s="2">
        <f t="shared" si="47"/>
        <v>0</v>
      </c>
      <c r="J193" s="2">
        <f t="shared" si="48"/>
        <v>0</v>
      </c>
      <c r="K193" s="2">
        <f t="shared" si="49"/>
        <v>0</v>
      </c>
      <c r="L193" s="2">
        <f t="shared" si="50"/>
        <v>0</v>
      </c>
      <c r="M193" s="2">
        <f>'Input Sheet'!E191</f>
        <v>0</v>
      </c>
      <c r="N193" s="2">
        <f t="shared" si="51"/>
        <v>0</v>
      </c>
      <c r="P193">
        <f t="shared" ref="P193:T200" si="52">IF($M193=P$1,$H193,0)</f>
        <v>0</v>
      </c>
      <c r="Q193">
        <f t="shared" si="52"/>
        <v>0</v>
      </c>
      <c r="R193">
        <f t="shared" si="52"/>
        <v>0</v>
      </c>
      <c r="S193">
        <f t="shared" si="52"/>
        <v>0</v>
      </c>
      <c r="T193">
        <f t="shared" si="52"/>
        <v>0</v>
      </c>
    </row>
    <row r="194" spans="1:20" ht="16.5" x14ac:dyDescent="0.35">
      <c r="A194" s="57" t="str">
        <f>'Long Sample Name'!A190</f>
        <v/>
      </c>
      <c r="B194" s="1" t="str">
        <f ca="1">'Input Sheet'!L192</f>
        <v/>
      </c>
      <c r="C194" s="7" t="str">
        <f ca="1">'Input Sheet'!M192</f>
        <v/>
      </c>
      <c r="D194" s="58">
        <f>'Input Sheet'!B192</f>
        <v>0</v>
      </c>
      <c r="E194" s="8">
        <f>'Input Sheet'!I192</f>
        <v>0</v>
      </c>
      <c r="F194" s="59">
        <f>'Input Sheet'!C192/100</f>
        <v>0</v>
      </c>
      <c r="G194" s="59">
        <f>'Input Sheet'!F192/100</f>
        <v>0</v>
      </c>
      <c r="H194" s="2">
        <f t="shared" si="46"/>
        <v>0</v>
      </c>
      <c r="I194" s="2">
        <f t="shared" si="47"/>
        <v>0</v>
      </c>
      <c r="J194" s="2">
        <f t="shared" si="48"/>
        <v>0</v>
      </c>
      <c r="K194" s="2">
        <f t="shared" si="49"/>
        <v>0</v>
      </c>
      <c r="L194" s="2">
        <f t="shared" si="50"/>
        <v>0</v>
      </c>
      <c r="M194" s="2">
        <f>'Input Sheet'!E192</f>
        <v>0</v>
      </c>
      <c r="N194" s="2">
        <f t="shared" si="51"/>
        <v>0</v>
      </c>
      <c r="P194">
        <f t="shared" si="52"/>
        <v>0</v>
      </c>
      <c r="Q194">
        <f t="shared" si="52"/>
        <v>0</v>
      </c>
      <c r="R194">
        <f t="shared" si="52"/>
        <v>0</v>
      </c>
      <c r="S194">
        <f t="shared" si="52"/>
        <v>0</v>
      </c>
      <c r="T194">
        <f t="shared" si="52"/>
        <v>0</v>
      </c>
    </row>
    <row r="195" spans="1:20" ht="16.5" x14ac:dyDescent="0.35">
      <c r="A195" s="57" t="str">
        <f>'Long Sample Name'!A191</f>
        <v/>
      </c>
      <c r="B195" s="1" t="str">
        <f ca="1">'Input Sheet'!L193</f>
        <v/>
      </c>
      <c r="C195" s="7" t="str">
        <f ca="1">'Input Sheet'!M193</f>
        <v/>
      </c>
      <c r="D195" s="58">
        <f>'Input Sheet'!B193</f>
        <v>0</v>
      </c>
      <c r="E195" s="8">
        <f>'Input Sheet'!I193</f>
        <v>0</v>
      </c>
      <c r="F195" s="59">
        <f>'Input Sheet'!C193/100</f>
        <v>0</v>
      </c>
      <c r="G195" s="59">
        <f>'Input Sheet'!F193/100</f>
        <v>0</v>
      </c>
      <c r="H195" s="2">
        <f t="shared" si="46"/>
        <v>0</v>
      </c>
      <c r="I195" s="2">
        <f t="shared" si="47"/>
        <v>0</v>
      </c>
      <c r="J195" s="2">
        <f t="shared" si="48"/>
        <v>0</v>
      </c>
      <c r="K195" s="2">
        <f t="shared" si="49"/>
        <v>0</v>
      </c>
      <c r="L195" s="2">
        <f t="shared" si="50"/>
        <v>0</v>
      </c>
      <c r="M195" s="2">
        <f>'Input Sheet'!E193</f>
        <v>0</v>
      </c>
      <c r="N195" s="2">
        <f t="shared" si="51"/>
        <v>0</v>
      </c>
      <c r="P195">
        <f t="shared" si="52"/>
        <v>0</v>
      </c>
      <c r="Q195">
        <f t="shared" si="52"/>
        <v>0</v>
      </c>
      <c r="R195">
        <f t="shared" si="52"/>
        <v>0</v>
      </c>
      <c r="S195">
        <f t="shared" si="52"/>
        <v>0</v>
      </c>
      <c r="T195">
        <f t="shared" si="52"/>
        <v>0</v>
      </c>
    </row>
    <row r="196" spans="1:20" ht="16.5" x14ac:dyDescent="0.35">
      <c r="A196" s="57" t="str">
        <f>'Long Sample Name'!A192</f>
        <v/>
      </c>
      <c r="B196" s="1" t="str">
        <f ca="1">'Input Sheet'!L194</f>
        <v/>
      </c>
      <c r="C196" s="7" t="str">
        <f ca="1">'Input Sheet'!M194</f>
        <v/>
      </c>
      <c r="D196" s="58">
        <f>'Input Sheet'!B194</f>
        <v>0</v>
      </c>
      <c r="E196" s="8">
        <f>'Input Sheet'!I194</f>
        <v>0</v>
      </c>
      <c r="F196" s="59">
        <f>'Input Sheet'!C194/100</f>
        <v>0</v>
      </c>
      <c r="G196" s="59">
        <f>'Input Sheet'!F194/100</f>
        <v>0</v>
      </c>
      <c r="H196" s="2">
        <f t="shared" si="46"/>
        <v>0</v>
      </c>
      <c r="I196" s="2">
        <f t="shared" si="47"/>
        <v>0</v>
      </c>
      <c r="J196" s="2">
        <f t="shared" si="48"/>
        <v>0</v>
      </c>
      <c r="K196" s="2">
        <f t="shared" si="49"/>
        <v>0</v>
      </c>
      <c r="L196" s="2">
        <f t="shared" si="50"/>
        <v>0</v>
      </c>
      <c r="M196" s="2">
        <f>'Input Sheet'!E194</f>
        <v>0</v>
      </c>
      <c r="N196" s="2">
        <f t="shared" si="51"/>
        <v>0</v>
      </c>
      <c r="P196">
        <f t="shared" si="52"/>
        <v>0</v>
      </c>
      <c r="Q196">
        <f t="shared" si="52"/>
        <v>0</v>
      </c>
      <c r="R196">
        <f t="shared" si="52"/>
        <v>0</v>
      </c>
      <c r="S196">
        <f t="shared" si="52"/>
        <v>0</v>
      </c>
      <c r="T196">
        <f t="shared" si="52"/>
        <v>0</v>
      </c>
    </row>
    <row r="197" spans="1:20" ht="16.5" x14ac:dyDescent="0.35">
      <c r="A197" s="57" t="str">
        <f>'Long Sample Name'!A193</f>
        <v/>
      </c>
      <c r="B197" s="1" t="str">
        <f ca="1">'Input Sheet'!L195</f>
        <v/>
      </c>
      <c r="C197" s="7" t="str">
        <f ca="1">'Input Sheet'!M195</f>
        <v/>
      </c>
      <c r="D197" s="58">
        <f>'Input Sheet'!B195</f>
        <v>0</v>
      </c>
      <c r="E197" s="8">
        <f>'Input Sheet'!I195</f>
        <v>0</v>
      </c>
      <c r="F197" s="59">
        <f>'Input Sheet'!C195/100</f>
        <v>0</v>
      </c>
      <c r="G197" s="59">
        <f>'Input Sheet'!F195/100</f>
        <v>0</v>
      </c>
      <c r="H197" s="2">
        <f t="shared" si="46"/>
        <v>0</v>
      </c>
      <c r="I197" s="2">
        <f t="shared" si="47"/>
        <v>0</v>
      </c>
      <c r="J197" s="2">
        <f t="shared" si="48"/>
        <v>0</v>
      </c>
      <c r="K197" s="2">
        <f t="shared" si="49"/>
        <v>0</v>
      </c>
      <c r="L197" s="2">
        <f t="shared" si="50"/>
        <v>0</v>
      </c>
      <c r="M197" s="2">
        <f>'Input Sheet'!E195</f>
        <v>0</v>
      </c>
      <c r="N197" s="2">
        <f t="shared" si="51"/>
        <v>0</v>
      </c>
      <c r="P197">
        <f t="shared" si="52"/>
        <v>0</v>
      </c>
      <c r="Q197">
        <f t="shared" si="52"/>
        <v>0</v>
      </c>
      <c r="R197">
        <f t="shared" si="52"/>
        <v>0</v>
      </c>
      <c r="S197">
        <f t="shared" si="52"/>
        <v>0</v>
      </c>
      <c r="T197">
        <f t="shared" si="52"/>
        <v>0</v>
      </c>
    </row>
    <row r="198" spans="1:20" ht="16.5" x14ac:dyDescent="0.35">
      <c r="A198" s="57" t="str">
        <f>'Long Sample Name'!A194</f>
        <v/>
      </c>
      <c r="B198" s="1" t="str">
        <f ca="1">'Input Sheet'!L196</f>
        <v/>
      </c>
      <c r="C198" s="7" t="str">
        <f ca="1">'Input Sheet'!M196</f>
        <v/>
      </c>
      <c r="D198" s="58">
        <f>'Input Sheet'!B196</f>
        <v>0</v>
      </c>
      <c r="E198" s="8">
        <f>'Input Sheet'!I196</f>
        <v>0</v>
      </c>
      <c r="F198" s="59">
        <f>'Input Sheet'!C196/100</f>
        <v>0</v>
      </c>
      <c r="G198" s="59">
        <f>'Input Sheet'!F196/100</f>
        <v>0</v>
      </c>
      <c r="H198" s="2">
        <f t="shared" si="46"/>
        <v>0</v>
      </c>
      <c r="I198" s="2">
        <f t="shared" si="47"/>
        <v>0</v>
      </c>
      <c r="J198" s="2">
        <f t="shared" si="48"/>
        <v>0</v>
      </c>
      <c r="K198" s="2">
        <f t="shared" si="49"/>
        <v>0</v>
      </c>
      <c r="L198" s="2">
        <f t="shared" si="50"/>
        <v>0</v>
      </c>
      <c r="M198" s="2">
        <f>'Input Sheet'!E196</f>
        <v>0</v>
      </c>
      <c r="N198" s="2">
        <f t="shared" si="51"/>
        <v>0</v>
      </c>
      <c r="P198">
        <f t="shared" si="52"/>
        <v>0</v>
      </c>
      <c r="Q198">
        <f t="shared" si="52"/>
        <v>0</v>
      </c>
      <c r="R198">
        <f t="shared" si="52"/>
        <v>0</v>
      </c>
      <c r="S198">
        <f t="shared" si="52"/>
        <v>0</v>
      </c>
      <c r="T198">
        <f t="shared" si="52"/>
        <v>0</v>
      </c>
    </row>
    <row r="199" spans="1:20" ht="16.5" x14ac:dyDescent="0.35">
      <c r="A199" s="57" t="str">
        <f>'Long Sample Name'!A195</f>
        <v/>
      </c>
      <c r="B199" s="1" t="str">
        <f ca="1">'Input Sheet'!L197</f>
        <v/>
      </c>
      <c r="C199" s="7" t="str">
        <f ca="1">'Input Sheet'!M197</f>
        <v/>
      </c>
      <c r="D199" s="58">
        <f>'Input Sheet'!B197</f>
        <v>0</v>
      </c>
      <c r="E199" s="8">
        <f>'Input Sheet'!I197</f>
        <v>0</v>
      </c>
      <c r="F199" s="59">
        <f>'Input Sheet'!C197/100</f>
        <v>0</v>
      </c>
      <c r="G199" s="59">
        <f>'Input Sheet'!F197/100</f>
        <v>0</v>
      </c>
      <c r="H199" s="2">
        <f t="shared" si="46"/>
        <v>0</v>
      </c>
      <c r="I199" s="2">
        <f t="shared" si="47"/>
        <v>0</v>
      </c>
      <c r="J199" s="2">
        <f t="shared" si="48"/>
        <v>0</v>
      </c>
      <c r="K199" s="2">
        <f t="shared" si="49"/>
        <v>0</v>
      </c>
      <c r="L199" s="2">
        <f t="shared" si="50"/>
        <v>0</v>
      </c>
      <c r="M199" s="2">
        <f>'Input Sheet'!E197</f>
        <v>0</v>
      </c>
      <c r="N199" s="2">
        <f t="shared" si="51"/>
        <v>0</v>
      </c>
      <c r="P199">
        <f t="shared" si="52"/>
        <v>0</v>
      </c>
      <c r="Q199">
        <f t="shared" si="52"/>
        <v>0</v>
      </c>
      <c r="R199">
        <f t="shared" si="52"/>
        <v>0</v>
      </c>
      <c r="S199">
        <f t="shared" si="52"/>
        <v>0</v>
      </c>
      <c r="T199">
        <f t="shared" si="52"/>
        <v>0</v>
      </c>
    </row>
    <row r="200" spans="1:20" ht="16.5" x14ac:dyDescent="0.35">
      <c r="A200" s="57" t="str">
        <f>'Long Sample Name'!A196</f>
        <v/>
      </c>
      <c r="B200" s="1" t="str">
        <f ca="1">'Input Sheet'!L198</f>
        <v/>
      </c>
      <c r="C200" s="7" t="str">
        <f ca="1">'Input Sheet'!M198</f>
        <v/>
      </c>
      <c r="D200" s="58">
        <f>'Input Sheet'!B198</f>
        <v>0</v>
      </c>
      <c r="E200" s="8">
        <f>'Input Sheet'!I198</f>
        <v>0</v>
      </c>
      <c r="F200" s="59">
        <f>'Input Sheet'!C198/100</f>
        <v>0</v>
      </c>
      <c r="G200" s="59">
        <f>'Input Sheet'!F198/100</f>
        <v>0</v>
      </c>
      <c r="H200" s="2">
        <f t="shared" si="46"/>
        <v>0</v>
      </c>
      <c r="I200" s="2">
        <f t="shared" si="47"/>
        <v>0</v>
      </c>
      <c r="J200" s="2">
        <f t="shared" si="48"/>
        <v>0</v>
      </c>
      <c r="K200" s="2">
        <f t="shared" si="49"/>
        <v>0</v>
      </c>
      <c r="L200" s="2">
        <f t="shared" si="50"/>
        <v>0</v>
      </c>
      <c r="M200" s="2">
        <f>'Input Sheet'!E198</f>
        <v>0</v>
      </c>
      <c r="N200" s="2">
        <f t="shared" si="51"/>
        <v>0</v>
      </c>
      <c r="P200">
        <f t="shared" si="52"/>
        <v>0</v>
      </c>
      <c r="Q200">
        <f t="shared" si="52"/>
        <v>0</v>
      </c>
      <c r="R200">
        <f t="shared" si="52"/>
        <v>0</v>
      </c>
      <c r="S200">
        <f t="shared" si="52"/>
        <v>0</v>
      </c>
      <c r="T200">
        <f t="shared" si="52"/>
        <v>0</v>
      </c>
    </row>
  </sheetData>
  <mergeCells count="3">
    <mergeCell ref="A1:E1"/>
    <mergeCell ref="A2:E2"/>
    <mergeCell ref="A3:E3"/>
  </mergeCells>
  <conditionalFormatting sqref="H1:H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20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O92 N93:N20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P1:T1 P5:T5" xr:uid="{FE6E4079-6152-4941-81FA-F615DD62C7F2}">
      <formula1>$AE$6:$AE$6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1640625" defaultRowHeight="14.5" x14ac:dyDescent="0.35"/>
  <sheetData>
    <row r="1" spans="1:1" x14ac:dyDescent="0.35">
      <c r="A1" t="s">
        <v>3</v>
      </c>
    </row>
    <row r="2" spans="1:1" x14ac:dyDescent="0.35">
      <c r="A2" t="s">
        <v>63</v>
      </c>
    </row>
    <row r="3" spans="1:1" x14ac:dyDescent="0.35">
      <c r="A3" t="s">
        <v>14</v>
      </c>
    </row>
    <row r="4" spans="1:1" x14ac:dyDescent="0.35">
      <c r="A4" t="s">
        <v>19</v>
      </c>
    </row>
    <row r="5" spans="1:1" x14ac:dyDescent="0.35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217D6A-CB4B-4282-A3E2-94622D7E2C18}">
  <ds:schemaRefs>
    <ds:schemaRef ds:uri="http://schemas.microsoft.com/office/2006/metadata/properties"/>
    <ds:schemaRef ds:uri="http://schemas.microsoft.com/office/infopath/2007/PartnerControls"/>
    <ds:schemaRef ds:uri="c4de8975-a9e2-4032-8275-674640ba9e13"/>
    <ds:schemaRef ds:uri="525c6e3c-d2e9-4aaf-b2c8-6be610c2f5fd"/>
  </ds:schemaRefs>
</ds:datastoreItem>
</file>

<file path=customXml/itemProps3.xml><?xml version="1.0" encoding="utf-8"?>
<ds:datastoreItem xmlns:ds="http://schemas.openxmlformats.org/officeDocument/2006/customXml" ds:itemID="{71961DA9-97C5-4504-BE51-58DC51F570AE}"/>
</file>

<file path=customXml/itemProps4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Pavlova, Margarita (Margarita)</cp:lastModifiedBy>
  <cp:revision/>
  <dcterms:created xsi:type="dcterms:W3CDTF">2023-07-25T05:25:18Z</dcterms:created>
  <dcterms:modified xsi:type="dcterms:W3CDTF">2024-11-01T12:55:59Z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