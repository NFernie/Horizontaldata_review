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https://santos-my.sharepoint.com/personal/matcl_santos_com/Documents/My Documents/2021/2021 McKinlay Horizontal Drilling Program/Cuttings Spreadsheets/McKinlay 20/"/>
    </mc:Choice>
  </mc:AlternateContent>
  <xr:revisionPtr revIDLastSave="4388" documentId="8_{5BDEBBB1-65E2-4DE9-8560-8F0C6FBDA6D5}" xr6:coauthVersionLast="47" xr6:coauthVersionMax="47" xr10:uidLastSave="{D80D5D24-FAEE-4311-A0E1-56F3B9067499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Sheet1!$A$4:$M$4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1" l="1"/>
  <c r="P320" i="1"/>
  <c r="P157" i="1"/>
  <c r="M334" i="1" l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L333" i="1"/>
  <c r="M333" i="1" s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237" i="1" l="1"/>
  <c r="I218" i="1"/>
  <c r="I219" i="1"/>
  <c r="I220" i="1"/>
  <c r="I221" i="1"/>
  <c r="I222" i="1"/>
  <c r="I223" i="1"/>
  <c r="I217" i="1"/>
  <c r="G217" i="1"/>
  <c r="L217" i="1" l="1"/>
  <c r="M217" i="1" s="1"/>
  <c r="J217" i="1"/>
  <c r="K217" i="1" s="1"/>
  <c r="L5" i="1" l="1"/>
  <c r="J5" i="1"/>
  <c r="G34" i="1" l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L81" i="1" s="1"/>
  <c r="M81" i="1" s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L183" i="1" s="1"/>
  <c r="M183" i="1" s="1"/>
  <c r="G184" i="1"/>
  <c r="G185" i="1"/>
  <c r="L185" i="1" s="1"/>
  <c r="M185" i="1" s="1"/>
  <c r="G186" i="1"/>
  <c r="G187" i="1"/>
  <c r="G188" i="1"/>
  <c r="G189" i="1"/>
  <c r="G190" i="1"/>
  <c r="L190" i="1" s="1"/>
  <c r="M190" i="1" s="1"/>
  <c r="G191" i="1"/>
  <c r="L191" i="1" s="1"/>
  <c r="M191" i="1" s="1"/>
  <c r="G192" i="1"/>
  <c r="G193" i="1"/>
  <c r="L193" i="1" s="1"/>
  <c r="M193" i="1" s="1"/>
  <c r="G194" i="1"/>
  <c r="L194" i="1" s="1"/>
  <c r="M194" i="1" s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8" i="1"/>
  <c r="L218" i="1" s="1"/>
  <c r="M218" i="1" s="1"/>
  <c r="G219" i="1"/>
  <c r="G220" i="1"/>
  <c r="G221" i="1"/>
  <c r="G222" i="1"/>
  <c r="G223" i="1"/>
  <c r="L223" i="1" s="1"/>
  <c r="M223" i="1" s="1"/>
  <c r="G224" i="1"/>
  <c r="G225" i="1"/>
  <c r="G226" i="1"/>
  <c r="G227" i="1"/>
  <c r="G228" i="1"/>
  <c r="G229" i="1"/>
  <c r="G230" i="1"/>
  <c r="G231" i="1"/>
  <c r="L231" i="1" s="1"/>
  <c r="M231" i="1" s="1"/>
  <c r="G232" i="1"/>
  <c r="L232" i="1" s="1"/>
  <c r="M232" i="1" s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33" i="1"/>
  <c r="L144" i="1"/>
  <c r="M144" i="1" s="1"/>
  <c r="L184" i="1"/>
  <c r="M184" i="1" s="1"/>
  <c r="L186" i="1"/>
  <c r="M186" i="1" s="1"/>
  <c r="L187" i="1"/>
  <c r="M187" i="1" s="1"/>
  <c r="L188" i="1"/>
  <c r="M188" i="1" s="1"/>
  <c r="L189" i="1"/>
  <c r="M189" i="1" s="1"/>
  <c r="L192" i="1"/>
  <c r="M192" i="1" s="1"/>
  <c r="L195" i="1"/>
  <c r="M195" i="1" s="1"/>
  <c r="L196" i="1"/>
  <c r="M196" i="1" s="1"/>
  <c r="L219" i="1"/>
  <c r="M219" i="1" s="1"/>
  <c r="L220" i="1"/>
  <c r="M220" i="1" s="1"/>
  <c r="L221" i="1"/>
  <c r="M221" i="1" s="1"/>
  <c r="L222" i="1"/>
  <c r="M222" i="1" s="1"/>
  <c r="L230" i="1"/>
  <c r="M230" i="1" s="1"/>
  <c r="I67" i="1"/>
  <c r="L67" i="1" s="1"/>
  <c r="M67" i="1" s="1"/>
  <c r="J332" i="1" l="1"/>
  <c r="K332" i="1" s="1"/>
  <c r="L332" i="1"/>
  <c r="M332" i="1" s="1"/>
  <c r="J331" i="1"/>
  <c r="K331" i="1" s="1"/>
  <c r="L331" i="1"/>
  <c r="M331" i="1" s="1"/>
  <c r="J330" i="1"/>
  <c r="K330" i="1" s="1"/>
  <c r="L330" i="1"/>
  <c r="M330" i="1" s="1"/>
  <c r="L329" i="1"/>
  <c r="M329" i="1" s="1"/>
  <c r="J329" i="1"/>
  <c r="K329" i="1" s="1"/>
  <c r="L328" i="1"/>
  <c r="M328" i="1" s="1"/>
  <c r="J328" i="1"/>
  <c r="K328" i="1" s="1"/>
  <c r="J327" i="1"/>
  <c r="K327" i="1" s="1"/>
  <c r="L327" i="1"/>
  <c r="M327" i="1" s="1"/>
  <c r="J326" i="1"/>
  <c r="K326" i="1" s="1"/>
  <c r="L326" i="1"/>
  <c r="M326" i="1" s="1"/>
  <c r="J325" i="1"/>
  <c r="K325" i="1" s="1"/>
  <c r="L325" i="1"/>
  <c r="M325" i="1" s="1"/>
  <c r="J324" i="1"/>
  <c r="K324" i="1" s="1"/>
  <c r="L324" i="1"/>
  <c r="M324" i="1" s="1"/>
  <c r="J323" i="1"/>
  <c r="K323" i="1" s="1"/>
  <c r="L323" i="1"/>
  <c r="M323" i="1" s="1"/>
  <c r="J322" i="1"/>
  <c r="K322" i="1" s="1"/>
  <c r="L322" i="1"/>
  <c r="M322" i="1" s="1"/>
  <c r="L321" i="1"/>
  <c r="M321" i="1" s="1"/>
  <c r="J321" i="1"/>
  <c r="K321" i="1" s="1"/>
  <c r="L320" i="1"/>
  <c r="M320" i="1" s="1"/>
  <c r="J320" i="1"/>
  <c r="K320" i="1" s="1"/>
  <c r="J319" i="1"/>
  <c r="K319" i="1" s="1"/>
  <c r="L319" i="1"/>
  <c r="M319" i="1" s="1"/>
  <c r="J318" i="1"/>
  <c r="K318" i="1" s="1"/>
  <c r="L318" i="1"/>
  <c r="M318" i="1" s="1"/>
  <c r="L317" i="1"/>
  <c r="M317" i="1" s="1"/>
  <c r="J317" i="1"/>
  <c r="K317" i="1" s="1"/>
  <c r="J316" i="1"/>
  <c r="K316" i="1" s="1"/>
  <c r="L316" i="1"/>
  <c r="M316" i="1" s="1"/>
  <c r="J315" i="1"/>
  <c r="K315" i="1" s="1"/>
  <c r="L315" i="1"/>
  <c r="M315" i="1" s="1"/>
  <c r="J314" i="1"/>
  <c r="K314" i="1" s="1"/>
  <c r="L314" i="1"/>
  <c r="M314" i="1" s="1"/>
  <c r="L313" i="1"/>
  <c r="M313" i="1" s="1"/>
  <c r="J313" i="1"/>
  <c r="K313" i="1" s="1"/>
  <c r="L312" i="1"/>
  <c r="M312" i="1" s="1"/>
  <c r="J312" i="1"/>
  <c r="K312" i="1" s="1"/>
  <c r="J311" i="1"/>
  <c r="K311" i="1" s="1"/>
  <c r="L311" i="1"/>
  <c r="M311" i="1" s="1"/>
  <c r="J310" i="1"/>
  <c r="K310" i="1" s="1"/>
  <c r="L310" i="1"/>
  <c r="M310" i="1" s="1"/>
  <c r="J309" i="1"/>
  <c r="K309" i="1" s="1"/>
  <c r="L309" i="1"/>
  <c r="M309" i="1" s="1"/>
  <c r="J308" i="1"/>
  <c r="K308" i="1" s="1"/>
  <c r="L308" i="1"/>
  <c r="M308" i="1" s="1"/>
  <c r="J307" i="1"/>
  <c r="K307" i="1" s="1"/>
  <c r="L307" i="1"/>
  <c r="M307" i="1" s="1"/>
  <c r="J306" i="1"/>
  <c r="K306" i="1" s="1"/>
  <c r="L306" i="1"/>
  <c r="M306" i="1" s="1"/>
  <c r="L305" i="1"/>
  <c r="M305" i="1" s="1"/>
  <c r="J305" i="1"/>
  <c r="K305" i="1" s="1"/>
  <c r="L304" i="1"/>
  <c r="M304" i="1" s="1"/>
  <c r="J304" i="1"/>
  <c r="K304" i="1" s="1"/>
  <c r="J303" i="1"/>
  <c r="K303" i="1" s="1"/>
  <c r="L303" i="1"/>
  <c r="M303" i="1" s="1"/>
  <c r="J302" i="1"/>
  <c r="K302" i="1" s="1"/>
  <c r="L302" i="1"/>
  <c r="M302" i="1" s="1"/>
  <c r="L301" i="1"/>
  <c r="M301" i="1" s="1"/>
  <c r="J301" i="1"/>
  <c r="K301" i="1" s="1"/>
  <c r="J300" i="1"/>
  <c r="K300" i="1" s="1"/>
  <c r="L300" i="1"/>
  <c r="M300" i="1" s="1"/>
  <c r="J299" i="1"/>
  <c r="K299" i="1" s="1"/>
  <c r="L299" i="1"/>
  <c r="M299" i="1" s="1"/>
  <c r="J298" i="1"/>
  <c r="K298" i="1" s="1"/>
  <c r="L298" i="1"/>
  <c r="M298" i="1" s="1"/>
  <c r="J297" i="1"/>
  <c r="K297" i="1" s="1"/>
  <c r="L297" i="1"/>
  <c r="M297" i="1" s="1"/>
  <c r="J296" i="1"/>
  <c r="K296" i="1" s="1"/>
  <c r="L296" i="1"/>
  <c r="M296" i="1" s="1"/>
  <c r="J295" i="1"/>
  <c r="K295" i="1" s="1"/>
  <c r="L295" i="1"/>
  <c r="M295" i="1" s="1"/>
  <c r="J294" i="1"/>
  <c r="K294" i="1" s="1"/>
  <c r="L294" i="1"/>
  <c r="M294" i="1" s="1"/>
  <c r="L293" i="1"/>
  <c r="M293" i="1" s="1"/>
  <c r="J293" i="1"/>
  <c r="K293" i="1" s="1"/>
  <c r="L292" i="1"/>
  <c r="M292" i="1" s="1"/>
  <c r="J292" i="1"/>
  <c r="K292" i="1" s="1"/>
  <c r="J291" i="1"/>
  <c r="K291" i="1" s="1"/>
  <c r="L291" i="1"/>
  <c r="M291" i="1" s="1"/>
  <c r="J290" i="1"/>
  <c r="K290" i="1" s="1"/>
  <c r="L290" i="1"/>
  <c r="M290" i="1" s="1"/>
  <c r="L289" i="1"/>
  <c r="M289" i="1" s="1"/>
  <c r="J289" i="1"/>
  <c r="K289" i="1" s="1"/>
  <c r="L288" i="1"/>
  <c r="M288" i="1" s="1"/>
  <c r="J288" i="1"/>
  <c r="K288" i="1" s="1"/>
  <c r="J287" i="1"/>
  <c r="K287" i="1" s="1"/>
  <c r="L287" i="1"/>
  <c r="M287" i="1" s="1"/>
  <c r="J286" i="1"/>
  <c r="K286" i="1" s="1"/>
  <c r="L286" i="1"/>
  <c r="M286" i="1" s="1"/>
  <c r="L285" i="1"/>
  <c r="M285" i="1" s="1"/>
  <c r="J285" i="1"/>
  <c r="K285" i="1" s="1"/>
  <c r="J284" i="1"/>
  <c r="K284" i="1" s="1"/>
  <c r="L284" i="1"/>
  <c r="M284" i="1" s="1"/>
  <c r="J283" i="1"/>
  <c r="K283" i="1" s="1"/>
  <c r="L283" i="1"/>
  <c r="M283" i="1" s="1"/>
  <c r="J282" i="1"/>
  <c r="K282" i="1" s="1"/>
  <c r="L282" i="1"/>
  <c r="M282" i="1" s="1"/>
  <c r="L281" i="1"/>
  <c r="M281" i="1" s="1"/>
  <c r="J281" i="1"/>
  <c r="K281" i="1" s="1"/>
  <c r="L280" i="1"/>
  <c r="M280" i="1" s="1"/>
  <c r="J280" i="1"/>
  <c r="K280" i="1" s="1"/>
  <c r="J279" i="1"/>
  <c r="K279" i="1" s="1"/>
  <c r="L279" i="1"/>
  <c r="M279" i="1" s="1"/>
  <c r="J278" i="1"/>
  <c r="K278" i="1" s="1"/>
  <c r="M278" i="1"/>
  <c r="M277" i="1"/>
  <c r="J277" i="1"/>
  <c r="K277" i="1" s="1"/>
  <c r="J276" i="1"/>
  <c r="K276" i="1" s="1"/>
  <c r="M276" i="1"/>
  <c r="J275" i="1"/>
  <c r="K275" i="1" s="1"/>
  <c r="M275" i="1"/>
  <c r="J274" i="1"/>
  <c r="K274" i="1" s="1"/>
  <c r="M274" i="1"/>
  <c r="L273" i="1"/>
  <c r="M273" i="1" s="1"/>
  <c r="J273" i="1"/>
  <c r="K273" i="1" s="1"/>
  <c r="L271" i="1"/>
  <c r="M271" i="1" s="1"/>
  <c r="J271" i="1"/>
  <c r="K271" i="1" s="1"/>
  <c r="L272" i="1"/>
  <c r="M272" i="1" s="1"/>
  <c r="J272" i="1"/>
  <c r="K272" i="1" s="1"/>
  <c r="J270" i="1"/>
  <c r="K270" i="1" s="1"/>
  <c r="L270" i="1"/>
  <c r="M270" i="1" s="1"/>
  <c r="L269" i="1"/>
  <c r="M269" i="1" s="1"/>
  <c r="J269" i="1"/>
  <c r="K269" i="1" s="1"/>
  <c r="J268" i="1"/>
  <c r="K268" i="1" s="1"/>
  <c r="L268" i="1"/>
  <c r="M268" i="1" s="1"/>
  <c r="J267" i="1"/>
  <c r="K267" i="1" s="1"/>
  <c r="L267" i="1"/>
  <c r="M267" i="1" s="1"/>
  <c r="J266" i="1"/>
  <c r="K266" i="1" s="1"/>
  <c r="L266" i="1"/>
  <c r="M266" i="1" s="1"/>
  <c r="L265" i="1"/>
  <c r="M265" i="1" s="1"/>
  <c r="J265" i="1"/>
  <c r="K265" i="1" s="1"/>
  <c r="L264" i="1"/>
  <c r="M264" i="1" s="1"/>
  <c r="J264" i="1"/>
  <c r="K264" i="1" s="1"/>
  <c r="J263" i="1"/>
  <c r="K263" i="1" s="1"/>
  <c r="L263" i="1"/>
  <c r="M263" i="1" s="1"/>
  <c r="J262" i="1"/>
  <c r="K262" i="1" s="1"/>
  <c r="L262" i="1"/>
  <c r="M262" i="1" s="1"/>
  <c r="L261" i="1"/>
  <c r="M261" i="1" s="1"/>
  <c r="J261" i="1"/>
  <c r="K261" i="1" s="1"/>
  <c r="J260" i="1"/>
  <c r="K260" i="1" s="1"/>
  <c r="L260" i="1"/>
  <c r="M260" i="1" s="1"/>
  <c r="J259" i="1"/>
  <c r="K259" i="1" s="1"/>
  <c r="L259" i="1"/>
  <c r="M259" i="1" s="1"/>
  <c r="J258" i="1"/>
  <c r="K258" i="1" s="1"/>
  <c r="L258" i="1"/>
  <c r="M258" i="1" s="1"/>
  <c r="L257" i="1"/>
  <c r="M257" i="1" s="1"/>
  <c r="J257" i="1"/>
  <c r="K257" i="1" s="1"/>
  <c r="L256" i="1"/>
  <c r="M256" i="1" s="1"/>
  <c r="J256" i="1"/>
  <c r="K256" i="1" s="1"/>
  <c r="J255" i="1"/>
  <c r="K255" i="1" s="1"/>
  <c r="L255" i="1"/>
  <c r="M255" i="1" s="1"/>
  <c r="L254" i="1"/>
  <c r="M254" i="1" s="1"/>
  <c r="J254" i="1"/>
  <c r="K254" i="1" s="1"/>
  <c r="J253" i="1"/>
  <c r="K253" i="1" s="1"/>
  <c r="L253" i="1"/>
  <c r="M253" i="1" s="1"/>
  <c r="J252" i="1"/>
  <c r="K252" i="1" s="1"/>
  <c r="L252" i="1"/>
  <c r="M252" i="1" s="1"/>
  <c r="J251" i="1"/>
  <c r="K251" i="1" s="1"/>
  <c r="L251" i="1"/>
  <c r="M251" i="1" s="1"/>
  <c r="L249" i="1"/>
  <c r="M249" i="1" s="1"/>
  <c r="J249" i="1"/>
  <c r="K249" i="1" s="1"/>
  <c r="L250" i="1"/>
  <c r="M250" i="1" s="1"/>
  <c r="J250" i="1"/>
  <c r="K250" i="1" s="1"/>
  <c r="J247" i="1"/>
  <c r="K247" i="1" s="1"/>
  <c r="L243" i="1"/>
  <c r="M243" i="1" s="1"/>
  <c r="J243" i="1"/>
  <c r="K243" i="1" s="1"/>
  <c r="J239" i="1"/>
  <c r="K239" i="1" s="1"/>
  <c r="J237" i="1"/>
  <c r="K237" i="1" s="1"/>
  <c r="L237" i="1"/>
  <c r="M237" i="1" s="1"/>
  <c r="J67" i="1"/>
  <c r="K67" i="1" s="1"/>
  <c r="L94" i="1"/>
  <c r="M94" i="1" s="1"/>
  <c r="L57" i="1"/>
  <c r="M57" i="1" s="1"/>
  <c r="J33" i="1"/>
  <c r="K33" i="1" s="1"/>
  <c r="J34" i="1"/>
  <c r="K34" i="1" s="1"/>
  <c r="J35" i="1"/>
  <c r="K35" i="1" s="1"/>
  <c r="J36" i="1"/>
  <c r="K36" i="1" s="1"/>
  <c r="J37" i="1"/>
  <c r="K37" i="1" s="1"/>
  <c r="J65" i="1"/>
  <c r="K65" i="1" s="1"/>
  <c r="J81" i="1"/>
  <c r="K81" i="1" s="1"/>
  <c r="J82" i="1"/>
  <c r="K82" i="1" s="1"/>
  <c r="J83" i="1"/>
  <c r="K83" i="1" s="1"/>
  <c r="J84" i="1"/>
  <c r="K84" i="1" s="1"/>
  <c r="J123" i="1"/>
  <c r="K123" i="1" s="1"/>
  <c r="J143" i="1"/>
  <c r="K143" i="1" s="1"/>
  <c r="J144" i="1"/>
  <c r="K144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9" i="1"/>
  <c r="K229" i="1" s="1"/>
  <c r="J230" i="1"/>
  <c r="K230" i="1" s="1"/>
  <c r="J231" i="1"/>
  <c r="K231" i="1" s="1"/>
  <c r="J232" i="1"/>
  <c r="K232" i="1" s="1"/>
  <c r="J233" i="1"/>
  <c r="K233" i="1" s="1"/>
  <c r="I50" i="1"/>
  <c r="J50" i="1" s="1"/>
  <c r="K50" i="1" s="1"/>
  <c r="I51" i="1"/>
  <c r="J51" i="1" s="1"/>
  <c r="K51" i="1" s="1"/>
  <c r="I52" i="1"/>
  <c r="L52" i="1" s="1"/>
  <c r="M52" i="1" s="1"/>
  <c r="I53" i="1"/>
  <c r="L53" i="1" s="1"/>
  <c r="M53" i="1" s="1"/>
  <c r="I54" i="1"/>
  <c r="L54" i="1" s="1"/>
  <c r="M54" i="1" s="1"/>
  <c r="I55" i="1"/>
  <c r="J55" i="1" s="1"/>
  <c r="K55" i="1" s="1"/>
  <c r="I56" i="1"/>
  <c r="L56" i="1" s="1"/>
  <c r="M56" i="1" s="1"/>
  <c r="I57" i="1"/>
  <c r="J57" i="1" s="1"/>
  <c r="K57" i="1" s="1"/>
  <c r="I58" i="1"/>
  <c r="J58" i="1" s="1"/>
  <c r="K58" i="1" s="1"/>
  <c r="I59" i="1"/>
  <c r="J59" i="1" s="1"/>
  <c r="K59" i="1" s="1"/>
  <c r="I60" i="1"/>
  <c r="L60" i="1" s="1"/>
  <c r="M60" i="1" s="1"/>
  <c r="I61" i="1"/>
  <c r="L61" i="1" s="1"/>
  <c r="M61" i="1" s="1"/>
  <c r="I62" i="1"/>
  <c r="L62" i="1" s="1"/>
  <c r="M62" i="1" s="1"/>
  <c r="I63" i="1"/>
  <c r="L63" i="1" s="1"/>
  <c r="M63" i="1" s="1"/>
  <c r="I64" i="1"/>
  <c r="L64" i="1" s="1"/>
  <c r="M64" i="1" s="1"/>
  <c r="I65" i="1"/>
  <c r="L65" i="1" s="1"/>
  <c r="M65" i="1" s="1"/>
  <c r="I66" i="1"/>
  <c r="J66" i="1" s="1"/>
  <c r="K66" i="1" s="1"/>
  <c r="I68" i="1"/>
  <c r="L68" i="1" s="1"/>
  <c r="M68" i="1" s="1"/>
  <c r="I69" i="1"/>
  <c r="L69" i="1" s="1"/>
  <c r="M69" i="1" s="1"/>
  <c r="I70" i="1"/>
  <c r="J70" i="1" s="1"/>
  <c r="K70" i="1" s="1"/>
  <c r="I71" i="1"/>
  <c r="L71" i="1" s="1"/>
  <c r="M71" i="1" s="1"/>
  <c r="I72" i="1"/>
  <c r="L72" i="1" s="1"/>
  <c r="M72" i="1" s="1"/>
  <c r="I73" i="1"/>
  <c r="L73" i="1" s="1"/>
  <c r="M73" i="1" s="1"/>
  <c r="I74" i="1"/>
  <c r="L74" i="1" s="1"/>
  <c r="M74" i="1" s="1"/>
  <c r="I75" i="1"/>
  <c r="L75" i="1" s="1"/>
  <c r="M75" i="1" s="1"/>
  <c r="I76" i="1"/>
  <c r="L76" i="1" s="1"/>
  <c r="M76" i="1" s="1"/>
  <c r="I77" i="1"/>
  <c r="L77" i="1" s="1"/>
  <c r="M77" i="1" s="1"/>
  <c r="I78" i="1"/>
  <c r="J78" i="1" s="1"/>
  <c r="K78" i="1" s="1"/>
  <c r="I79" i="1"/>
  <c r="J79" i="1" s="1"/>
  <c r="K79" i="1" s="1"/>
  <c r="I80" i="1"/>
  <c r="L80" i="1" s="1"/>
  <c r="M80" i="1" s="1"/>
  <c r="I81" i="1"/>
  <c r="I82" i="1"/>
  <c r="L82" i="1" s="1"/>
  <c r="M82" i="1" s="1"/>
  <c r="I83" i="1"/>
  <c r="L83" i="1" s="1"/>
  <c r="M83" i="1" s="1"/>
  <c r="I84" i="1"/>
  <c r="L84" i="1" s="1"/>
  <c r="M84" i="1" s="1"/>
  <c r="I85" i="1"/>
  <c r="L85" i="1" s="1"/>
  <c r="M85" i="1" s="1"/>
  <c r="I86" i="1"/>
  <c r="L86" i="1" s="1"/>
  <c r="M86" i="1" s="1"/>
  <c r="I87" i="1"/>
  <c r="L87" i="1" s="1"/>
  <c r="M87" i="1" s="1"/>
  <c r="I88" i="1"/>
  <c r="L88" i="1" s="1"/>
  <c r="M88" i="1" s="1"/>
  <c r="I89" i="1"/>
  <c r="L89" i="1" s="1"/>
  <c r="M89" i="1" s="1"/>
  <c r="I90" i="1"/>
  <c r="L90" i="1" s="1"/>
  <c r="M90" i="1" s="1"/>
  <c r="I91" i="1"/>
  <c r="J91" i="1" s="1"/>
  <c r="K91" i="1" s="1"/>
  <c r="I92" i="1"/>
  <c r="J92" i="1" s="1"/>
  <c r="K92" i="1" s="1"/>
  <c r="I93" i="1"/>
  <c r="L93" i="1" s="1"/>
  <c r="M93" i="1" s="1"/>
  <c r="I94" i="1"/>
  <c r="J94" i="1" s="1"/>
  <c r="K94" i="1" s="1"/>
  <c r="I95" i="1"/>
  <c r="J95" i="1" s="1"/>
  <c r="K95" i="1" s="1"/>
  <c r="I96" i="1"/>
  <c r="L96" i="1" s="1"/>
  <c r="M96" i="1" s="1"/>
  <c r="I97" i="1"/>
  <c r="L97" i="1" s="1"/>
  <c r="M97" i="1" s="1"/>
  <c r="I98" i="1"/>
  <c r="L98" i="1" s="1"/>
  <c r="M98" i="1" s="1"/>
  <c r="I99" i="1"/>
  <c r="L99" i="1" s="1"/>
  <c r="M99" i="1" s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L104" i="1" s="1"/>
  <c r="M104" i="1" s="1"/>
  <c r="I105" i="1"/>
  <c r="L105" i="1" s="1"/>
  <c r="M105" i="1" s="1"/>
  <c r="I106" i="1"/>
  <c r="L106" i="1" s="1"/>
  <c r="M106" i="1" s="1"/>
  <c r="I107" i="1"/>
  <c r="L107" i="1" s="1"/>
  <c r="M107" i="1" s="1"/>
  <c r="I108" i="1"/>
  <c r="L108" i="1" s="1"/>
  <c r="M108" i="1" s="1"/>
  <c r="I109" i="1"/>
  <c r="L109" i="1" s="1"/>
  <c r="M109" i="1" s="1"/>
  <c r="I110" i="1"/>
  <c r="L110" i="1" s="1"/>
  <c r="M110" i="1" s="1"/>
  <c r="I111" i="1"/>
  <c r="L111" i="1" s="1"/>
  <c r="M111" i="1" s="1"/>
  <c r="I112" i="1"/>
  <c r="L112" i="1" s="1"/>
  <c r="M112" i="1" s="1"/>
  <c r="I113" i="1"/>
  <c r="J113" i="1" s="1"/>
  <c r="K113" i="1" s="1"/>
  <c r="I114" i="1"/>
  <c r="L114" i="1" s="1"/>
  <c r="M114" i="1" s="1"/>
  <c r="I115" i="1"/>
  <c r="L115" i="1" s="1"/>
  <c r="M115" i="1" s="1"/>
  <c r="I116" i="1"/>
  <c r="J116" i="1" s="1"/>
  <c r="K116" i="1" s="1"/>
  <c r="I117" i="1"/>
  <c r="L117" i="1" s="1"/>
  <c r="M117" i="1" s="1"/>
  <c r="I118" i="1"/>
  <c r="J118" i="1" s="1"/>
  <c r="K118" i="1" s="1"/>
  <c r="I119" i="1"/>
  <c r="L119" i="1" s="1"/>
  <c r="M119" i="1" s="1"/>
  <c r="I120" i="1"/>
  <c r="L120" i="1" s="1"/>
  <c r="M120" i="1" s="1"/>
  <c r="I121" i="1"/>
  <c r="L121" i="1" s="1"/>
  <c r="M121" i="1" s="1"/>
  <c r="I122" i="1"/>
  <c r="L122" i="1" s="1"/>
  <c r="M122" i="1" s="1"/>
  <c r="I123" i="1"/>
  <c r="L123" i="1" s="1"/>
  <c r="M123" i="1" s="1"/>
  <c r="I124" i="1"/>
  <c r="L124" i="1" s="1"/>
  <c r="M124" i="1" s="1"/>
  <c r="I125" i="1"/>
  <c r="L125" i="1" s="1"/>
  <c r="M125" i="1" s="1"/>
  <c r="I126" i="1"/>
  <c r="L126" i="1" s="1"/>
  <c r="M126" i="1" s="1"/>
  <c r="I127" i="1"/>
  <c r="J127" i="1" s="1"/>
  <c r="K127" i="1" s="1"/>
  <c r="I128" i="1"/>
  <c r="L128" i="1" s="1"/>
  <c r="M128" i="1" s="1"/>
  <c r="I129" i="1"/>
  <c r="J129" i="1" s="1"/>
  <c r="K129" i="1" s="1"/>
  <c r="I130" i="1"/>
  <c r="L130" i="1" s="1"/>
  <c r="M130" i="1" s="1"/>
  <c r="I131" i="1"/>
  <c r="L131" i="1" s="1"/>
  <c r="M131" i="1" s="1"/>
  <c r="I132" i="1"/>
  <c r="L132" i="1" s="1"/>
  <c r="M132" i="1" s="1"/>
  <c r="I133" i="1"/>
  <c r="L133" i="1" s="1"/>
  <c r="M133" i="1" s="1"/>
  <c r="I134" i="1"/>
  <c r="J134" i="1" s="1"/>
  <c r="K134" i="1" s="1"/>
  <c r="I135" i="1"/>
  <c r="L135" i="1" s="1"/>
  <c r="M135" i="1" s="1"/>
  <c r="I136" i="1"/>
  <c r="L136" i="1" s="1"/>
  <c r="M136" i="1" s="1"/>
  <c r="I137" i="1"/>
  <c r="L137" i="1" s="1"/>
  <c r="M137" i="1" s="1"/>
  <c r="I138" i="1"/>
  <c r="L138" i="1" s="1"/>
  <c r="M138" i="1" s="1"/>
  <c r="I139" i="1"/>
  <c r="L139" i="1" s="1"/>
  <c r="M139" i="1" s="1"/>
  <c r="I140" i="1"/>
  <c r="L140" i="1" s="1"/>
  <c r="M140" i="1" s="1"/>
  <c r="I141" i="1"/>
  <c r="L141" i="1" s="1"/>
  <c r="M141" i="1" s="1"/>
  <c r="I142" i="1"/>
  <c r="L142" i="1" s="1"/>
  <c r="M142" i="1" s="1"/>
  <c r="I143" i="1"/>
  <c r="L143" i="1" s="1"/>
  <c r="M143" i="1" s="1"/>
  <c r="I144" i="1"/>
  <c r="I145" i="1"/>
  <c r="L145" i="1" s="1"/>
  <c r="M145" i="1" s="1"/>
  <c r="I146" i="1"/>
  <c r="L146" i="1" s="1"/>
  <c r="M146" i="1" s="1"/>
  <c r="I147" i="1"/>
  <c r="L147" i="1" s="1"/>
  <c r="M147" i="1" s="1"/>
  <c r="I148" i="1"/>
  <c r="L148" i="1" s="1"/>
  <c r="M148" i="1" s="1"/>
  <c r="I149" i="1"/>
  <c r="L149" i="1" s="1"/>
  <c r="M149" i="1" s="1"/>
  <c r="I150" i="1"/>
  <c r="L150" i="1" s="1"/>
  <c r="M150" i="1" s="1"/>
  <c r="I151" i="1"/>
  <c r="L151" i="1" s="1"/>
  <c r="M151" i="1" s="1"/>
  <c r="I152" i="1"/>
  <c r="L152" i="1" s="1"/>
  <c r="M152" i="1" s="1"/>
  <c r="I153" i="1"/>
  <c r="L153" i="1" s="1"/>
  <c r="M153" i="1" s="1"/>
  <c r="I154" i="1"/>
  <c r="L154" i="1" s="1"/>
  <c r="M154" i="1" s="1"/>
  <c r="I155" i="1"/>
  <c r="L155" i="1" s="1"/>
  <c r="M155" i="1" s="1"/>
  <c r="I156" i="1"/>
  <c r="L156" i="1" s="1"/>
  <c r="M156" i="1" s="1"/>
  <c r="I157" i="1"/>
  <c r="L157" i="1" s="1"/>
  <c r="M157" i="1" s="1"/>
  <c r="I158" i="1"/>
  <c r="L158" i="1" s="1"/>
  <c r="M158" i="1" s="1"/>
  <c r="I159" i="1"/>
  <c r="L159" i="1" s="1"/>
  <c r="M159" i="1" s="1"/>
  <c r="I160" i="1"/>
  <c r="L160" i="1" s="1"/>
  <c r="M160" i="1" s="1"/>
  <c r="I161" i="1"/>
  <c r="L161" i="1" s="1"/>
  <c r="M161" i="1" s="1"/>
  <c r="I162" i="1"/>
  <c r="L162" i="1" s="1"/>
  <c r="M162" i="1" s="1"/>
  <c r="I163" i="1"/>
  <c r="L163" i="1" s="1"/>
  <c r="M163" i="1" s="1"/>
  <c r="I164" i="1"/>
  <c r="L164" i="1" s="1"/>
  <c r="M164" i="1" s="1"/>
  <c r="I165" i="1"/>
  <c r="L165" i="1" s="1"/>
  <c r="M165" i="1" s="1"/>
  <c r="I166" i="1"/>
  <c r="L166" i="1" s="1"/>
  <c r="M166" i="1" s="1"/>
  <c r="I167" i="1"/>
  <c r="L167" i="1" s="1"/>
  <c r="M167" i="1" s="1"/>
  <c r="I168" i="1"/>
  <c r="L168" i="1" s="1"/>
  <c r="M168" i="1" s="1"/>
  <c r="I169" i="1"/>
  <c r="L169" i="1" s="1"/>
  <c r="M169" i="1" s="1"/>
  <c r="I170" i="1"/>
  <c r="L170" i="1" s="1"/>
  <c r="M170" i="1" s="1"/>
  <c r="I171" i="1"/>
  <c r="L171" i="1" s="1"/>
  <c r="M171" i="1" s="1"/>
  <c r="I172" i="1"/>
  <c r="L172" i="1" s="1"/>
  <c r="M172" i="1" s="1"/>
  <c r="I173" i="1"/>
  <c r="L173" i="1" s="1"/>
  <c r="M173" i="1" s="1"/>
  <c r="I174" i="1"/>
  <c r="J174" i="1" s="1"/>
  <c r="K174" i="1" s="1"/>
  <c r="I175" i="1"/>
  <c r="J175" i="1" s="1"/>
  <c r="K175" i="1" s="1"/>
  <c r="I176" i="1"/>
  <c r="L176" i="1" s="1"/>
  <c r="M176" i="1" s="1"/>
  <c r="I177" i="1"/>
  <c r="L177" i="1" s="1"/>
  <c r="M177" i="1" s="1"/>
  <c r="I178" i="1"/>
  <c r="L178" i="1" s="1"/>
  <c r="M178" i="1" s="1"/>
  <c r="I179" i="1"/>
  <c r="L179" i="1" s="1"/>
  <c r="M179" i="1" s="1"/>
  <c r="I180" i="1"/>
  <c r="L180" i="1" s="1"/>
  <c r="M180" i="1" s="1"/>
  <c r="I181" i="1"/>
  <c r="L181" i="1" s="1"/>
  <c r="M181" i="1" s="1"/>
  <c r="I182" i="1"/>
  <c r="L182" i="1" s="1"/>
  <c r="M182" i="1" s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L197" i="1" s="1"/>
  <c r="M197" i="1" s="1"/>
  <c r="I198" i="1"/>
  <c r="L198" i="1" s="1"/>
  <c r="M198" i="1" s="1"/>
  <c r="I199" i="1"/>
  <c r="L199" i="1" s="1"/>
  <c r="M199" i="1" s="1"/>
  <c r="I200" i="1"/>
  <c r="L200" i="1" s="1"/>
  <c r="M200" i="1" s="1"/>
  <c r="I201" i="1"/>
  <c r="J201" i="1" s="1"/>
  <c r="K201" i="1" s="1"/>
  <c r="I202" i="1"/>
  <c r="L202" i="1" s="1"/>
  <c r="M202" i="1" s="1"/>
  <c r="I203" i="1"/>
  <c r="L203" i="1" s="1"/>
  <c r="M203" i="1" s="1"/>
  <c r="I204" i="1"/>
  <c r="L204" i="1" s="1"/>
  <c r="M204" i="1" s="1"/>
  <c r="I205" i="1"/>
  <c r="L205" i="1" s="1"/>
  <c r="M205" i="1" s="1"/>
  <c r="I206" i="1"/>
  <c r="L206" i="1" s="1"/>
  <c r="M206" i="1" s="1"/>
  <c r="I207" i="1"/>
  <c r="L207" i="1" s="1"/>
  <c r="M207" i="1" s="1"/>
  <c r="I208" i="1"/>
  <c r="J208" i="1" s="1"/>
  <c r="K208" i="1" s="1"/>
  <c r="I209" i="1"/>
  <c r="J209" i="1" s="1"/>
  <c r="K209" i="1" s="1"/>
  <c r="I210" i="1"/>
  <c r="L210" i="1" s="1"/>
  <c r="M210" i="1" s="1"/>
  <c r="I211" i="1"/>
  <c r="L211" i="1" s="1"/>
  <c r="M211" i="1" s="1"/>
  <c r="I212" i="1"/>
  <c r="L212" i="1" s="1"/>
  <c r="M212" i="1" s="1"/>
  <c r="I213" i="1"/>
  <c r="L213" i="1" s="1"/>
  <c r="M213" i="1" s="1"/>
  <c r="I214" i="1"/>
  <c r="L214" i="1" s="1"/>
  <c r="M214" i="1" s="1"/>
  <c r="I215" i="1"/>
  <c r="L215" i="1" s="1"/>
  <c r="M215" i="1" s="1"/>
  <c r="I216" i="1"/>
  <c r="L216" i="1" s="1"/>
  <c r="M216" i="1" s="1"/>
  <c r="I224" i="1"/>
  <c r="J224" i="1" s="1"/>
  <c r="K224" i="1" s="1"/>
  <c r="I225" i="1"/>
  <c r="L225" i="1" s="1"/>
  <c r="M225" i="1" s="1"/>
  <c r="I226" i="1"/>
  <c r="J226" i="1" s="1"/>
  <c r="K226" i="1" s="1"/>
  <c r="I227" i="1"/>
  <c r="L227" i="1" s="1"/>
  <c r="M227" i="1" s="1"/>
  <c r="I228" i="1"/>
  <c r="L228" i="1" s="1"/>
  <c r="M228" i="1" s="1"/>
  <c r="I229" i="1"/>
  <c r="L229" i="1" s="1"/>
  <c r="M229" i="1" s="1"/>
  <c r="I230" i="1"/>
  <c r="I231" i="1"/>
  <c r="I232" i="1"/>
  <c r="I233" i="1"/>
  <c r="L233" i="1" s="1"/>
  <c r="M233" i="1" s="1"/>
  <c r="I234" i="1"/>
  <c r="L234" i="1" s="1"/>
  <c r="M234" i="1" s="1"/>
  <c r="I235" i="1"/>
  <c r="L235" i="1" s="1"/>
  <c r="M235" i="1" s="1"/>
  <c r="I236" i="1"/>
  <c r="L236" i="1" s="1"/>
  <c r="M236" i="1" s="1"/>
  <c r="I238" i="1"/>
  <c r="J238" i="1" s="1"/>
  <c r="K238" i="1" s="1"/>
  <c r="I239" i="1"/>
  <c r="L239" i="1" s="1"/>
  <c r="M239" i="1" s="1"/>
  <c r="I240" i="1"/>
  <c r="J240" i="1" s="1"/>
  <c r="K240" i="1" s="1"/>
  <c r="I241" i="1"/>
  <c r="L241" i="1" s="1"/>
  <c r="M241" i="1" s="1"/>
  <c r="I242" i="1"/>
  <c r="L242" i="1" s="1"/>
  <c r="M242" i="1" s="1"/>
  <c r="I243" i="1"/>
  <c r="I244" i="1"/>
  <c r="J244" i="1" s="1"/>
  <c r="K244" i="1" s="1"/>
  <c r="I245" i="1"/>
  <c r="J245" i="1" s="1"/>
  <c r="K245" i="1" s="1"/>
  <c r="I246" i="1"/>
  <c r="L246" i="1" s="1"/>
  <c r="M246" i="1" s="1"/>
  <c r="I247" i="1"/>
  <c r="L247" i="1" s="1"/>
  <c r="M247" i="1" s="1"/>
  <c r="I248" i="1"/>
  <c r="J248" i="1" s="1"/>
  <c r="K248" i="1" s="1"/>
  <c r="I249" i="1"/>
  <c r="I250" i="1"/>
  <c r="I33" i="1"/>
  <c r="L33" i="1" s="1"/>
  <c r="M33" i="1" s="1"/>
  <c r="I34" i="1"/>
  <c r="L34" i="1" s="1"/>
  <c r="M34" i="1" s="1"/>
  <c r="I35" i="1"/>
  <c r="L35" i="1" s="1"/>
  <c r="M35" i="1" s="1"/>
  <c r="I36" i="1"/>
  <c r="L36" i="1" s="1"/>
  <c r="M36" i="1" s="1"/>
  <c r="I37" i="1"/>
  <c r="L37" i="1" s="1"/>
  <c r="M37" i="1" s="1"/>
  <c r="I38" i="1"/>
  <c r="L38" i="1" s="1"/>
  <c r="M38" i="1" s="1"/>
  <c r="I39" i="1"/>
  <c r="L39" i="1" s="1"/>
  <c r="M39" i="1" s="1"/>
  <c r="I40" i="1"/>
  <c r="J40" i="1" s="1"/>
  <c r="K40" i="1" s="1"/>
  <c r="I41" i="1"/>
  <c r="L41" i="1" s="1"/>
  <c r="M41" i="1" s="1"/>
  <c r="I42" i="1"/>
  <c r="J42" i="1" s="1"/>
  <c r="K42" i="1" s="1"/>
  <c r="I43" i="1"/>
  <c r="J43" i="1" s="1"/>
  <c r="K43" i="1" s="1"/>
  <c r="I44" i="1"/>
  <c r="L44" i="1" s="1"/>
  <c r="M44" i="1" s="1"/>
  <c r="I45" i="1"/>
  <c r="L45" i="1" s="1"/>
  <c r="M45" i="1" s="1"/>
  <c r="I46" i="1"/>
  <c r="L46" i="1" s="1"/>
  <c r="M46" i="1" s="1"/>
  <c r="I47" i="1"/>
  <c r="J47" i="1" s="1"/>
  <c r="K47" i="1" s="1"/>
  <c r="I48" i="1"/>
  <c r="J48" i="1" s="1"/>
  <c r="K48" i="1" s="1"/>
  <c r="I49" i="1"/>
  <c r="L49" i="1" s="1"/>
  <c r="M49" i="1" s="1"/>
  <c r="I31" i="1"/>
  <c r="I32" i="1"/>
  <c r="L32" i="1" s="1"/>
  <c r="M32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9" i="1"/>
  <c r="I10" i="1"/>
  <c r="I11" i="1"/>
  <c r="L8" i="1"/>
  <c r="M8" i="1" s="1"/>
  <c r="L9" i="1"/>
  <c r="M9" i="1" s="1"/>
  <c r="L10" i="1"/>
  <c r="M10" i="1" s="1"/>
  <c r="L11" i="1"/>
  <c r="M11" i="1" s="1"/>
  <c r="J8" i="1"/>
  <c r="K8" i="1" s="1"/>
  <c r="J9" i="1"/>
  <c r="K9" i="1" s="1"/>
  <c r="J10" i="1"/>
  <c r="K10" i="1" s="1"/>
  <c r="J11" i="1"/>
  <c r="K11" i="1" s="1"/>
  <c r="I8" i="1"/>
  <c r="J120" i="1" l="1"/>
  <c r="K120" i="1" s="1"/>
  <c r="J114" i="1"/>
  <c r="K114" i="1" s="1"/>
  <c r="J39" i="1"/>
  <c r="K39" i="1" s="1"/>
  <c r="L240" i="1"/>
  <c r="M240" i="1" s="1"/>
  <c r="L244" i="1"/>
  <c r="M244" i="1" s="1"/>
  <c r="L248" i="1"/>
  <c r="M248" i="1" s="1"/>
  <c r="J63" i="1"/>
  <c r="K63" i="1" s="1"/>
  <c r="J88" i="1"/>
  <c r="K88" i="1" s="1"/>
  <c r="L201" i="1"/>
  <c r="M201" i="1" s="1"/>
  <c r="J228" i="1"/>
  <c r="K228" i="1" s="1"/>
  <c r="J176" i="1"/>
  <c r="K176" i="1" s="1"/>
  <c r="J241" i="1"/>
  <c r="K241" i="1" s="1"/>
  <c r="L245" i="1"/>
  <c r="M245" i="1" s="1"/>
  <c r="J170" i="1"/>
  <c r="K170" i="1" s="1"/>
  <c r="J236" i="1"/>
  <c r="K236" i="1" s="1"/>
  <c r="L238" i="1"/>
  <c r="M238" i="1" s="1"/>
  <c r="J242" i="1"/>
  <c r="K242" i="1" s="1"/>
  <c r="J246" i="1"/>
  <c r="K246" i="1" s="1"/>
  <c r="J214" i="1"/>
  <c r="K214" i="1" s="1"/>
  <c r="J206" i="1"/>
  <c r="K206" i="1" s="1"/>
  <c r="J152" i="1"/>
  <c r="K152" i="1" s="1"/>
  <c r="J96" i="1"/>
  <c r="K96" i="1" s="1"/>
  <c r="J74" i="1"/>
  <c r="K74" i="1" s="1"/>
  <c r="J45" i="1"/>
  <c r="K45" i="1" s="1"/>
  <c r="L47" i="1"/>
  <c r="M47" i="1" s="1"/>
  <c r="L129" i="1"/>
  <c r="M129" i="1" s="1"/>
  <c r="L224" i="1"/>
  <c r="M224" i="1" s="1"/>
  <c r="J204" i="1"/>
  <c r="K204" i="1" s="1"/>
  <c r="J213" i="1"/>
  <c r="K213" i="1" s="1"/>
  <c r="J205" i="1"/>
  <c r="K205" i="1" s="1"/>
  <c r="J178" i="1"/>
  <c r="K178" i="1" s="1"/>
  <c r="J146" i="1"/>
  <c r="K146" i="1" s="1"/>
  <c r="J122" i="1"/>
  <c r="K122" i="1" s="1"/>
  <c r="J90" i="1"/>
  <c r="K90" i="1" s="1"/>
  <c r="J72" i="1"/>
  <c r="K72" i="1" s="1"/>
  <c r="J41" i="1"/>
  <c r="K41" i="1" s="1"/>
  <c r="L208" i="1"/>
  <c r="M208" i="1" s="1"/>
  <c r="J212" i="1"/>
  <c r="K212" i="1" s="1"/>
  <c r="J211" i="1"/>
  <c r="K211" i="1" s="1"/>
  <c r="J203" i="1"/>
  <c r="K203" i="1" s="1"/>
  <c r="L209" i="1"/>
  <c r="M209" i="1" s="1"/>
  <c r="L40" i="1"/>
  <c r="M40" i="1" s="1"/>
  <c r="J235" i="1"/>
  <c r="K235" i="1" s="1"/>
  <c r="J227" i="1"/>
  <c r="K227" i="1" s="1"/>
  <c r="J210" i="1"/>
  <c r="K210" i="1" s="1"/>
  <c r="J202" i="1"/>
  <c r="K202" i="1" s="1"/>
  <c r="J168" i="1"/>
  <c r="K168" i="1" s="1"/>
  <c r="J138" i="1"/>
  <c r="K138" i="1" s="1"/>
  <c r="J112" i="1"/>
  <c r="K112" i="1" s="1"/>
  <c r="L55" i="1"/>
  <c r="M55" i="1" s="1"/>
  <c r="L226" i="1"/>
  <c r="M226" i="1" s="1"/>
  <c r="J234" i="1"/>
  <c r="K234" i="1" s="1"/>
  <c r="J162" i="1"/>
  <c r="K162" i="1" s="1"/>
  <c r="J136" i="1"/>
  <c r="K136" i="1" s="1"/>
  <c r="J106" i="1"/>
  <c r="K106" i="1" s="1"/>
  <c r="L51" i="1"/>
  <c r="M51" i="1" s="1"/>
  <c r="J225" i="1"/>
  <c r="K225" i="1" s="1"/>
  <c r="J216" i="1"/>
  <c r="K216" i="1" s="1"/>
  <c r="J200" i="1"/>
  <c r="K200" i="1" s="1"/>
  <c r="J160" i="1"/>
  <c r="K160" i="1" s="1"/>
  <c r="J130" i="1"/>
  <c r="K130" i="1" s="1"/>
  <c r="J104" i="1"/>
  <c r="K104" i="1" s="1"/>
  <c r="J49" i="1"/>
  <c r="K49" i="1" s="1"/>
  <c r="L116" i="1"/>
  <c r="M116" i="1" s="1"/>
  <c r="L59" i="1"/>
  <c r="M59" i="1" s="1"/>
  <c r="J215" i="1"/>
  <c r="K215" i="1" s="1"/>
  <c r="J207" i="1"/>
  <c r="K207" i="1" s="1"/>
  <c r="J199" i="1"/>
  <c r="K199" i="1" s="1"/>
  <c r="J154" i="1"/>
  <c r="K154" i="1" s="1"/>
  <c r="J128" i="1"/>
  <c r="K128" i="1" s="1"/>
  <c r="J98" i="1"/>
  <c r="K98" i="1" s="1"/>
  <c r="J80" i="1"/>
  <c r="K80" i="1" s="1"/>
  <c r="L48" i="1"/>
  <c r="M48" i="1" s="1"/>
  <c r="L43" i="1"/>
  <c r="M43" i="1" s="1"/>
  <c r="L79" i="1"/>
  <c r="M79" i="1" s="1"/>
  <c r="L95" i="1"/>
  <c r="M95" i="1" s="1"/>
  <c r="L113" i="1"/>
  <c r="M113" i="1" s="1"/>
  <c r="L134" i="1"/>
  <c r="M134" i="1" s="1"/>
  <c r="L175" i="1"/>
  <c r="M175" i="1" s="1"/>
  <c r="J177" i="1"/>
  <c r="K177" i="1" s="1"/>
  <c r="J169" i="1"/>
  <c r="K169" i="1" s="1"/>
  <c r="J161" i="1"/>
  <c r="K161" i="1" s="1"/>
  <c r="J153" i="1"/>
  <c r="K153" i="1" s="1"/>
  <c r="J145" i="1"/>
  <c r="K145" i="1" s="1"/>
  <c r="J137" i="1"/>
  <c r="K137" i="1" s="1"/>
  <c r="J121" i="1"/>
  <c r="K121" i="1" s="1"/>
  <c r="J105" i="1"/>
  <c r="K105" i="1" s="1"/>
  <c r="J97" i="1"/>
  <c r="K97" i="1" s="1"/>
  <c r="J89" i="1"/>
  <c r="K89" i="1" s="1"/>
  <c r="J73" i="1"/>
  <c r="K73" i="1" s="1"/>
  <c r="J64" i="1"/>
  <c r="K64" i="1" s="1"/>
  <c r="J56" i="1"/>
  <c r="K56" i="1" s="1"/>
  <c r="L66" i="1"/>
  <c r="M66" i="1" s="1"/>
  <c r="L58" i="1"/>
  <c r="M58" i="1" s="1"/>
  <c r="L50" i="1"/>
  <c r="M50" i="1" s="1"/>
  <c r="L42" i="1"/>
  <c r="M42" i="1" s="1"/>
  <c r="L92" i="1"/>
  <c r="M92" i="1" s="1"/>
  <c r="L127" i="1"/>
  <c r="M127" i="1" s="1"/>
  <c r="L70" i="1"/>
  <c r="M70" i="1" s="1"/>
  <c r="J167" i="1"/>
  <c r="J159" i="1"/>
  <c r="K159" i="1" s="1"/>
  <c r="J151" i="1"/>
  <c r="K151" i="1" s="1"/>
  <c r="J135" i="1"/>
  <c r="K135" i="1" s="1"/>
  <c r="J119" i="1"/>
  <c r="K119" i="1" s="1"/>
  <c r="J111" i="1"/>
  <c r="K111" i="1" s="1"/>
  <c r="J103" i="1"/>
  <c r="K103" i="1" s="1"/>
  <c r="J87" i="1"/>
  <c r="K87" i="1" s="1"/>
  <c r="J71" i="1"/>
  <c r="K71" i="1" s="1"/>
  <c r="J62" i="1"/>
  <c r="K62" i="1" s="1"/>
  <c r="J54" i="1"/>
  <c r="K54" i="1" s="1"/>
  <c r="J46" i="1"/>
  <c r="K46" i="1" s="1"/>
  <c r="J38" i="1"/>
  <c r="K38" i="1" s="1"/>
  <c r="L78" i="1"/>
  <c r="M78" i="1" s="1"/>
  <c r="L118" i="1"/>
  <c r="M118" i="1" s="1"/>
  <c r="J158" i="1"/>
  <c r="K158" i="1" s="1"/>
  <c r="J142" i="1"/>
  <c r="K142" i="1" s="1"/>
  <c r="J126" i="1"/>
  <c r="K126" i="1" s="1"/>
  <c r="J110" i="1"/>
  <c r="K110" i="1" s="1"/>
  <c r="J102" i="1"/>
  <c r="K102" i="1" s="1"/>
  <c r="J86" i="1"/>
  <c r="K86" i="1" s="1"/>
  <c r="J53" i="1"/>
  <c r="K53" i="1" s="1"/>
  <c r="J181" i="1"/>
  <c r="K181" i="1" s="1"/>
  <c r="J173" i="1"/>
  <c r="K173" i="1" s="1"/>
  <c r="J165" i="1"/>
  <c r="K165" i="1" s="1"/>
  <c r="J157" i="1"/>
  <c r="K157" i="1" s="1"/>
  <c r="J149" i="1"/>
  <c r="K149" i="1" s="1"/>
  <c r="J141" i="1"/>
  <c r="K141" i="1" s="1"/>
  <c r="J133" i="1"/>
  <c r="K133" i="1" s="1"/>
  <c r="J125" i="1"/>
  <c r="K125" i="1" s="1"/>
  <c r="J117" i="1"/>
  <c r="K117" i="1" s="1"/>
  <c r="J109" i="1"/>
  <c r="K109" i="1" s="1"/>
  <c r="J101" i="1"/>
  <c r="K101" i="1" s="1"/>
  <c r="J93" i="1"/>
  <c r="K93" i="1" s="1"/>
  <c r="J85" i="1"/>
  <c r="K85" i="1" s="1"/>
  <c r="J77" i="1"/>
  <c r="K77" i="1" s="1"/>
  <c r="J69" i="1"/>
  <c r="K69" i="1" s="1"/>
  <c r="J60" i="1"/>
  <c r="K60" i="1" s="1"/>
  <c r="J52" i="1"/>
  <c r="K52" i="1" s="1"/>
  <c r="J44" i="1"/>
  <c r="K44" i="1" s="1"/>
  <c r="L174" i="1"/>
  <c r="M174" i="1" s="1"/>
  <c r="J166" i="1"/>
  <c r="K166" i="1" s="1"/>
  <c r="J150" i="1"/>
  <c r="K150" i="1" s="1"/>
  <c r="J61" i="1"/>
  <c r="K61" i="1" s="1"/>
  <c r="J180" i="1"/>
  <c r="K180" i="1" s="1"/>
  <c r="J172" i="1"/>
  <c r="K172" i="1" s="1"/>
  <c r="J164" i="1"/>
  <c r="K164" i="1" s="1"/>
  <c r="J156" i="1"/>
  <c r="K156" i="1" s="1"/>
  <c r="J148" i="1"/>
  <c r="K148" i="1" s="1"/>
  <c r="J140" i="1"/>
  <c r="K140" i="1" s="1"/>
  <c r="J132" i="1"/>
  <c r="K132" i="1" s="1"/>
  <c r="J124" i="1"/>
  <c r="K124" i="1" s="1"/>
  <c r="J108" i="1"/>
  <c r="K108" i="1" s="1"/>
  <c r="J100" i="1"/>
  <c r="K100" i="1" s="1"/>
  <c r="J76" i="1"/>
  <c r="K76" i="1" s="1"/>
  <c r="J68" i="1"/>
  <c r="K68" i="1" s="1"/>
  <c r="L91" i="1"/>
  <c r="M91" i="1" s="1"/>
  <c r="J179" i="1"/>
  <c r="K179" i="1" s="1"/>
  <c r="J171" i="1"/>
  <c r="K171" i="1" s="1"/>
  <c r="J163" i="1"/>
  <c r="K163" i="1" s="1"/>
  <c r="J155" i="1"/>
  <c r="K155" i="1" s="1"/>
  <c r="J147" i="1"/>
  <c r="K147" i="1" s="1"/>
  <c r="J139" i="1"/>
  <c r="K139" i="1" s="1"/>
  <c r="J131" i="1"/>
  <c r="K131" i="1" s="1"/>
  <c r="J115" i="1"/>
  <c r="K115" i="1" s="1"/>
  <c r="J107" i="1"/>
  <c r="K107" i="1" s="1"/>
  <c r="J99" i="1"/>
  <c r="K99" i="1" s="1"/>
  <c r="J75" i="1"/>
  <c r="K75" i="1" s="1"/>
  <c r="K167" i="1"/>
  <c r="I7" i="1"/>
  <c r="I6" i="1"/>
  <c r="L6" i="1" l="1"/>
  <c r="L7" i="1"/>
  <c r="M7" i="1" s="1"/>
  <c r="K5" i="1"/>
  <c r="J7" i="1"/>
  <c r="K7" i="1" s="1"/>
  <c r="J6" i="1"/>
  <c r="J3" i="1" s="1"/>
  <c r="M6" i="1" l="1"/>
  <c r="L3" i="1"/>
  <c r="K6" i="1"/>
  <c r="M5" i="1"/>
  <c r="M3" i="1" l="1"/>
  <c r="R4" i="1" s="1"/>
  <c r="K3" i="1"/>
  <c r="R2" i="1" s="1"/>
</calcChain>
</file>

<file path=xl/sharedStrings.xml><?xml version="1.0" encoding="utf-8"?>
<sst xmlns="http://schemas.openxmlformats.org/spreadsheetml/2006/main" count="368" uniqueCount="364">
  <si>
    <t>cutoff</t>
  </si>
  <si>
    <t>Upper</t>
  </si>
  <si>
    <t>Lower</t>
  </si>
  <si>
    <t>Top DC20-20</t>
  </si>
  <si>
    <t>Upper pay/in reservoir</t>
  </si>
  <si>
    <t>Upper Class Cut Off</t>
  </si>
  <si>
    <t>sum</t>
  </si>
  <si>
    <t>pay</t>
  </si>
  <si>
    <t>Lower Class Cut Off</t>
  </si>
  <si>
    <t>DC20-20 intersected</t>
  </si>
  <si>
    <t>Lower pay/in reservoir</t>
  </si>
  <si>
    <t>description</t>
  </si>
  <si>
    <t>Date</t>
  </si>
  <si>
    <t>Time</t>
  </si>
  <si>
    <t>%SH</t>
  </si>
  <si>
    <t>TG</t>
  </si>
  <si>
    <t>%SS</t>
  </si>
  <si>
    <t>%fluoro</t>
  </si>
  <si>
    <t>interval</t>
  </si>
  <si>
    <t>pay?:)</t>
  </si>
  <si>
    <t>Sample 1551m: 80% siltstone, 20% very fine to fine sandstone. TG: 9U. no fluor</t>
  </si>
  <si>
    <t>Sample 1554m: 70% siltstone, 30% very fine to fine sandstone. TG: 10U. no fluor</t>
  </si>
  <si>
    <t>Sample 1557m: 80% siltstone. 20% very fine to fine sandstone. TG: 10U. no fluor</t>
  </si>
  <si>
    <t>Sample 1560m: 70% siltstone. 30% very fine to fine sandstone. TG: 11U. no fluor</t>
  </si>
  <si>
    <t>Sample 1563m: 70% siltstone. 30% very fine to fine sandstone. TG: 10.5U. no fluor</t>
  </si>
  <si>
    <t>Sample 1566m: 60% siltstone. 40% very fine to fine, tr med sandstone. TG: 15U, No fluor</t>
  </si>
  <si>
    <t>Sample 1569m: 55% siltstone. 45% very fine to fine, tr med sandstone. TG: 16U, No fluor</t>
  </si>
  <si>
    <t>Sample 1572m: 60% siltstone. 40% very fine to fine, tr med sandstone. TG: 16U, No fluor</t>
  </si>
  <si>
    <t>Sample 1575m: 55% siltstone. 45% very fine to fine, tr med sandstone. TG: 19U, No fluor</t>
  </si>
  <si>
    <t>Sample 1578m: 60% siltstone. 40% very fine to fine, tr med sandstone. TG: 17U, No fluor</t>
  </si>
  <si>
    <t>Sample 1581m: 65% siltstone. 35% very fine to fine, tr med-crs sandstone. TG: 15U, No fluor</t>
  </si>
  <si>
    <t>Sample 1584m: 50% siltstone. 50% very fine to fine, tr med-crs sandstone. TG: 20U, No fluor</t>
  </si>
  <si>
    <t>Sample 1587m: 40% siltstone. 60% very fine to v-crs sandstone. TG: 14U, No fluor.</t>
  </si>
  <si>
    <t>Sample 1590m: 55% siltstone. 45% very fine to fine (trace med-crs) sandstone. TG: 12U, No fluor.</t>
  </si>
  <si>
    <t>Sample 1593m: 45% siltstone. 55% very fine to fine (trace med-crs) sandstone. TG: 9U, No fluor.</t>
  </si>
  <si>
    <t>Sample 1596m: 50% siltstone. 50% very fine to fine (trace med-crs) sandstone. TG: 11U, No fluor.</t>
  </si>
  <si>
    <t>Sample 1599m: 55% siltstone. 45% very fine to fine (rare med, tr crs) sandstone. TG: 12U, No fluor.</t>
  </si>
  <si>
    <t>Sample 1602m: 50% siltstone. 50% very fine to fine (tr med) sandstone. TG: 16U, No fluor.</t>
  </si>
  <si>
    <t>Sample 1605m: 45% siltstone. 55% very fine to fine (trace med to coarse) sandstone. TG: 14U, No fluor.</t>
  </si>
  <si>
    <t>Sample 1608m: 35% siltstone. 65% very fine to fine (rare med, trace coarse) sandstone. TG: 17U, No fluor.</t>
  </si>
  <si>
    <t>Sample 1611m: 45% siltstone. 55% very fine to fine (rare med, trace coarse) sandstone. TG: 15U, No fluor.</t>
  </si>
  <si>
    <t>Sample 1614m: 45% siltstone. 55% very fine to fine (trace med) sandstone. TG: 16U, No fluor.</t>
  </si>
  <si>
    <t>Sample 1617m: 50% siltstone. 50% very fine to fine (trace med) sandstone. TG: 17U, No fluor.</t>
  </si>
  <si>
    <t>Sample 1620m: 45% siltstone. 55% very fine to fine (trace med to coarse) sandstone. TG: 16U, No fluor.</t>
  </si>
  <si>
    <t>Sample 1623m: 35% siltstone. 65% very fine to fine (trace med to coarse) sandstone. TG: 19U, No fluor.</t>
  </si>
  <si>
    <t>Sample 1626m: 45% siltstone. 55% very fine to fine (rare med to coarse) sandstone. TG: 13U, No fluor.</t>
  </si>
  <si>
    <t>Sample 1629m: 35% siltstone. 65% very fine to medium, minor coarse sandstone. TG: 14U, TRACE dull to mod bri fluor</t>
  </si>
  <si>
    <t>Sample 1632m: 45% siltstone. 55% very fine to fine, (trace medium to coarse sandstone). TG: 16U, 5% dull to mod bri fluor</t>
  </si>
  <si>
    <t>Sample 1635m: 45% siltstone. 55% very fine to fine, (trace medium to coarse) sandstone. TG: 15U, 5% dull to mod bri fluor.</t>
  </si>
  <si>
    <t>Sample 1638m: 35% siltstone. 65% very fine to fine, (trace medium to coarse) sandstone. TG: 22U, 10% dull to mod bri fluor.</t>
  </si>
  <si>
    <t>Spot sample 1640m: 30% siltstone. 70% very fine to fine, minor medium sandstone. TG: 512U, 100% mod bri to bri fluor.</t>
  </si>
  <si>
    <t>Sample 1641m: 40% siltstone. 60% very fine to fine (minor medium to coarse) sandstone. TG: 512U (peak), 60% mod bri fluor.</t>
  </si>
  <si>
    <t>Sample 1644m: 30% siltstone. 70% very fine to coarse, trace very coarse sandstone. TG: 775U (peak), 90% mod bri-bri fluor.</t>
  </si>
  <si>
    <t>Sample 1647m: 25% siltstone. 75% very fine to coarse, trace very coarse sandstone. TG: 468U, 100% bri-mod bri fluor.</t>
  </si>
  <si>
    <t>Sample 1650m: 20% siltstone. 80% very fine to very coarse sandstone. TG: 518U, 100% bri-mod bri fluor.</t>
  </si>
  <si>
    <t>Sample 1653m: 10% siltstone. 90% very fine to very coarse sandstone. TG: 436U, 100% mod bri-bri fluor.</t>
  </si>
  <si>
    <t>Sample 1656m: 15% siltstone. 85% very fine to fine, (rare medium to very coarse) sandstone. TG: 444U, 100% mod bri-bri fluor.</t>
  </si>
  <si>
    <t>Sample 1659m: 20% siltstone. 80% very fine to fine, (rare medium to very coarse) sandstone. TG: 484U, 100% mod bri-bri fluor.</t>
  </si>
  <si>
    <t>Sample 1662m: 15% siltstone. 85% very fine to medium, (trace coarse) sandstone. TG: 556U, 100% mod bri-bri fluor.</t>
  </si>
  <si>
    <t>Sample 1665m: 20% siltstone. 80% very fine to very coarse (very fine to fine aggregates) sandstone. TG: 512U, 100% mod bri-bri fluor.</t>
  </si>
  <si>
    <t>Sample 1671m: 25% siltstone. 75% very fine to fine, trace medium to coarse sandstone. TG: 443U, 100% mod bri fluor.</t>
  </si>
  <si>
    <t>Sample 1674m: 25% siltstone. 75% very fine to fine, trace medium to coarse sandstone. TG: 473U, 80% mod bri fluor.</t>
  </si>
  <si>
    <t>Sample 1677m: 20% siltstone. 80% very fine to fine, minor medium, trace coarse sandstone. TG: 553U, 100% mod bri fluor.</t>
  </si>
  <si>
    <t>Sample 1680m: 15% siltstone. 85% very fine to fine, trace medium, sandstone. TG: 600U, 100% mod bri fluor.</t>
  </si>
  <si>
    <t>Sample 1683m: 20% siltstone. 80% very fine to fine, minor medium sandstone. TG: 550U, 100% mod bri-bri fluor.</t>
  </si>
  <si>
    <t>Sample 1686m: 15% siltstone. 85% very fine to medium sandstone. TG: 534U, 100% mod bri-bri fluor.</t>
  </si>
  <si>
    <t>Sample 1690m: 15% siltstone. 85% very fine to fine, trace medium sandstone. TG: 611U, 100% mod bri-bri fluor.</t>
  </si>
  <si>
    <t>Sample 1695m: 10% siltstone. 90% very fine to fine sandstone. TG: 1035U, 100% mod bri-bri fluor.</t>
  </si>
  <si>
    <t>Sample 1700m: 5% siltstone. 95% very fine to fine sandstone. TG: 1033U, 100% bri fluor.</t>
  </si>
  <si>
    <t>Sample 1705m: 10% siltstone. 90% very fine to fine (tr medium) sandstone. TG: 1148U, 100% bri fluor.</t>
  </si>
  <si>
    <t>Sample 1710m: 10% siltstone. 90% very fine to fine sandstone. TG: 996U, 100% bri fluor.</t>
  </si>
  <si>
    <t>Sample 1715m: 10% siltstone. 90% very fine to fine sandstone. TG: 1043U, 100% bri-mod bri fluor.</t>
  </si>
  <si>
    <t>Sample 1720m: 15% siltstone. 85% very fine to fine (trace med-crs) sandstone. TG: 1047U, 100% mod bri-bri fluor.</t>
  </si>
  <si>
    <t>Sample 1725m: 10% siltstone. 90% very fine to fine sandstone. TG: 1050U, 100% mod bri-bri fluor.</t>
  </si>
  <si>
    <t>Sample 1730m: 5% siltstone. 95% very fine to fine, occasionally medium. occasionally to common loose sandstone. TG: 1100U, 100% mod bri-bri fluor.</t>
  </si>
  <si>
    <t>Sample 1735m: 10% siltstone. 90% very fine to fine, occasionally medium. occasionally to common dissag sandstone. TG: 1090U, 100% mod bri-bri fluor.</t>
  </si>
  <si>
    <t>Sample 1740m: 5% siltstone. 95% very fine to fine, sandstone. TG: 1092U, 90% mod bri-bri fluor.</t>
  </si>
  <si>
    <t>Sample 1745m: 5% siltstone. 95% very fine to fine, minor dissag sandstone. TG: 970U, 90% mod bri-bri fluor.</t>
  </si>
  <si>
    <t>Sample 1750m: 10% siltstone. 90% very fine to fine, minor dissag sandstone. TG: 611U, 90% mod bri-bri fluor.</t>
  </si>
  <si>
    <t>Sample 1755m: 10% siltstone. 90% very fine to fine, minor dissag sandstone. TG: 755U, 85% mod bri-bri fluor.</t>
  </si>
  <si>
    <t>Sample 1760m: 15% siltstone. 85% very fine to fine, minor dissag sandstone. TG: 850U, 90% mod bri-bri fluor.</t>
  </si>
  <si>
    <t>Sample 1765m: 15% siltstone. 85% very fine to fine, rare medium sandstone. TG: 845U, 90% mod bri fluor.</t>
  </si>
  <si>
    <t>Sample 1770m: 10% siltstone. 90% very fine to fine, rare medium sandstone. TG: 840U, 95% mod bri fluor</t>
  </si>
  <si>
    <t>Sample 1775m: 10% siltstone. 90% very fine to fine, rare medium sandstone. TG: 840U, 95% mod bri fluor.</t>
  </si>
  <si>
    <t>Sample 1780m: 5% siltstone. 95% very fine to fine, rare medium sandstone. TG: 865U, 100% mod bri fluor.</t>
  </si>
  <si>
    <t>Sample 1785m: 5% siltstone. 95% very fine to fine, rare medium sandstone. TG: 900U, 100% mod bri fluor.</t>
  </si>
  <si>
    <t>Sample 1790m: 10% siltstone. 90% very fine to fine, minor medium sandstone. TG: 875U, 100% mod bri to bri fluor.</t>
  </si>
  <si>
    <t>Sample 1795m: 10% siltstone. 90% very fine to fine, minor medium, trace coarse, minor to occasional dissag sandstone. TG: 895U, 100% bri to mod bri fluor.</t>
  </si>
  <si>
    <t>Sample 1800m: 10% siltstone. 90% very fine to fine, occasionally medium to coarse, occasional to common loose sandstone. TG: 1100U, 100% bri fluor.</t>
  </si>
  <si>
    <t>Sample 1805m: 5% siltstone. 95% very to fine, occasionally medium to coarse, occasionally to common loose sandstone. TG: 1260U, 100% v bri fluor.</t>
  </si>
  <si>
    <t>Sample 1810m: 100% very fine to fine, occasionally medium to coarse. occasional to common loose sandstone. TG: 1215U, 100% v bri fluor.</t>
  </si>
  <si>
    <t>Sample 1815m: 100% very fine to fine, occasionally medium to coarse. common loose sandstone. TG: 1270U, 100% v bri fluor.</t>
  </si>
  <si>
    <t>Sample 1820m: 100% very fine to fine, occasionally medium to coarse. Occasional to common loose sandstone. TG: 1280U, 100% v bri fluor</t>
  </si>
  <si>
    <t>top reservoir at 1631.7mMD</t>
  </si>
  <si>
    <t>Sample 1825m: 100% very fine to fine, occasionally medium to coarse. Occasional to common loose sandstone. TG: 1290U, 100% v bri fluor.</t>
  </si>
  <si>
    <t>Sample 1830m: 10% siltstone. 90% very fine to fine, occasionally medium to coarse. Occasional to common loose sandstone. TG: 1285U, 100% v bri fluor.</t>
  </si>
  <si>
    <t>Sample 1835m: 10% siltstone. 90% very fine to coarse, predominantly loose Sandstone. TG:1270U. 90% mod bri fluor</t>
  </si>
  <si>
    <t>Sample 1839m: 50% siltstone. 50% very fine to coarse, occasional loose Sandstone. TG:790U. 70% mod bri fluor</t>
  </si>
  <si>
    <t>Sample 1842m: 45% siltstone. 55% very fine to coarse, common loose Sandstone. TG:742U. 70% mod bri - dll fluor</t>
  </si>
  <si>
    <t>Sample 1845m: 45% siltstone. 55% very fine to coarse, common loose Sandstone. TG:730U. 70% mod bri - dll fluo</t>
  </si>
  <si>
    <t>Sample 1848m: 40% siltstone. 60% very fine to coarse, predominantly loose Sandstone. TG:780U. 70% mod bri - dll fluor.</t>
  </si>
  <si>
    <t>Sample 1851m: 20% siltstone. 80% very fine to coarse, predominantly loose Sandstone. TG:925U. 90% mod bri fluor.</t>
  </si>
  <si>
    <t>Sample 1855m: 20% siltstone. 80% very fine to coarse, common loose Sandstone. TG: 1390U. 100% bri fluor.</t>
  </si>
  <si>
    <t>Sample 1860m: 10% siltstone. 90% very fine to coarse, common loose Sandstone. TG: 1420U. 100% bri fluor.</t>
  </si>
  <si>
    <t>Sample 1865m: 5% siltstone. 95% very fine to coarse, common loose Sandstone. TG: 1370U. 100% bri fluor.</t>
  </si>
  <si>
    <t>Sample 1870m: 100% very fine to coarse, occasional to common loose Sandstone. TG: 1495U. 100% bri fluor.</t>
  </si>
  <si>
    <t>Sample 1875m: 100% very fine to coarse, common loose Sandstone. TG: 1600TU. 100% bri fluor.</t>
  </si>
  <si>
    <t>Sample 1880m: 5% siltstone. 95% very fine to fine common medium to coarse, occasional to common loose Sandstone. TG: 1275U. 90% bri fluor.</t>
  </si>
  <si>
    <t>Sample 1885m: 5% siltstone. 95% very fine to fine common medium to coarse, occasional to common loose Sandstone. TG: 1060U. 100% bri fluor.</t>
  </si>
  <si>
    <t>Sample 1890m: 10% siltstone. 90% very fine to fine, occasional medium to coarse, minor loose Sandstone. TG: 1323U. 100% bri fluor.</t>
  </si>
  <si>
    <t>Sample 1895m: 10% siltstone. 90% very fine to fine, minor medium Sandstone. TG: 1043U. 100% bri fluor.</t>
  </si>
  <si>
    <t>Sample 1900m: 5% siltstone. 95% very fine to fine, minor medium Sandstone. TG: 1097U. 100% mod bri fluor.</t>
  </si>
  <si>
    <t>Sample 1905m: 5% siltstone. 95% very fine to fine, minor medium, common loose Sandstone. TG: 1060U. 100% mod bri fluor.</t>
  </si>
  <si>
    <t>Sample 1910m: 5% siltstone. 95% very fine to fine, minor medium, minor loose Sandstone. TG: 1112U. 100% mod bri to bri fluor.</t>
  </si>
  <si>
    <t>Sample 1915m: 5% siltstone. 95% very fine to fine, trace medium, trace loose Sandstone. TG: 1026U. 100% mod bri to bri fluor.</t>
  </si>
  <si>
    <t>Sample 1920m: 5% siltstone. 95% very fine to fine, trace medium, common loose Sandstone. TG: 998U. 80% mod bri to bri fluor.</t>
  </si>
  <si>
    <t>Sample 1925m: 5% siltstone. 95% very fine to fine, trace medium, rare loose Sandstone. TG: 1015U. 100% mod bri to bri fluor.</t>
  </si>
  <si>
    <t>Sample 1930m: 5% siltstone. 95% very fine to fine, trace loose Sandstone. TG: 1136U. 100% bri to mod bri fluor.</t>
  </si>
  <si>
    <t>Sample 1935m: 10% siltstone. 90% very fine to fine, trace loose Sandstone. TG: 1185U. 100% bri to mod bri fluor.</t>
  </si>
  <si>
    <t>Sample 1940m: 10% siltstone. 90% very fine to fine, rare loose Sandstone. TG: 1015U. 100% mod bri to bri fluor.</t>
  </si>
  <si>
    <t>Sample 1945m: 15% siltstone. 85% very fine to fine, rare loose Sandstone. TG: 892U. 100% mod bri to bri fluor.</t>
  </si>
  <si>
    <t>Sample 1950m: 20% siltstone. 80% very fine to fine, rare loose Sandstone. TG: 1023U. 100% mod bri to bri fluor.</t>
  </si>
  <si>
    <t>Sample 1955m: 15% siltstone. 85% very fine to medium, trace coarse, common loose Sandstone. TG: 929U. 100% mod bri fluor.</t>
  </si>
  <si>
    <t>Sample 1960m: 10% siltstone. 90% very fine to medium, trace coarse, minor loose Sandstone. TG: 1105U. 100% mod bri fluor.</t>
  </si>
  <si>
    <t>Sample 1965m: 10% siltstone. 90% very fine to medium, minor loose Sandstone. TG: 1164U. 100% mod bri-bri fluor.</t>
  </si>
  <si>
    <t>Sample 1970m: 10% siltstone. 90% very fine to fine, trace medium to coarse, minor loose Sandstone. TG: 1310U. 100% bri fluor.</t>
  </si>
  <si>
    <t>Sample 1975m: 10% siltstone. 90% very fine to fine, minor medium to very coarse, minor loose Sandstone. TG: 1449U. 100% bri fluor.</t>
  </si>
  <si>
    <t>Sample 1980m: 5% siltstone. 95% very fine to very coarse, (very fine to fine aggs) common loose Sandstone. TG: 1280U. 100% bri fluor.</t>
  </si>
  <si>
    <t>Sample 1985m: 5% siltstone. 95% very fine to fine aggs, minor medium to very coarse loose Sandstone. TG: 1220U. 100% bri fluor.</t>
  </si>
  <si>
    <t>Sample 1990m: 10% siltstone. 90% very fine to fine aggs, minor medium to very coarse loose Sandstone. TG: 1121U. 100% bri fluor.</t>
  </si>
  <si>
    <t>Sample 1995m: 10% siltstone. 90% very fine to fine aggs, minor fine to very coarse loose Sandstone. TG: 1193U. 100% bri fluor.</t>
  </si>
  <si>
    <t>Sample 2000m: 20% siltstone. 80% pred very fine to fine aggs, minor medium to very coarse loose Sandstone. TG: 1025U. 100% bri fluor.</t>
  </si>
  <si>
    <t>Sample 2005m: 15% siltstone. 85% pred very fine to fine aggs, rare medium to very coarse loose Sandstone. TG: 1075U. 100% bri fluor.</t>
  </si>
  <si>
    <t>Sample 2010m: 10% siltstone. 90% pred very fine to fine aggs, common medium to very coarse loose Sandstone. TG: 940U. 100% bri fluor.</t>
  </si>
  <si>
    <t>Sample 2015m: 10% siltstone. 90% pred very fine to fine aggs, trace medium to very coarse loose Sandstone. TG: 1177U. 100% bri fluor.</t>
  </si>
  <si>
    <t>Sample 2020m: 10% siltstone. 90% pred very fine to fine aggs, minor medium to very coarse loose Sandstone. TG: 1062U. 100% bri fluor.</t>
  </si>
  <si>
    <t>Sample 2025m: 10% siltstone. 90% very fine to fine, minor medium &amp; trace coarse loose Sandstone. TG: 838U. 100% bri fluor.</t>
  </si>
  <si>
    <t>Sample 2030m: 10% siltstone. 90% very fine to fine aggregated Sandstone. TG: 777U. 100% mod bri-bri fluor.</t>
  </si>
  <si>
    <t>Sample 2035m: 10% siltstone. 90% very fine to fine aggregated Sandstone. TG: 765U. 90% mod bri-dll fluor.</t>
  </si>
  <si>
    <t>Sample 2040m: 15% siltstone. 85% very fine to fine aggregated (trace fine loose) Sandstone. TG: 795U. 75% mod bri-dll fluor.</t>
  </si>
  <si>
    <t>Sample 2045m: 10% siltstone. 90% very fine to fine aggregated (trace fine loose) Sandstone. TG: 798U. 85% mod bri-dll fluor.</t>
  </si>
  <si>
    <t>Sample 2050m: 10% siltstone. 90% very fine to fine aggregated (trace fine to medium loose) Sandstone. TG: 1000U. 100% mod bri-bri fluor.</t>
  </si>
  <si>
    <t>Sample 2055m: 5% siltstone. 95% very fine to fine aggregated (trace fine to medium loose) Sandstone. TG: 1121U. 100% mod bri-bri fluor.</t>
  </si>
  <si>
    <t>Sample 2060m: 5% siltstone. 95% very fine to fine aggregated Sandstone. TG: 798U. 100% mod bri-bri fluor.</t>
  </si>
  <si>
    <t>Sample 2065m: 100% very fine to fine aggregated (trace fine loose) Sandstone. TG: 949U. 100% mod bri fluor.</t>
  </si>
  <si>
    <t>Sample 2069.9m: 100% very fine to fine aggregated (trace fine to very coarse loose) Sandstone. TG: 1173U. 100% mod bri-bri fluor.</t>
  </si>
  <si>
    <t>Sample 2075m: 5% siltstone, 95% very fine to fine aggregated (trace fine loose) Sandstone. TG: 890U. 100% bri mod-bri fluor.</t>
  </si>
  <si>
    <t>Sample 2080m: 10% siltstone, 90% very fine to fine aggregated (trace fine loose) Sandstone. TG: 864U. 100% bri mod bri fluor.</t>
  </si>
  <si>
    <t>Sample 2085m: 10% siltstone, 90% very fine to fine aggregated (trace fine to coarse loose) Sandstone. TG: 857U. 100% mod bri-bri fluor.</t>
  </si>
  <si>
    <t>Sample 2090m: 10% siltstone, 90% very fine to fine aggregated (trace fine loose) Sandstone. TG: 881U. 100% mod bri-bri fluor.</t>
  </si>
  <si>
    <t>Sample 2095m: 5% siltstone, 95% very fine to fine aggregated (trace fine loose) Sandstone. TG: 805U. 100% mod bri-bri fluor.</t>
  </si>
  <si>
    <t>Sample 2100m: 5% siltstone, 95% very fine to fine aggregated (trace fine loose) Sandstone. TG: 948U. 100% bri - mod bri fluor.</t>
  </si>
  <si>
    <t>Sample 2105m: 100% very fine to fine aggregated (trace fine loose) Sandstone. TG: 988U. 100% bri - mod bri fluor.</t>
  </si>
  <si>
    <t>Sample 2110m: 100% very fine to fine aggregated (trace fine loose) Sandstone. TG: 850U. 100% bri - mod bri fluor.</t>
  </si>
  <si>
    <t>Sample 2115m: 100% very fine to fine aggregated (trace fine loose) Sandstone. TG: 790U. 95% bri - mod bri fluor.</t>
  </si>
  <si>
    <t>Sample 2120m: 100% very fine to fine aggregated (trace fine loose) Sandstone. TG: 860U. 95% bri - mod bri fluor.</t>
  </si>
  <si>
    <t>Sample 2125m: 100% very fine to fine aggregated (trace fine loose) Sandstone. TG: 890U. 95% bri - mod bri fluor.</t>
  </si>
  <si>
    <t>Sample 2135m: 5% siltstone. 95% very fine to fine aggregated (trace fine loose) Sandstone. TG: 775U. 90% mod bri fluor.</t>
  </si>
  <si>
    <t>Sample 2130m: 100% very fine to fine aggregated (trace fine loose) Sandstone. TG: 878U. 90% bri - mod bri fluor.</t>
  </si>
  <si>
    <t>Sample 2140m: 20% siltstone. 70% very fine to fine aggregates (trace loose) Sandstone. TG: 590U. 60% mod bri - mod dll fluor.</t>
  </si>
  <si>
    <t>Sample 2145m: 50% siltstone. 50% very fine to fine aggregates (trace loose) Sandstone. TG: 1000U. 40% mod bri - mod dll fluor.</t>
  </si>
  <si>
    <t>Sample 2150m: 20% siltstone. 80% very fine to fine aggregates (trace loose) Sandstone. TG: 940U. 80% mod bri fluor.</t>
  </si>
  <si>
    <t>Sample 2155m: 10% siltstone. 90% very fine to fine aggregates, common coarse (common loose) Sandstone. TG: 1060U. 100% bri fluor.</t>
  </si>
  <si>
    <t>Sample 2160m: 100% very fine to fine, minor medium, (100% loose) Sandstone. TG: 1050U. 100% bri fluor.</t>
  </si>
  <si>
    <t>Sample 2165m: 100% very fine to fine, minor medium, (100% loose) Sandstone. TG: 1195U. 100% bri fluor.</t>
  </si>
  <si>
    <t>Sample 2170m: 10% Siltstone. 90% very fine to fine, occasional medium to coarse ( occasional to common loose) Sandstone. TG: 1128U. 100% bri fluor</t>
  </si>
  <si>
    <t>Sample 2175m: 5% Siltstone. 95% very fine to fine, occasional medium to coarse ( occasional to common loose) Sandstone. TG: 1096U. 100% bri fluor</t>
  </si>
  <si>
    <t>Sample 2180m: 5% Siltstone. 95% very fine to fine, common medium to coarse (common to predominantly loose) Sandstone. TG: 1100U. 100% bri fluor</t>
  </si>
  <si>
    <t>Sample 2185m: 100% very fine coarse, common medium (90% loose) Sandstone. TG: 1045U. 100% bri fluor</t>
  </si>
  <si>
    <t>Sample 2190m: 100% very fine coarse, common medium (100% loose) Sandstone. TG: 880U. 100% bri fluor</t>
  </si>
  <si>
    <t>Sample 2195m: 100% very fine coarse, common medium (common loose) Sandstone. TG: 1040U. 100% bri fluor</t>
  </si>
  <si>
    <t>Sample 2200m: 100% very fine to coarse, common very fine to fine, (occasional loose) Sandstone. TG: 1022U. 100% bri fluor.</t>
  </si>
  <si>
    <t>Sample 2205m: 10% siltstone. 90% very fine to coarse, common very fine to fine, (occasional loose) Sandstone. TG: 960U. 100% bri fluor.</t>
  </si>
  <si>
    <t>Sample 2210m: 10% siltstone. 90% very fine to coarse, common very fine to fine, (occasional loose) Sandstone. TG: 1005U. 100% bri fluor.</t>
  </si>
  <si>
    <t>Sample 2215m: 10% siltstone. 90% very fine to coarse, common very fine to fine, (occasional to common loose) Sandstone. TG: 930U. 100% bri fluor.</t>
  </si>
  <si>
    <t>Sample 2220m: 10% siltstone. 90% very fine to fine, trace coarse, (trace loose) Sandstone. TG: 1043U. 100% bri fluor.</t>
  </si>
  <si>
    <t>Sample 2225m: 5% siltstone. 95% very fine to fine, minor medium to coarse, (occasional to common loose) Sandstone. TG: 1233U. 100% bri fluor.</t>
  </si>
  <si>
    <t>Sample 2230m: 5% siltstone. 95% very fine to fine, minor medium to coarse, (occasional to common loose) Sandstone. TG: 1130U. 100% bri fluor.</t>
  </si>
  <si>
    <t>Sample 2235m: 100% very fine to fine, minor medium to coarse, (occasional to common loose) Sandstone. TG: 1120U. 100% bri fluor.</t>
  </si>
  <si>
    <t>Sample 2240m: 100% very fine to coarse, (occasional to common loose) Sandstone. TG: 1120U. 100% bri fluor.</t>
  </si>
  <si>
    <t>Sample 2245m: 100% very fine to coarse, (common loose) Sandstone. TG: 878U. 100% bri fluor</t>
  </si>
  <si>
    <t>Sample 2250m: 5% Siltstone. 95% very fine to coarse, (common loose) Sandstone. TG: 1170U. 100% bri fluor</t>
  </si>
  <si>
    <t>Sample 2255m: 5% Siltstone. 95% very fine to coarse, (common loose) Sandstone. TG: 920U. 100% bri fluor</t>
  </si>
  <si>
    <t>Sample 2260: 5% siltstone. 95% very fine to fine, minor medium to coarse (occasionally loose) sandstone. TG: 972U. 100% bri fluor.</t>
  </si>
  <si>
    <t>Sample 2265m: 10% siltstone. 90% very fine to fine, trace medium to coarse (minor loose) sandstone. TG: 895U. 80% mod bri fluor.</t>
  </si>
  <si>
    <t>Sample 2270m: 15% siltstone. 85% very fine to fine sandstone. TG: 967U. 80% mod bri fluor.</t>
  </si>
  <si>
    <t>Sample 2275m: 10% siltstone. 90% very fine to fine sandstone. TG: 960U. 90% mod bri - bri fluor.</t>
  </si>
  <si>
    <t>Sample 2280m: 10% siltstone. 90% very fine to fine sandstone. TG: 940U. 80% mod bri - bri fluor.</t>
  </si>
  <si>
    <t>Sample 2285m: 20% siltstone. 80% very fine to fine sandstone. TG: 827U. 95% mod bri - dll fluor</t>
  </si>
  <si>
    <t>Sample 2290m: 20% siltstone. 80% very fine to fine sandstone. TG: 660U. 90% mod bri - dll fluor</t>
  </si>
  <si>
    <t>Sample 2295m: 25% siltstone. 75% very fine to fine (g/t aren siltstone) sandstone. TG: 851U. 85% mod bri - dll fluor</t>
  </si>
  <si>
    <t>Sample 2300m: 20% siltstone. 80% very fine to fine (g/t aren siltstone) sandstone. TG: 840U. 80% mod bri - dll fluor</t>
  </si>
  <si>
    <t>Sample 2305m: 15% siltstone. 85% very fine to fine (g/t aren siltstone) sandstone. TG: 870U. 90% mod bri fluor</t>
  </si>
  <si>
    <t>Sample 2310m: 15% siltstone. 85% very fine to fine sandstone. TG: 1109U. 100% bri-mod bri fluor</t>
  </si>
  <si>
    <t>Sample 2315m: 10% siltstone. 90% very fine to fine (minor medium to very coarse loose) sandstone. TG: 1307U. 100% mod bri-bri fluor</t>
  </si>
  <si>
    <t>Sample 2320m: 5% siltstone. 95% very fine to fine (minor medium to very coarse loose) sandstone. TG: 1440U. 100% bri-mod bri fluor</t>
  </si>
  <si>
    <t>Sample 2325m: 10% siltstone. 90% very fine to fine (trace medium to coarse loose) sandstone. TG: 1333U. 100% bri-mod bri fluor</t>
  </si>
  <si>
    <t>Sample 2330m: 25% siltstone. 75% very fine to fine (minor medium to coarse loose) sandstone. TG: 1410U. 100% bri-mod bri fluor</t>
  </si>
  <si>
    <t>Sample 2337m: 60% siltstone. 40% very fine to fine (trace medium to coarse loose) sandstone. TG: 674U. 60% mod bri-dll fluor</t>
  </si>
  <si>
    <t>Sample 2335m: 40% siltstone. 60% very fine to fine (minor medium to coarse loose) sandstone. TG: 669U. 75% mod bri-bri fluor</t>
  </si>
  <si>
    <t>Sample 2340m: 50% siltstone. 50% very fine to fine aggregated (com fine to coarse, trace very coarse loose) sandstone. TG: 669U. 60% dll-mod bri fluor</t>
  </si>
  <si>
    <t>Sample 2343m: 65% siltstone. 35% very fine to fine aggregated (rare medium to very coarse loose) sandstone. TG: 660U. 50% dll-mod bri fluor</t>
  </si>
  <si>
    <t>Sample 2346m: 60% siltstone. 40% very fine to fine aggregated g/t aren SLTST (trace medium to coarse loose) sandstone. TG: 635U. 40% dll-mod bri fluor.</t>
  </si>
  <si>
    <t>Sample 2349m: 65% siltstone. 35% very fine to fine aggregated g/t aren SLTST (trace medium to coarse loose) sandstone. TG: 603U. 25% dll-trace mod bri fluor.</t>
  </si>
  <si>
    <t>Sample 2352m: 70% siltstone. 30% very fine to fine aggregated g/t aren SLTST (trace medium loose) sandstone. TG: 531U. 10% dll-trace mod bri fluor.</t>
  </si>
  <si>
    <t>Sample 2355m: 55% siltstone. 45% very fine to fine aggregated g/t aren SLTST (trace medium to very coarse loose) sandstone. TG: 542U. 20% dll-trace mod bri fluor.</t>
  </si>
  <si>
    <t>Sample 2358m: 65% siltstone. 35% very fine to fine aggregated g/t aren SLTST (trace medium to coarse loose) sandstone. TG: 503U. 10% dll-trace mod bri fluor.</t>
  </si>
  <si>
    <t>looks like when first penetrated McKinlay</t>
  </si>
  <si>
    <t>Starting ot look Murta-ish in part</t>
  </si>
  <si>
    <t>Still McKinlay then Murta</t>
  </si>
  <si>
    <t>Sample 2361m: 60% siltstone. 40% very fine to fine aggregated g/t aren SLTST (trace medium to coarse loose) sandstone. TG: 488U. 20% dll-trace mod bri fluor.</t>
  </si>
  <si>
    <t>Sample 2367m: 55% siltstone. 45% very fine to fine aggregated g/t aren SLTST (trace fine to coarse loose) sandstone. TG: 460U. 20% dll-trace mod bri fluor.</t>
  </si>
  <si>
    <t>Sample 2364m: 60% siltstone. 40% very fine to fine aggregated g/t aren SLTST (trace medium to coarse loose) sandstone. TG: 464U. 25% dll-trace mod bri fluor.</t>
  </si>
  <si>
    <t>Sample 2370m: 60% siltstone. 40% very fine to fine aggregated g/t aren SLTST (rare fine to coarse loose) sandstone. TG: 418U. 10% dll-trace mod bri fluor.</t>
  </si>
  <si>
    <t>Sample 2373m: 70% siltstone. 30% very fine to fine aggregated g/t aren SLTST (minor medium to coarse loose) sandstone. TG: 460U. 15% dll-trace mod bri fluor.</t>
  </si>
  <si>
    <t>Sample 2376m: 55% siltstone. 45% very fine to fine aggs g/t aren SLTST (minor medium to coarse loose) sandstone. TG: 470U. 40% dll-trace mod bri fluor.</t>
  </si>
  <si>
    <t>Sample 2379m: 35% siltstone. 65% pred fine to coarse loose (mnr vf-f aggs) sandstone. TG: 513U. 50% dll-trace mod bri fluor.</t>
  </si>
  <si>
    <t>Sample 2385m: 30% siltstone. 70% very fine to fine aggs (fine to coarse loose) sandstone. TG: 609U. 80% mod bri-bri fluor.</t>
  </si>
  <si>
    <t>Sample 2388m: 15% siltstone. 85% very fine to fine aggs (com fine to coarse loose) sandstone. TG: 638U. 100% mod bri-bri fluor.</t>
  </si>
  <si>
    <t>Sample 2391m: 15% siltstone. 85% very fine to fine aggs (com fine to very coarse loose) sandstone. TG: 639U. 100% mod bri-bri fluor.</t>
  </si>
  <si>
    <t>Sample 2397m: 5% siltstone. 95% very fine to fine aggs (com fine to medium, trace coarse loose) sandstone. TG: 681U. 100% mod bri-bri fluor.</t>
  </si>
  <si>
    <t>Sample 2400m: 10% siltstone. 90% very fine to fine aggs (com fine to medium, trace coarse loose) sandstone. TG: 632U. 100% mod bri fluor.</t>
  </si>
  <si>
    <t>Sample 2403m: 10% siltstone. 90% very fine to fine aggs (minor fine to coarse loose) sandstone. TG: 609U. 100% mod bri fluor.</t>
  </si>
  <si>
    <t>Sample 2406m: 10% siltstone. 90% very fine to fine aggs (rare fine to coarse loose) sandstone. TG: 584U. 90% mod bri fluor.</t>
  </si>
  <si>
    <t>Sample 2409m: 5% siltstone. 95% very fine to fine aggs (rare fine to coarse loose) sandstone. TG: 540U. 90% mod bri-dll fluor.</t>
  </si>
  <si>
    <t>Sample 2412m: 5% siltstone. 95% very fine to fine aggs (trace fine to medium loose) sandstone. TG: 620U. 90% mod bri-dll fluor.</t>
  </si>
  <si>
    <t>Sample 2415m: 5% siltstone. 95% very fine to fine aggs (minor fine to medium loose) sandstone. TG: 728U. 100% mod bri fluor.</t>
  </si>
  <si>
    <t>Sample 2420m: 5% siltstone. 95% very fine to fine aggs (minor fine to medium loose) sandstone. TG: 847U. 100% mod bri fluor.</t>
  </si>
  <si>
    <t>Sample 2430m: 10% siltstone. 90% very fine to fine aggregated (rare loose fine) sandstone. TG: 694U. 100% mod bri fluor.</t>
  </si>
  <si>
    <t>Sample 2425m: 5% siltstone. 95% very fine to fine aggs  sandstone. TG: 796U. 100% mod bri fluor.</t>
  </si>
  <si>
    <t>Sample 2435m: 15% siltstone. 85% very fine to fine aggregated (rare loose fine) sandstone. TG: 756U. 100% mod bri fluor.</t>
  </si>
  <si>
    <t>Sample 2440m: 15% siltstone. 85% very fine to fine aggregated (rare loose fine) sandstone. TG: 684U. 90% mod bri fluor.</t>
  </si>
  <si>
    <t>Sample 2445m: 10% siltstone. 90% very fine to fine aggregated (minor loose fine) sandstone. TG: 869U. 90% mod bri fluor.</t>
  </si>
  <si>
    <t>Sample 2450m: 15% siltstone. 85% very fine to fine aggregated (minor loose fine) sandstone. TG: 861U. 95% mod bri fluor.</t>
  </si>
  <si>
    <t>Sample 2455m: 10% siltstone. 90% very fine to fine aggregated (minor loose fine) sandstone. TG: 1221U. 95% mod bri fluor.</t>
  </si>
  <si>
    <t>Sample 2465m: 10% siltstone. 90% very fine to fine aggregated (minor loose fine) sandstone. TG: 726U. 90% mod bri fluor.</t>
  </si>
  <si>
    <t>Sample 2470m: 10% siltstone. 90% very fine to fine aggregated (minor loose fine) sandstone. TG: 743U. 90% mod bri - bri fluor.</t>
  </si>
  <si>
    <t>Sample 2475m: 5% siltstone. 95% very fine to fine aggregated (trace to minor loose fine) sandstone. TG: 827U. 85% mod bri fluor.</t>
  </si>
  <si>
    <t>Sample 2480m: 5% siltstone. 95% very fine to fine aggregated (trace to minor loose fine) sandstone. TG: 685U. 80% mod bri fluor.</t>
  </si>
  <si>
    <t>Sample 2485m: 5% siltstone. 95% very fine to fine aggregated (trace to minor loose fine) sandstone. TG: 675U. 80% mod bri fluor.</t>
  </si>
  <si>
    <t>Sample 2490m: 5% siltstone. 95% very fine to fine aggregated (occasional to common medium-coarse loose) sandstone. TG: 960U. 90% mod bri fluor.</t>
  </si>
  <si>
    <t>Sample 2495m: 100% very fine to fine aggregated (common medium-coarse loose) sandstone. TG: 1118U. 100% bri fluor.</t>
  </si>
  <si>
    <t>Sample 2500m: 100% very fine to fine aggregated (common medium-coarse loose) sandstone. TG: 1190U. 100% bri fluor.</t>
  </si>
  <si>
    <t>Sample 2502m: 5% siltstone. 95% very fine to fine aggregated (predominantly medium-coarse loose) sandstone. TG: 700U. 100% bri fluor.</t>
  </si>
  <si>
    <t>Sample 2505m 100% very fine to fine (100% loose) sandstone. TG: 763U. 100% bri fluor.</t>
  </si>
  <si>
    <t>Sample 2508m 5% siltstone, 95% very fine to coarse, predominantly medium (100% loose) sandstone. TG: 725U. 100% bri fluor.</t>
  </si>
  <si>
    <t>Sample 2511m 40% siltstone, 60% very fine to coarse, predominantly medium (common loose) sandstone. TG: 554U. 50% bri fluor.</t>
  </si>
  <si>
    <t>Sample 2514m 60% siltstone, 40% very fine to coarse, predominantly medium (occasionally  loose) sandstone. TG: 500U. 30% bri fluor</t>
  </si>
  <si>
    <t>Sample 2520m: 60% siltstone, 40% very fine to coarse, predominantly medium (occasionally loose) sandstone. TG: 480U. 20% mod bri-dll fluor.</t>
  </si>
  <si>
    <t>Sample 2525m: 55% siltstone, 45% very fine aggregates (common coarse loose) sandstone. TG: 670U. 40% mod bri-dll fluor.</t>
  </si>
  <si>
    <t>Sample 2530m: 40% siltstone, 60% very fine aggregates (common coarse loose) sandstone. TG: 715U. 40% mod bri-dll fluor.</t>
  </si>
  <si>
    <t>Sample 2532m: 20% siltstone, 80% very fine aggregates (predominantly coarse loose) sandstone. TG: 623U. 85% mod bri fluor.</t>
  </si>
  <si>
    <t>Sample 2535m: 20% siltstone, 80% very fine aggregates (predominantly coarse loose) sandstone. TG: 620U. 85% mod bri fluor.</t>
  </si>
  <si>
    <t>Sample 2460m: 10% siltstone. 90% very fine to fine aggregated (minor loose fine) sandstone. TG:1200U. 100% bri fluor.</t>
  </si>
  <si>
    <t>Sample 2394m: 5% siltstone. 95% very fine to fine aggs (com fine to medium, trace coarse loose) sandstone. TG: 641U. 100% mod bri-bri fluor.</t>
  </si>
  <si>
    <t>Sample 2538m: 10% siltstone, 90% very fine aggregates (predominantly coarse loose) sandstone. TG: 618U. 100% mod bri fluor.</t>
  </si>
  <si>
    <t>direct fluor look nice. The cut fluor isn't as impressive. Thin dull flm res</t>
  </si>
  <si>
    <t>Sample 2541m: 10% siltstone, 90% very fine aggregates (predominantly coarse loose) sandstone. TG: 615U. 100% mod bri fluor.</t>
  </si>
  <si>
    <t>Sample 2545m: 10% siltstone, 90% very fine to fine aggregates (occasionally coarse loose) sandstone. TG: 1070U. 100% bri fluor.</t>
  </si>
  <si>
    <t>the sands are a lot more aggregated, i suspect we will get good quality fluor cut</t>
  </si>
  <si>
    <t>Sample 2550m: 5% siltstone, 95% very fine to fine aggregates (occasionally coarse loose) sandstone. TG: 1080U. 100% bri fluor.</t>
  </si>
  <si>
    <t>Sample 2555m: 5% siltstone, 95% very fine to fine aggregates (common coarse loose) sandstone. TG: 1026U. 100% bri fluor.</t>
  </si>
  <si>
    <t>Sample 2560m: 5% siltstone, 95% very fine aggregates (minor medium loose) sandstone. TG: 710U. 90% bri fluor.</t>
  </si>
  <si>
    <t>sandstone occasionally grading to aren siltstone</t>
  </si>
  <si>
    <t>Sample 2565m: 5% siltstone, 95% very fine aggregates (minor medium loose) sandstone. TG: 810U. 90% bri fluor.</t>
  </si>
  <si>
    <t>Sample 2570m: 5% siltstone, 95% very fine aggregates (trace medium to coarse loose) sandstone. TG: 635U. 90% mod bri fluor.</t>
  </si>
  <si>
    <t>Sample 2575m: 10% siltstone, 90% very fine to fine sandstone. TG: 590U. 80% mod bri fluor.</t>
  </si>
  <si>
    <t>Sample 2580m: 10% siltstone, 90% very fine to fine sandstone. TG: 650U. 85% mod bri fluor</t>
  </si>
  <si>
    <t>Sample 2590m: 15% siltstone, 85% very fine sandstone. TG: 933U. 100% mod bri fluor.</t>
  </si>
  <si>
    <t>Sample 2585m: 10% siltstone, 90% very fine sandstone. TG: 667U. 90% mod bri fluor.</t>
  </si>
  <si>
    <t>Sample 2595m: 10% siltstone, 90% very fine to fine sandstone. TG: 850U. 100% mod bri fluor.</t>
  </si>
  <si>
    <t>last samples has some very nice aggregates</t>
  </si>
  <si>
    <t>Sample 2600m: 10% siltstone, 90% very fine to fine aggregates (common medium to coarse loose) sandstone. TG: 900U. 100% mod bri fluor.</t>
  </si>
  <si>
    <t>Sample 2605m: 100% very fine to fine aggregates (predominantly medium to coarse loose) sandstone. TG: 937U. 100% mod bri fluor.</t>
  </si>
  <si>
    <t>Sample 2610m: 100% very fine to fine aggregates (predominantly medium to coarse loose) sandstone. TG: 1086U. 100% bri fluor.</t>
  </si>
  <si>
    <t>Sample 2615m: 5% siltstone. 95% very fine to fine aggregates (abundant medium to coarse loose) sandstone. TG: 1124U. 100% bri fluor.</t>
  </si>
  <si>
    <t>Sample 2620m: 5% siltstone. 95% very fine to fine aggregates (common medium to coarse loose) sandstone. TG: 1247U. 100% bri fluor.</t>
  </si>
  <si>
    <t>Sample 2625m: 5% siltstone. 95% very fine to fine aggregates (occasional medium to coarse loose) sandstone. TG: 1250U. 100% bri fluor.</t>
  </si>
  <si>
    <t>large amount of MagOx seen in the last coupe of samples</t>
  </si>
  <si>
    <t>Sample 2630m: 5% siltstone. 95% very fine to fine aggregates (common medium to coarse loose) sandstone. TG: 908U. 100% bri fluor.</t>
  </si>
  <si>
    <t>Sample 2635m: 50% siltstone. 50% very fine to fine aggregates (rare medium loose) sandstone. TG: 936U. 80% bri-mod bri fluor.</t>
  </si>
  <si>
    <t>Sample 2640m: 10% siltstone. 90% pred med-crs loose grains (very fine to fine aggregates) sandstone. TG: 1127U. 100% bri fluor.</t>
  </si>
  <si>
    <t>Sample 2645m: 15% siltstone. 85% very fine to fine aggregates (common medium to coarse loose) sandstone. TG: 982U. 90% bri fluor.</t>
  </si>
  <si>
    <t>Sample 2650m: 10% siltstone. 90% pred med-crs loose grains (very fine to fine aggregates) sandstone. TG: 853U. 100% mod bri fluor.</t>
  </si>
  <si>
    <t>Sample 2655m: 10% siltstone. 90% very fine to fine aggregates (common medium to coarse loose) sandstone. TG: 922U. 100% bri fluor.</t>
  </si>
  <si>
    <t>Sample 2660m: 5% siltstone. 95% very fine to fine aggregates (minor medium to coarse loose) sandstone. TG: 796U. 80% mod bri-dllfluor.</t>
  </si>
  <si>
    <t>Sample fined a bit there. Gas and fluor a bit down.</t>
  </si>
  <si>
    <t>Sample 2665m: 10% siltstone. 90% very fine to fine aggregates (common medium to coarse loose) sandstone. TG: 622U. 90% mod bri fluor.</t>
  </si>
  <si>
    <t>Sample 2670m: 5% siltstone. 95% very fine to fine aggregates (minor fine to medium loose) sandstone. TG: 566U. 75% mod bri-dll fluor.</t>
  </si>
  <si>
    <t>Sample 2675m: 10% siltstone. 90% very fine to fine aggregates (trace fine loose) sandstone. TG: 715U. 90% mod bri fluor.</t>
  </si>
  <si>
    <t>Sample 2680m: 5% siltstone. 95% very fine to fine aggregates (rare fine to coarse loose) sandstone. TG: 1010U. 100% mod bri fluor.</t>
  </si>
  <si>
    <t>Sample 2685m: 5% siltstone. 95% fine to medium loose (very fine to fine aggregates) sandstone. TG: 1030U. 100% mod bri fluor.</t>
  </si>
  <si>
    <t>Sample 2690: 15% siltstone. 85% very fine to fine aggregates (com fine to coarse loose) sandstone. TG: 1430U. 100% mod bri-bri fluor.</t>
  </si>
  <si>
    <t>Sample 2695: 30% siltstone. 70% very fine to fine aggregates (com fine to coarse loose) sandstone. TG: 673U. 80% mod bri-dll fluor.</t>
  </si>
  <si>
    <t>Gas and fluorescence took a hit then. Siltstone up also. Still looks like McKinlay. Plenty of loose quartz grains (fine to coarse). Not interlaminated with siltstone yet</t>
  </si>
  <si>
    <t>Sample 2700m: 50% siltstone. 50% very fine to fine aggregates (com medium to coarse loose) sandstone. TG: 484U. 50% dll-mod bri fluor.</t>
  </si>
  <si>
    <t>Getter duller/less gas more silt</t>
  </si>
  <si>
    <t>Sample 2703m: 55% siltstone. 55% very fine to fine aggregates (com medium to coarse loose) sandstone. TG: 496U. 20% dll-mod bri fluor.</t>
  </si>
  <si>
    <t>Some strongly cemented /sideritic siltsone &amp; very fine sandstone in that one. Looks like top roof of McKinlay (along with loose medium to coarse quartz grains).</t>
  </si>
  <si>
    <t>Sample 2709m: 50% siltstone. 50% very fine to fine aggregates g/t siltstone in part (com medium to coarse loose) sandstone. TG: 496U. 30% dll-mod bri fluor.</t>
  </si>
  <si>
    <t>Sample 2706m: 45% siltstone. 55% very fine to fine aggregates (com medium to coarse loose) sandstone. TG: 492U. 20% dll-mod bri fluor.</t>
  </si>
  <si>
    <t>Sample 2712m: 45% siltstone. 55% very fine to fine aggregates (mnr fine to coarse, trace very coarse loose) sandstone. TG: 485U. 40% dll-mod bri fluor.</t>
  </si>
  <si>
    <t>Sample 2715m: 45% siltstone. 55% very fine to fine aggregates (minor medium to coarse, trace very coarse loose) sandstone. TG: 470U. 45% dll-mod bri fluor.</t>
  </si>
  <si>
    <t>Sample 2720m: 50% siltstone. 50% very fine to fine aggregates (minor medium to very coarse loose) sandstone. TG: 452U. 40% dll-mod bri fluor.</t>
  </si>
  <si>
    <t>My thoughts are that there is too much medium to coarse loose grains in there for Murta. Murta is usually vf-f, with trace medium and interlaminated very fine sand with siltstone.</t>
  </si>
  <si>
    <t>Sample 2725m: 60% siltstone. 40% very fine to fine aggregates g/t SLTST (rare medium to very coarse loose) sandstone. TG: 450U. 25% dll-mod bri fluor.</t>
  </si>
  <si>
    <t>That sample was predominantly very fine and grading to arenaceous Siltstone. Quite a few interlaminations.</t>
  </si>
  <si>
    <t>Sample 2730m: 65% siltstone. 35% very fine to fine aggregates g/t SLTST (trace medium loose) sandstone. TG: 397U. trace dll fluor.</t>
  </si>
  <si>
    <t>Fluorescence has just about disappeared in that last sample. Sand is mostly very fine and g/t siltstone,. There is some harder sandstone, which is well cemented/sideritic.</t>
  </si>
  <si>
    <t>Sample 2735m: 60% siltstone. 40% very fine to fine aggregates g/t SLTST (minor fine to coarse loose) sandstone. TG: 379U. trace dll fluor.</t>
  </si>
  <si>
    <t>Sample 2739m: 65% siltstone. 35% very fine to fine aggregates g/t SLTST (trace medium to very coarse loose) sandstone. TG: 363U. trace dll-mod bri fluor.</t>
  </si>
  <si>
    <t>Sample 2742m: 65% siltstone. 35% very fine to fine aggregates g/t SLTST (trace medium to very coarse loose) sandstone. TG: 384U. trace dll-mod bri fluor.</t>
  </si>
  <si>
    <t>Sample 2745m: 60% siltstone. 40% very fine to fine aggregates g/t SLTST (trace medium to very coarse loose) sandstone. TG: 367U. trace dll-mod bri fluor.</t>
  </si>
  <si>
    <t>Sample 2750m: 45% siltstone. 55% very fine to fine aggregates g/t SLTST (trace medium to coarse loose) sandstone. TG: 550U. 10% dll-mod bri fluor.</t>
  </si>
  <si>
    <t>Sample 2755m: 15% siltstone. 85% very fine to fine aggs, com medium to coarse loose sandstone. TG: 870U. 75% mod bri-dll fluor.</t>
  </si>
  <si>
    <t>Sample 2765m: 5% siltstone. 95% very fine to fine aggs, com fine to coarse loose sandstone. TG: 992U. 100% mod bri-bri fluor.</t>
  </si>
  <si>
    <t>Sample 2760m: 10% siltstone. 90% very fine to fine aggs, com fine to very coarse loose sandstone. TG: 883U. 100% mod bri fluor.</t>
  </si>
  <si>
    <t>Sample 2770m: 5% siltstone. 95% very fine to fine aggs, com fine to medium loose sandstone. TG: 1001U. 100% mod bri fluor.</t>
  </si>
  <si>
    <t>Sample 2775m: 15% siltstone. 85% very fine to fine aggs, com fine to coarse loose sandstone. TG: 937U. 100% mod bri fluor.</t>
  </si>
  <si>
    <t>Sample 2780m: 25% siltstone. 75% very fine to fine aggs, com fine to coarse loose sandstone. TG: 458U. 50% mod bri-dll fluor.</t>
  </si>
  <si>
    <t>Sample 2785m: 25% siltstone. 75% very fine to fine aggs, minor fine to medum loose sandstone. TG: 542U. 55% mod bri fluor.</t>
  </si>
  <si>
    <t>Sample 2790m: 20% siltstone. 80% very fine to fine aggs, rare fine to medum loose sandstone. TG: 684U. 60% mod bri fluor.</t>
  </si>
  <si>
    <t>Sample 2795m: 15% siltstone. 85% very fine to fine aggs, rare fine &amp; trace med-crs loose sandstone. TG: 780U. 75% mod bri fluor.</t>
  </si>
  <si>
    <t>Sample 2810m: 5% siltstone. 95% very fine to fine aggs, mnr fine loose sandstone. TG: 725U. 100% mod bri fluor.</t>
  </si>
  <si>
    <t>Sample 2805m: 5% siltstone. 95% very fine to fine aggs, mnr fine loose sandstone. TG: 1354U. 100% mod bri-BRI fluor.</t>
  </si>
  <si>
    <t>Sample 2800m: 10% siltstone. 90% very fine to fine aggs, mnr fine to medium loose sandstone. TG: 1214U. 100% mod bri fluor.</t>
  </si>
  <si>
    <t>Sample 2815m: 5% siltstone. 95% very fine to fine aggs, mnr fine &amp; trace med-crs loose sandstone. TG: 731U. 100% mod bri fluor.</t>
  </si>
  <si>
    <t>Sample 2825m: 5% siltstone. 95% very fine to fine aggs, mnr fine loose sandstone. TG: 810U. 100% mod bri fluor.</t>
  </si>
  <si>
    <t>Sample 2820m: 5% siltstone. 95% very fine to fine aggs, mnr fine loose sandstone. TG: 971U. 100% mod bri fluor.</t>
  </si>
  <si>
    <t>Sample 2830m: 5% siltstone. 95% very fine to fine aggs, com fine-med loose sandstone. TG: 847U. 100% mod bri fluor.</t>
  </si>
  <si>
    <t>Sample 2835m: 100% very fine to fine aggs, rare fine to very fine-loose sandstone. TG: 850U. 100% mod bri fluor.</t>
  </si>
  <si>
    <t>Sample 2840m: 100% very fine to fine aggs, minor fine to very fine-loose sandstone. TG: 724U. 100% mod bri fluor.</t>
  </si>
  <si>
    <t>Sample 2845m: 100% very fine to fine aggs, minor fine loose sandstone. TG: 705U. 100% mod bri fluor.</t>
  </si>
  <si>
    <t>Sample 2850m: 10% Siltstone, 90% very fine to fine aggs, rare fine loose sandstone. TG: 555U. 100% mod bri fluor.</t>
  </si>
  <si>
    <t>Sample 2855m: 10% Siltstone, 90% very fine to fine aggs, occasional fine loose sandstone. TG: 561U. 100% mod bri fluor.</t>
  </si>
  <si>
    <t>Sample 2860m: 10% Siltstone, 90% very fine to fine aggs, occasional fine loose sandstone. TG: 655U. 100% mod bri fluor.</t>
  </si>
  <si>
    <t>Sample 2865m: 10% Siltstone, 90% very fine aggs, occasional fine loose sandstone. TG: 612U. 90% mod bri fluor.</t>
  </si>
  <si>
    <t>Sample 2870m: 15% Siltstone, 85% very fine aggs, occasional fine loose sandstone. TG: 410U. 80% mod bri fluor.</t>
  </si>
  <si>
    <t>Sample 2875m: 15% Siltstone, 85% very fine aggs, minor fine loose sandstone. TG: 360U. 85% mod bri fluor.</t>
  </si>
  <si>
    <t>Sample 2880m: 15% Siltstone, 85% very fine to fine aggs, minor fine loose sandstone. TG: 430U. 100% bri fluor.</t>
  </si>
  <si>
    <t>Sample 2885m 10% Siltstone 90% very fine to fine aggs, minor fine loose sandstone. TG: 400U. 100% bri fluor.</t>
  </si>
  <si>
    <t>Sample 2890m 10% Siltstone 90% very fine to fine aggs, minor to occasional fine to medium loose sandstone. TG: 375U. 100% bri fluor.</t>
  </si>
  <si>
    <t>Sample 2900m 5% Siltstone. 95% very fine aggs, abundant very fine loose sandstone. TG: 860U. 100% bri fluor.</t>
  </si>
  <si>
    <t>Sample 2905m 100% very fine aggs, abundant very fine loose sandstone. TG: 767U. 100% bri fluor.</t>
  </si>
  <si>
    <t>Sample 2910m 100% very fine aggs, occasional very fine loose sandstone. TG: 720U. 100% bri fluor.</t>
  </si>
  <si>
    <t>Sample 2915m 100% very fine aggs, occasional very fine loose sandstone. TG: 667U. 100% bri fluor.</t>
  </si>
  <si>
    <t>Sample 2920m 100% very fine aggs, occasional very fine loose sandstone. TG: 540U. 100% bri fluor.</t>
  </si>
  <si>
    <t>Sample 2935m 100% very fine aggs, occasional to common very fine to rare medium loose sandstone. TG: 928U. 100% bri fluor.</t>
  </si>
  <si>
    <t>Sample 2895m 5% Siltstone 100% very fine to fine aggs, abundant very fine loose sandstone. TG: 640U. 100% bri fluor.</t>
  </si>
  <si>
    <t>Sample 2925m 5% Siltstone. 95% very fine aggs, occasional to common very fine loose sandstone. TG: 480U. 100% bri fluor.</t>
  </si>
  <si>
    <t>Sample 2930m 5% Siltstone. 95% very fine aggs, occasional to common very fine loose sandstone. TG: 920U. 100% bri fluor.</t>
  </si>
  <si>
    <t>Sample 2940m 100% very fine aggs, occasional to common very fine to rare medium loose sandstone. TG: 1035U. 100% bri fluor.</t>
  </si>
  <si>
    <t>Sample 2945m 100% very fine aggs, occasional to common very fine to rare coarse loose sandstone. TG: 915U. 100% bri fluor.</t>
  </si>
  <si>
    <t>Sample 2950m 100% very fine aggs, occasional to common very fine to rare coarse loose sandstone. TG: 920U. 100% bri fluor.</t>
  </si>
  <si>
    <t>Sample 2955m 100% very fine aggs, common very fine to rare medium loose sandstone. TG: 1186U. 100% bri fluor.</t>
  </si>
  <si>
    <t>Sample 2960m 100% very fine aggs, common very fine to rare medium loose sandstone. TG: 1075U. 100% bri fluor.</t>
  </si>
  <si>
    <t>Sample 2965m 10% Siltstone. 90% very fine to fine aggs, common very fine to medium loose sandstone. TG: 915U. 100% bri fluor.</t>
  </si>
  <si>
    <t>Sample 2970m 5% Siltstone. 95% very fine to fine aggs, common medium to coarse loose sandstone. TG: 996U. 100% bri fluor.</t>
  </si>
  <si>
    <t>Sample 2975m 5% Siltstone. 95% very fine to fine aggs, common medium to coarse loose sandstone. TG: 927U. 100% bri fluor.</t>
  </si>
  <si>
    <t>Sample 2980m 100% very fine to fine aggs, common to occasionally medium to coarse loose sandstone. TG: 910U. 100% bri fluor.</t>
  </si>
  <si>
    <t>Sample 2985m 100% very fine to fine aggs, common medium to coarse loose sandstone. TG: 1080U. 100% bri fluor.</t>
  </si>
  <si>
    <t>Sample 2990m 100% very fine to fine aggs, occasional to common medium to coarse loose sandstone. TG: 1064U. 100% bri fluor.</t>
  </si>
  <si>
    <t>Sample 2995m 100% very fine to fine aggs, occasional medium loose sandstone. TG: 772U. 100% bri fluor.</t>
  </si>
  <si>
    <t>Sample 3000m: 5% Siltstone. 95% very fine to fine aggs, occasional medium loose sandstone. TG: 690U. 100% bri fluor.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</si>
</sst>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;@"/>
    <numFmt numFmtId="165" formatCode="[$-409]h:mm:ss\ AM/PM;@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sz val="11"/>
      <color rgb="FF000000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/>
    <xf numFmtId="1" fontId="0" fillId="0" borderId="2" xfId="1" applyNumberFormat="1" applyFont="1" applyBorder="1"/>
    <xf numFmtId="9" fontId="0" fillId="0" borderId="2" xfId="1" applyFont="1" applyBorder="1"/>
    <xf numFmtId="9" fontId="0" fillId="0" borderId="2" xfId="0" applyNumberFormat="1" applyBorder="1"/>
    <xf numFmtId="0" fontId="2" fillId="0" borderId="2" xfId="0" applyFont="1" applyBorder="1"/>
    <xf numFmtId="0" fontId="0" fillId="0" borderId="2" xfId="0" applyBorder="1" applyAlignment="1">
      <alignment horizontal="center"/>
    </xf>
    <xf numFmtId="1" fontId="0" fillId="0" borderId="2" xfId="0" applyNumberFormat="1" applyBorder="1"/>
    <xf numFmtId="0" fontId="2" fillId="0" borderId="2" xfId="0" applyFont="1" applyBorder="1" applyAlignment="1">
      <alignment vertical="center" wrapText="1"/>
    </xf>
    <xf numFmtId="9" fontId="0" fillId="0" borderId="2" xfId="1" applyNumberFormat="1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9" fontId="2" fillId="0" borderId="2" xfId="0" applyNumberFormat="1" applyFont="1" applyBorder="1" applyAlignment="1">
      <alignment vertical="center" wrapText="1"/>
    </xf>
    <xf numFmtId="0" fontId="3" fillId="0" borderId="0" xfId="0" applyFont="1"/>
    <xf numFmtId="0" fontId="2" fillId="2" borderId="2" xfId="0" applyFont="1" applyFill="1" applyBorder="1"/>
    <xf numFmtId="164" fontId="0" fillId="2" borderId="2" xfId="0" applyNumberFormat="1" applyFill="1" applyBorder="1"/>
    <xf numFmtId="165" fontId="0" fillId="2" borderId="2" xfId="0" applyNumberFormat="1" applyFill="1" applyBorder="1"/>
    <xf numFmtId="0" fontId="0" fillId="2" borderId="2" xfId="0" applyFill="1" applyBorder="1"/>
    <xf numFmtId="9" fontId="0" fillId="2" borderId="2" xfId="0" applyNumberFormat="1" applyFill="1" applyBorder="1"/>
    <xf numFmtId="1" fontId="0" fillId="2" borderId="2" xfId="1" applyNumberFormat="1" applyFont="1" applyFill="1" applyBorder="1"/>
    <xf numFmtId="9" fontId="0" fillId="2" borderId="2" xfId="1" applyFont="1" applyFill="1" applyBorder="1"/>
    <xf numFmtId="0" fontId="0" fillId="2" borderId="0" xfId="0" applyFill="1" applyBorder="1"/>
    <xf numFmtId="0" fontId="0" fillId="2" borderId="0" xfId="0" applyFill="1"/>
    <xf numFmtId="0" fontId="2" fillId="3" borderId="2" xfId="0" applyFont="1" applyFill="1" applyBorder="1"/>
    <xf numFmtId="164" fontId="0" fillId="3" borderId="2" xfId="0" applyNumberFormat="1" applyFill="1" applyBorder="1"/>
    <xf numFmtId="165" fontId="0" fillId="3" borderId="2" xfId="0" applyNumberFormat="1" applyFill="1" applyBorder="1"/>
    <xf numFmtId="0" fontId="0" fillId="3" borderId="2" xfId="0" applyFill="1" applyBorder="1"/>
    <xf numFmtId="9" fontId="0" fillId="3" borderId="2" xfId="0" applyNumberFormat="1" applyFill="1" applyBorder="1"/>
    <xf numFmtId="1" fontId="0" fillId="3" borderId="2" xfId="1" applyNumberFormat="1" applyFont="1" applyFill="1" applyBorder="1"/>
    <xf numFmtId="9" fontId="0" fillId="3" borderId="2" xfId="1" applyFont="1" applyFill="1" applyBorder="1"/>
    <xf numFmtId="0" fontId="0" fillId="3" borderId="0" xfId="0" applyFill="1" applyBorder="1"/>
    <xf numFmtId="0" fontId="0" fillId="3" borderId="0" xfId="0" applyFill="1"/>
    <xf numFmtId="2" fontId="0" fillId="0" borderId="0" xfId="0" applyNumberFormat="1"/>
    <xf numFmtId="164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8"/>
  <sheetViews>
    <sheetView tabSelected="1" topLeftCell="B1" zoomScale="90" zoomScaleNormal="90" workbookViewId="0">
      <pane ySplit="4" topLeftCell="A5" activePane="bottomLeft" state="frozen"/>
      <selection pane="bottomLeft" activeCell="S11" sqref="S11"/>
    </sheetView>
  </sheetViews>
  <sheetFormatPr defaultRowHeight="16.5" x14ac:dyDescent="0.3"/>
  <cols>
    <col min="1" max="1" width="161.28515625" style="10" bestFit="1" customWidth="1"/>
    <col min="2" max="2" width="9.85546875" style="4" bestFit="1" customWidth="1"/>
    <col min="3" max="3" width="11.85546875" style="5" bestFit="1" customWidth="1"/>
    <col min="4" max="4" width="5.7109375" style="6" bestFit="1" customWidth="1"/>
    <col min="5" max="5" width="10" style="9" bestFit="1" customWidth="1"/>
    <col min="6" max="6" width="9.140625" style="7"/>
    <col min="7" max="7" width="9.140625" style="8"/>
    <col min="8" max="8" width="10.42578125" style="9" bestFit="1" customWidth="1"/>
    <col min="9" max="13" width="9.140625" style="6"/>
    <col min="14" max="14" width="9.140625" style="16"/>
  </cols>
  <sheetData>
    <row r="1" spans="1:19" x14ac:dyDescent="0.3">
      <c r="G1" s="8" t="s">
        <v>0</v>
      </c>
      <c r="H1" s="14" t="s">
        <v>0</v>
      </c>
      <c r="J1" s="11" t="s">
        <v>1</v>
      </c>
      <c r="K1" s="11"/>
      <c r="L1" s="11" t="s">
        <v>2</v>
      </c>
      <c r="M1" s="11"/>
      <c r="N1" s="15"/>
      <c r="P1" t="s">
        <v>3</v>
      </c>
      <c r="R1" t="s">
        <v>4</v>
      </c>
    </row>
    <row r="2" spans="1:19" ht="12.75" x14ac:dyDescent="0.2">
      <c r="A2" s="39" t="s">
        <v>5</v>
      </c>
      <c r="B2" s="39"/>
      <c r="C2" s="39"/>
      <c r="D2" s="39"/>
      <c r="E2" s="39"/>
      <c r="F2" s="39"/>
      <c r="G2" s="8">
        <v>0.75</v>
      </c>
      <c r="H2" s="14">
        <v>0.8</v>
      </c>
      <c r="J2" s="6" t="s">
        <v>6</v>
      </c>
      <c r="K2" s="6" t="s">
        <v>7</v>
      </c>
      <c r="L2" s="6" t="s">
        <v>6</v>
      </c>
      <c r="M2" s="6" t="s">
        <v>7</v>
      </c>
      <c r="P2" s="1">
        <v>1631.7</v>
      </c>
      <c r="R2" s="2">
        <f>K3/$P$4</f>
        <v>0.67650652076150519</v>
      </c>
    </row>
    <row r="3" spans="1:19" ht="12.75" x14ac:dyDescent="0.2">
      <c r="A3" s="39" t="s">
        <v>8</v>
      </c>
      <c r="B3" s="39"/>
      <c r="C3" s="39"/>
      <c r="D3" s="39"/>
      <c r="E3" s="39"/>
      <c r="F3" s="39"/>
      <c r="G3" s="8">
        <v>0.55000000000000004</v>
      </c>
      <c r="H3" s="14">
        <v>0.01</v>
      </c>
      <c r="J3" s="6">
        <f>SUM(J5:J298)</f>
        <v>986</v>
      </c>
      <c r="K3" s="6">
        <f>SUM(K5:K298)</f>
        <v>902.59500000000025</v>
      </c>
      <c r="L3" s="6">
        <f>SUM(L5:L298)</f>
        <v>1088</v>
      </c>
      <c r="M3" s="6">
        <f>SUM(M5:M298)</f>
        <v>973.5450000000003</v>
      </c>
      <c r="P3" t="s">
        <v>9</v>
      </c>
      <c r="R3" t="s">
        <v>10</v>
      </c>
    </row>
    <row r="4" spans="1:19" x14ac:dyDescent="0.3">
      <c r="A4" s="10" t="s">
        <v>11</v>
      </c>
      <c r="B4" s="4" t="s">
        <v>12</v>
      </c>
      <c r="C4" s="5" t="s">
        <v>13</v>
      </c>
      <c r="E4" s="9" t="s">
        <v>14</v>
      </c>
      <c r="F4" s="12" t="s">
        <v>15</v>
      </c>
      <c r="G4" s="8" t="s">
        <v>16</v>
      </c>
      <c r="H4" s="14" t="s">
        <v>17</v>
      </c>
      <c r="I4" s="6" t="s">
        <v>18</v>
      </c>
      <c r="J4" s="6" t="s">
        <v>19</v>
      </c>
      <c r="L4" s="6" t="s">
        <v>19</v>
      </c>
      <c r="P4" s="3">
        <v>1334.2</v>
      </c>
      <c r="R4" s="2">
        <f>M3/$P$4</f>
        <v>0.72968445510418245</v>
      </c>
    </row>
    <row r="5" spans="1:19" x14ac:dyDescent="0.2">
      <c r="A5" s="13" t="s">
        <v>20</v>
      </c>
      <c r="B5" s="4">
        <v>44427</v>
      </c>
      <c r="C5" s="5">
        <v>0.21944444444444444</v>
      </c>
      <c r="D5" s="13">
        <v>1551</v>
      </c>
      <c r="E5" s="17">
        <v>0.8</v>
      </c>
      <c r="F5" s="12">
        <v>9</v>
      </c>
      <c r="G5" s="8">
        <v>0.2</v>
      </c>
      <c r="H5" s="14">
        <v>0</v>
      </c>
      <c r="I5" s="6">
        <v>0</v>
      </c>
      <c r="J5" s="6">
        <f>IF(AND(G5&gt;=$G$2,H5&gt;=$H$2),I5,0)</f>
        <v>0</v>
      </c>
      <c r="K5" s="6">
        <f>IF(J5&gt;0,J5*G5,0)</f>
        <v>0</v>
      </c>
      <c r="L5" s="6">
        <f>IF(AND(G5&gt;=$G$3,H5&gt;=$H$3),I5,0)</f>
        <v>0</v>
      </c>
      <c r="M5" s="6">
        <f>IF(L5&gt;0,L5*G5,0)</f>
        <v>0</v>
      </c>
    </row>
    <row r="6" spans="1:19" x14ac:dyDescent="0.2">
      <c r="A6" s="13" t="s">
        <v>21</v>
      </c>
      <c r="B6" s="4">
        <v>44427</v>
      </c>
      <c r="C6" s="5">
        <v>0.22430555555555556</v>
      </c>
      <c r="D6" s="13">
        <v>1554</v>
      </c>
      <c r="E6" s="17">
        <v>0.7</v>
      </c>
      <c r="F6" s="12">
        <v>10</v>
      </c>
      <c r="G6" s="8">
        <v>0.3</v>
      </c>
      <c r="H6" s="14">
        <v>0</v>
      </c>
      <c r="I6" s="6">
        <f t="shared" ref="I6:I68" si="0">IF(D6&lt;&gt;"",D6-D5,"")</f>
        <v>3</v>
      </c>
      <c r="J6" s="6">
        <f t="shared" ref="J6:J67" si="1">IF(AND(G6&gt;=$G$2,H6&gt;=$H$2),I6,0)</f>
        <v>0</v>
      </c>
      <c r="K6" s="6">
        <f t="shared" ref="K6:K69" si="2">IF(J6&gt;0,J6*G6,0)</f>
        <v>0</v>
      </c>
      <c r="L6" s="6">
        <f t="shared" ref="L6:L68" si="3">IF(AND(G6&gt;=$G$3,H6&gt;=$H$3),I6,0)</f>
        <v>0</v>
      </c>
      <c r="M6" s="6">
        <f t="shared" ref="M6:M69" si="4">IF(L6&gt;0,L6*G6,0)</f>
        <v>0</v>
      </c>
    </row>
    <row r="7" spans="1:19" x14ac:dyDescent="0.2">
      <c r="A7" s="13" t="s">
        <v>22</v>
      </c>
      <c r="B7" s="4">
        <v>44427</v>
      </c>
      <c r="C7" s="5">
        <v>0.23124999999999998</v>
      </c>
      <c r="D7" s="13">
        <v>1557</v>
      </c>
      <c r="E7" s="17">
        <v>0.8</v>
      </c>
      <c r="F7" s="12">
        <v>10</v>
      </c>
      <c r="G7" s="8">
        <v>0.2</v>
      </c>
      <c r="H7" s="14">
        <v>0</v>
      </c>
      <c r="I7" s="6">
        <f t="shared" si="0"/>
        <v>3</v>
      </c>
      <c r="J7" s="6">
        <f t="shared" si="1"/>
        <v>0</v>
      </c>
      <c r="K7" s="6">
        <f t="shared" si="2"/>
        <v>0</v>
      </c>
      <c r="L7" s="6">
        <f t="shared" si="3"/>
        <v>0</v>
      </c>
      <c r="M7" s="6">
        <f t="shared" si="4"/>
        <v>0</v>
      </c>
    </row>
    <row r="8" spans="1:19" x14ac:dyDescent="0.3">
      <c r="A8" s="10" t="s">
        <v>23</v>
      </c>
      <c r="B8" s="4">
        <v>44427</v>
      </c>
      <c r="C8" s="5">
        <v>0.24513888888888888</v>
      </c>
      <c r="D8" s="6">
        <v>1560</v>
      </c>
      <c r="E8" s="9">
        <v>0.7</v>
      </c>
      <c r="F8" s="7">
        <v>11</v>
      </c>
      <c r="G8" s="8">
        <v>0.3</v>
      </c>
      <c r="H8" s="9">
        <v>0</v>
      </c>
      <c r="I8" s="6">
        <f t="shared" si="0"/>
        <v>3</v>
      </c>
      <c r="J8" s="6">
        <f t="shared" si="1"/>
        <v>0</v>
      </c>
      <c r="K8" s="6">
        <f t="shared" si="2"/>
        <v>0</v>
      </c>
      <c r="L8" s="6">
        <f t="shared" si="3"/>
        <v>0</v>
      </c>
      <c r="M8" s="6">
        <f t="shared" si="4"/>
        <v>0</v>
      </c>
    </row>
    <row r="9" spans="1:19" x14ac:dyDescent="0.3">
      <c r="A9" s="10" t="s">
        <v>24</v>
      </c>
      <c r="B9" s="4">
        <v>44427</v>
      </c>
      <c r="C9" s="5">
        <v>0.25486111111111109</v>
      </c>
      <c r="D9" s="6">
        <v>1563</v>
      </c>
      <c r="E9" s="9">
        <v>0.7</v>
      </c>
      <c r="F9" s="7">
        <v>10.5</v>
      </c>
      <c r="G9" s="8">
        <v>0.3</v>
      </c>
      <c r="H9" s="9">
        <v>0</v>
      </c>
      <c r="I9" s="6">
        <f t="shared" si="0"/>
        <v>3</v>
      </c>
      <c r="J9" s="6">
        <f t="shared" si="1"/>
        <v>0</v>
      </c>
      <c r="K9" s="6">
        <f t="shared" si="2"/>
        <v>0</v>
      </c>
      <c r="L9" s="6">
        <f t="shared" si="3"/>
        <v>0</v>
      </c>
      <c r="M9" s="6">
        <f t="shared" si="4"/>
        <v>0</v>
      </c>
    </row>
    <row r="10" spans="1:19" x14ac:dyDescent="0.3">
      <c r="A10" s="10" t="s">
        <v>25</v>
      </c>
      <c r="B10" s="4">
        <v>44427</v>
      </c>
      <c r="C10" s="5">
        <v>0.27430555555555552</v>
      </c>
      <c r="D10" s="6">
        <v>1566</v>
      </c>
      <c r="E10" s="9">
        <v>0.6</v>
      </c>
      <c r="F10" s="7">
        <v>15</v>
      </c>
      <c r="G10" s="8">
        <v>0.4</v>
      </c>
      <c r="H10" s="9">
        <v>0</v>
      </c>
      <c r="I10" s="6">
        <f t="shared" si="0"/>
        <v>3</v>
      </c>
      <c r="J10" s="6">
        <f t="shared" si="1"/>
        <v>0</v>
      </c>
      <c r="K10" s="6">
        <f t="shared" si="2"/>
        <v>0</v>
      </c>
      <c r="L10" s="6">
        <f t="shared" si="3"/>
        <v>0</v>
      </c>
      <c r="M10" s="6">
        <f t="shared" si="4"/>
        <v>0</v>
      </c>
      <c r="S10">
        <f>P4*R4</f>
        <v>973.5450000000003</v>
      </c>
    </row>
    <row r="11" spans="1:19" x14ac:dyDescent="0.3">
      <c r="A11" s="10" t="s">
        <v>26</v>
      </c>
      <c r="B11" s="4">
        <v>44427</v>
      </c>
      <c r="C11" s="5">
        <v>0.29791666666666666</v>
      </c>
      <c r="D11" s="6">
        <v>1569</v>
      </c>
      <c r="E11" s="9">
        <v>0.55000000000000004</v>
      </c>
      <c r="F11" s="7">
        <v>16</v>
      </c>
      <c r="G11" s="8">
        <v>0.45</v>
      </c>
      <c r="H11" s="9">
        <v>0</v>
      </c>
      <c r="I11" s="6">
        <f t="shared" si="0"/>
        <v>3</v>
      </c>
      <c r="J11" s="6">
        <f t="shared" si="1"/>
        <v>0</v>
      </c>
      <c r="K11" s="6">
        <f t="shared" si="2"/>
        <v>0</v>
      </c>
      <c r="L11" s="6">
        <f t="shared" si="3"/>
        <v>0</v>
      </c>
      <c r="M11" s="6">
        <f t="shared" si="4"/>
        <v>0</v>
      </c>
    </row>
    <row r="12" spans="1:19" x14ac:dyDescent="0.3">
      <c r="A12" s="10" t="s">
        <v>27</v>
      </c>
      <c r="B12" s="4">
        <v>44427</v>
      </c>
      <c r="C12" s="5">
        <v>0.29791666666666666</v>
      </c>
      <c r="D12" s="6">
        <v>1572</v>
      </c>
      <c r="E12" s="9">
        <v>0.6</v>
      </c>
      <c r="F12" s="7">
        <v>16</v>
      </c>
      <c r="G12" s="8">
        <v>0.4</v>
      </c>
      <c r="H12" s="9">
        <v>0</v>
      </c>
      <c r="I12" s="6">
        <f t="shared" si="0"/>
        <v>3</v>
      </c>
      <c r="J12" s="6">
        <f t="shared" si="1"/>
        <v>0</v>
      </c>
      <c r="K12" s="6">
        <f t="shared" si="2"/>
        <v>0</v>
      </c>
      <c r="L12" s="6">
        <f t="shared" si="3"/>
        <v>0</v>
      </c>
      <c r="M12" s="6">
        <f t="shared" si="4"/>
        <v>0</v>
      </c>
    </row>
    <row r="13" spans="1:19" x14ac:dyDescent="0.3">
      <c r="A13" s="10" t="s">
        <v>28</v>
      </c>
      <c r="B13" s="4">
        <v>44427</v>
      </c>
      <c r="C13" s="5">
        <v>0.29791666666666666</v>
      </c>
      <c r="D13" s="6">
        <v>1575</v>
      </c>
      <c r="E13" s="9">
        <v>0.55000000000000004</v>
      </c>
      <c r="F13" s="7">
        <v>19</v>
      </c>
      <c r="G13" s="8">
        <v>0.45</v>
      </c>
      <c r="H13" s="9">
        <v>0</v>
      </c>
      <c r="I13" s="6">
        <f t="shared" si="0"/>
        <v>3</v>
      </c>
      <c r="J13" s="6">
        <f t="shared" si="1"/>
        <v>0</v>
      </c>
      <c r="K13" s="6">
        <f t="shared" si="2"/>
        <v>0</v>
      </c>
      <c r="L13" s="6">
        <f t="shared" si="3"/>
        <v>0</v>
      </c>
      <c r="M13" s="6">
        <f t="shared" si="4"/>
        <v>0</v>
      </c>
    </row>
    <row r="14" spans="1:19" x14ac:dyDescent="0.3">
      <c r="A14" s="10" t="s">
        <v>29</v>
      </c>
      <c r="B14" s="4">
        <v>44427</v>
      </c>
      <c r="C14" s="5">
        <v>0.30555555555555552</v>
      </c>
      <c r="D14" s="6">
        <v>1578</v>
      </c>
      <c r="E14" s="9">
        <v>0.6</v>
      </c>
      <c r="F14" s="7">
        <v>17</v>
      </c>
      <c r="G14" s="8">
        <v>0.4</v>
      </c>
      <c r="H14" s="9">
        <v>0</v>
      </c>
      <c r="I14" s="6">
        <f t="shared" si="0"/>
        <v>3</v>
      </c>
      <c r="J14" s="6">
        <f t="shared" si="1"/>
        <v>0</v>
      </c>
      <c r="K14" s="6">
        <f t="shared" si="2"/>
        <v>0</v>
      </c>
      <c r="L14" s="6">
        <f t="shared" si="3"/>
        <v>0</v>
      </c>
      <c r="M14" s="6">
        <f t="shared" si="4"/>
        <v>0</v>
      </c>
    </row>
    <row r="15" spans="1:19" x14ac:dyDescent="0.3">
      <c r="A15" s="10" t="s">
        <v>30</v>
      </c>
      <c r="B15" s="4">
        <v>44427</v>
      </c>
      <c r="C15" s="5">
        <v>0.31944444444444448</v>
      </c>
      <c r="D15" s="6">
        <v>1581</v>
      </c>
      <c r="E15" s="9">
        <v>0.65</v>
      </c>
      <c r="F15" s="7">
        <v>15</v>
      </c>
      <c r="G15" s="8">
        <v>0.35</v>
      </c>
      <c r="H15" s="9">
        <v>0</v>
      </c>
      <c r="I15" s="6">
        <f t="shared" si="0"/>
        <v>3</v>
      </c>
      <c r="J15" s="6">
        <f t="shared" si="1"/>
        <v>0</v>
      </c>
      <c r="K15" s="6">
        <f t="shared" si="2"/>
        <v>0</v>
      </c>
      <c r="L15" s="6">
        <f t="shared" si="3"/>
        <v>0</v>
      </c>
      <c r="M15" s="6">
        <f t="shared" si="4"/>
        <v>0</v>
      </c>
    </row>
    <row r="16" spans="1:19" x14ac:dyDescent="0.3">
      <c r="A16" s="10" t="s">
        <v>31</v>
      </c>
      <c r="B16" s="4">
        <v>44427</v>
      </c>
      <c r="C16" s="5">
        <v>0.3298611111111111</v>
      </c>
      <c r="D16" s="6">
        <v>1584</v>
      </c>
      <c r="E16" s="9">
        <v>0.5</v>
      </c>
      <c r="F16" s="7">
        <v>20</v>
      </c>
      <c r="G16" s="8">
        <v>0.5</v>
      </c>
      <c r="H16" s="9">
        <v>0</v>
      </c>
      <c r="I16" s="6">
        <f t="shared" si="0"/>
        <v>3</v>
      </c>
      <c r="J16" s="6">
        <f t="shared" si="1"/>
        <v>0</v>
      </c>
      <c r="K16" s="6">
        <f t="shared" si="2"/>
        <v>0</v>
      </c>
      <c r="L16" s="6">
        <f t="shared" si="3"/>
        <v>0</v>
      </c>
      <c r="M16" s="6">
        <f t="shared" si="4"/>
        <v>0</v>
      </c>
    </row>
    <row r="17" spans="1:14" x14ac:dyDescent="0.3">
      <c r="A17" s="10" t="s">
        <v>32</v>
      </c>
      <c r="B17" s="4">
        <v>44427</v>
      </c>
      <c r="C17" s="5">
        <v>0.34027777777777773</v>
      </c>
      <c r="D17" s="6">
        <v>1587</v>
      </c>
      <c r="E17" s="9">
        <v>0.4</v>
      </c>
      <c r="F17" s="7">
        <v>14</v>
      </c>
      <c r="G17" s="8">
        <v>0.6</v>
      </c>
      <c r="H17" s="9">
        <v>0</v>
      </c>
      <c r="I17" s="6">
        <f t="shared" si="0"/>
        <v>3</v>
      </c>
      <c r="J17" s="6">
        <f t="shared" si="1"/>
        <v>0</v>
      </c>
      <c r="K17" s="6">
        <f t="shared" si="2"/>
        <v>0</v>
      </c>
      <c r="L17" s="6">
        <f t="shared" si="3"/>
        <v>0</v>
      </c>
      <c r="M17" s="6">
        <f t="shared" si="4"/>
        <v>0</v>
      </c>
    </row>
    <row r="18" spans="1:14" x14ac:dyDescent="0.3">
      <c r="A18" s="10" t="s">
        <v>33</v>
      </c>
      <c r="B18" s="4">
        <v>44427</v>
      </c>
      <c r="C18" s="5">
        <v>0.34722222222222227</v>
      </c>
      <c r="D18" s="6">
        <v>1590</v>
      </c>
      <c r="E18" s="9">
        <v>0.55000000000000004</v>
      </c>
      <c r="F18" s="7">
        <v>12</v>
      </c>
      <c r="G18" s="8">
        <v>0.45</v>
      </c>
      <c r="H18" s="9">
        <v>0</v>
      </c>
      <c r="I18" s="6">
        <f t="shared" si="0"/>
        <v>3</v>
      </c>
      <c r="J18" s="6">
        <f t="shared" si="1"/>
        <v>0</v>
      </c>
      <c r="K18" s="6">
        <f t="shared" si="2"/>
        <v>0</v>
      </c>
      <c r="L18" s="6">
        <f t="shared" si="3"/>
        <v>0</v>
      </c>
      <c r="M18" s="6">
        <f t="shared" si="4"/>
        <v>0</v>
      </c>
    </row>
    <row r="19" spans="1:14" x14ac:dyDescent="0.3">
      <c r="A19" s="10" t="s">
        <v>34</v>
      </c>
      <c r="B19" s="4">
        <v>44427</v>
      </c>
      <c r="C19" s="5">
        <v>0.3576388888888889</v>
      </c>
      <c r="D19" s="6">
        <v>1593</v>
      </c>
      <c r="E19" s="9">
        <v>0.45</v>
      </c>
      <c r="F19" s="7">
        <v>9</v>
      </c>
      <c r="G19" s="8">
        <v>0.55000000000000004</v>
      </c>
      <c r="H19" s="9">
        <v>0</v>
      </c>
      <c r="I19" s="6">
        <f t="shared" si="0"/>
        <v>3</v>
      </c>
      <c r="J19" s="6">
        <f t="shared" si="1"/>
        <v>0</v>
      </c>
      <c r="K19" s="6">
        <f t="shared" si="2"/>
        <v>0</v>
      </c>
      <c r="L19" s="6">
        <f t="shared" si="3"/>
        <v>0</v>
      </c>
      <c r="M19" s="6">
        <f t="shared" si="4"/>
        <v>0</v>
      </c>
    </row>
    <row r="20" spans="1:14" x14ac:dyDescent="0.3">
      <c r="A20" s="10" t="s">
        <v>35</v>
      </c>
      <c r="B20" s="4">
        <v>44427</v>
      </c>
      <c r="C20" s="5">
        <v>0.36874999999999997</v>
      </c>
      <c r="D20" s="6">
        <v>1596</v>
      </c>
      <c r="E20" s="9">
        <v>0.5</v>
      </c>
      <c r="F20" s="7">
        <v>11</v>
      </c>
      <c r="G20" s="8">
        <v>0.5</v>
      </c>
      <c r="H20" s="9">
        <v>0</v>
      </c>
      <c r="I20" s="6">
        <f t="shared" si="0"/>
        <v>3</v>
      </c>
      <c r="J20" s="6">
        <f t="shared" si="1"/>
        <v>0</v>
      </c>
      <c r="K20" s="6">
        <f t="shared" si="2"/>
        <v>0</v>
      </c>
      <c r="L20" s="6">
        <f t="shared" si="3"/>
        <v>0</v>
      </c>
      <c r="M20" s="6">
        <f t="shared" si="4"/>
        <v>0</v>
      </c>
    </row>
    <row r="21" spans="1:14" x14ac:dyDescent="0.3">
      <c r="A21" s="10" t="s">
        <v>36</v>
      </c>
      <c r="B21" s="4">
        <v>44427</v>
      </c>
      <c r="C21" s="5">
        <v>0.37777777777777777</v>
      </c>
      <c r="D21" s="6">
        <v>1599</v>
      </c>
      <c r="E21" s="9">
        <v>0.55000000000000004</v>
      </c>
      <c r="F21" s="7">
        <v>12</v>
      </c>
      <c r="G21" s="8">
        <v>0.45</v>
      </c>
      <c r="H21" s="9">
        <v>0</v>
      </c>
      <c r="I21" s="6">
        <f t="shared" si="0"/>
        <v>3</v>
      </c>
      <c r="J21" s="6">
        <f t="shared" si="1"/>
        <v>0</v>
      </c>
      <c r="K21" s="6">
        <f t="shared" si="2"/>
        <v>0</v>
      </c>
      <c r="L21" s="6">
        <f t="shared" si="3"/>
        <v>0</v>
      </c>
      <c r="M21" s="6">
        <f t="shared" si="4"/>
        <v>0</v>
      </c>
    </row>
    <row r="22" spans="1:14" s="36" customFormat="1" x14ac:dyDescent="0.3">
      <c r="A22" s="28" t="s">
        <v>37</v>
      </c>
      <c r="B22" s="29">
        <v>44427</v>
      </c>
      <c r="C22" s="30">
        <v>0.38680555555555557</v>
      </c>
      <c r="D22" s="31">
        <v>1602</v>
      </c>
      <c r="E22" s="32">
        <v>0.5</v>
      </c>
      <c r="F22" s="33">
        <v>16</v>
      </c>
      <c r="G22" s="34">
        <v>0.5</v>
      </c>
      <c r="H22" s="32">
        <v>0</v>
      </c>
      <c r="I22" s="31">
        <f t="shared" si="0"/>
        <v>3</v>
      </c>
      <c r="J22" s="31">
        <f t="shared" si="1"/>
        <v>0</v>
      </c>
      <c r="K22" s="31">
        <f t="shared" si="2"/>
        <v>0</v>
      </c>
      <c r="L22" s="31">
        <f t="shared" si="3"/>
        <v>0</v>
      </c>
      <c r="M22" s="31">
        <f t="shared" si="4"/>
        <v>0</v>
      </c>
      <c r="N22" s="35"/>
    </row>
    <row r="23" spans="1:14" x14ac:dyDescent="0.3">
      <c r="A23" s="10" t="s">
        <v>38</v>
      </c>
      <c r="B23" s="4">
        <v>44427</v>
      </c>
      <c r="C23" s="5">
        <v>0.40625</v>
      </c>
      <c r="D23" s="6">
        <v>1605</v>
      </c>
      <c r="E23" s="9">
        <v>0.45</v>
      </c>
      <c r="F23" s="7">
        <v>14</v>
      </c>
      <c r="G23" s="8">
        <v>0.55000000000000004</v>
      </c>
      <c r="H23" s="9">
        <v>0</v>
      </c>
      <c r="I23" s="6">
        <f t="shared" si="0"/>
        <v>3</v>
      </c>
      <c r="J23" s="6">
        <f t="shared" si="1"/>
        <v>0</v>
      </c>
      <c r="K23" s="6">
        <f t="shared" si="2"/>
        <v>0</v>
      </c>
      <c r="L23" s="6">
        <f t="shared" si="3"/>
        <v>0</v>
      </c>
      <c r="M23" s="6">
        <f t="shared" si="4"/>
        <v>0</v>
      </c>
    </row>
    <row r="24" spans="1:14" x14ac:dyDescent="0.3">
      <c r="A24" s="10" t="s">
        <v>39</v>
      </c>
      <c r="B24" s="4">
        <v>44427</v>
      </c>
      <c r="C24" s="5">
        <v>0.41388888888888892</v>
      </c>
      <c r="D24" s="6">
        <v>1608</v>
      </c>
      <c r="E24" s="9">
        <v>0.35</v>
      </c>
      <c r="F24" s="7">
        <v>17</v>
      </c>
      <c r="G24" s="8">
        <v>0.65</v>
      </c>
      <c r="H24" s="9">
        <v>0</v>
      </c>
      <c r="I24" s="6">
        <f t="shared" si="0"/>
        <v>3</v>
      </c>
      <c r="J24" s="6">
        <f t="shared" si="1"/>
        <v>0</v>
      </c>
      <c r="K24" s="6">
        <f t="shared" si="2"/>
        <v>0</v>
      </c>
      <c r="L24" s="6">
        <f t="shared" si="3"/>
        <v>0</v>
      </c>
      <c r="M24" s="6">
        <f t="shared" si="4"/>
        <v>0</v>
      </c>
    </row>
    <row r="25" spans="1:14" x14ac:dyDescent="0.3">
      <c r="A25" s="10" t="s">
        <v>40</v>
      </c>
      <c r="B25" s="4">
        <v>44427</v>
      </c>
      <c r="C25" s="5">
        <v>0.41944444444444445</v>
      </c>
      <c r="D25" s="6">
        <v>1611</v>
      </c>
      <c r="E25" s="9">
        <v>0.45</v>
      </c>
      <c r="F25" s="7">
        <v>15</v>
      </c>
      <c r="G25" s="8">
        <v>0.55000000000000004</v>
      </c>
      <c r="H25" s="9">
        <v>0</v>
      </c>
      <c r="I25" s="6">
        <f t="shared" si="0"/>
        <v>3</v>
      </c>
      <c r="J25" s="6">
        <f t="shared" si="1"/>
        <v>0</v>
      </c>
      <c r="K25" s="6">
        <f t="shared" si="2"/>
        <v>0</v>
      </c>
      <c r="L25" s="6">
        <f t="shared" si="3"/>
        <v>0</v>
      </c>
      <c r="M25" s="6">
        <f t="shared" si="4"/>
        <v>0</v>
      </c>
    </row>
    <row r="26" spans="1:14" x14ac:dyDescent="0.3">
      <c r="A26" s="10" t="s">
        <v>41</v>
      </c>
      <c r="B26" s="4">
        <v>44427</v>
      </c>
      <c r="C26" s="5">
        <v>0.42986111111111108</v>
      </c>
      <c r="D26" s="6">
        <v>1614</v>
      </c>
      <c r="E26" s="9">
        <v>0.45</v>
      </c>
      <c r="F26" s="7">
        <v>16</v>
      </c>
      <c r="G26" s="8">
        <v>0.55000000000000004</v>
      </c>
      <c r="H26" s="9">
        <v>0</v>
      </c>
      <c r="I26" s="6">
        <f t="shared" si="0"/>
        <v>3</v>
      </c>
      <c r="J26" s="6">
        <f t="shared" si="1"/>
        <v>0</v>
      </c>
      <c r="K26" s="6">
        <f t="shared" si="2"/>
        <v>0</v>
      </c>
      <c r="L26" s="6">
        <f t="shared" si="3"/>
        <v>0</v>
      </c>
      <c r="M26" s="6">
        <f t="shared" si="4"/>
        <v>0</v>
      </c>
    </row>
    <row r="27" spans="1:14" x14ac:dyDescent="0.3">
      <c r="A27" s="10" t="s">
        <v>42</v>
      </c>
      <c r="B27" s="4">
        <v>44427</v>
      </c>
      <c r="C27" s="5">
        <v>0.43958333333333338</v>
      </c>
      <c r="D27" s="6">
        <v>1617</v>
      </c>
      <c r="E27" s="9">
        <v>0.5</v>
      </c>
      <c r="F27" s="7">
        <v>17</v>
      </c>
      <c r="G27" s="8">
        <v>0.5</v>
      </c>
      <c r="H27" s="9">
        <v>0</v>
      </c>
      <c r="I27" s="6">
        <f t="shared" si="0"/>
        <v>3</v>
      </c>
      <c r="J27" s="6">
        <f t="shared" si="1"/>
        <v>0</v>
      </c>
      <c r="K27" s="6">
        <f t="shared" si="2"/>
        <v>0</v>
      </c>
      <c r="L27" s="6">
        <f t="shared" si="3"/>
        <v>0</v>
      </c>
      <c r="M27" s="6">
        <f t="shared" si="4"/>
        <v>0</v>
      </c>
    </row>
    <row r="28" spans="1:14" x14ac:dyDescent="0.3">
      <c r="A28" s="10" t="s">
        <v>43</v>
      </c>
      <c r="B28" s="4">
        <v>44427</v>
      </c>
      <c r="C28" s="5">
        <v>0.44930555555555557</v>
      </c>
      <c r="D28" s="6">
        <v>1620</v>
      </c>
      <c r="E28" s="9">
        <v>0.45</v>
      </c>
      <c r="F28" s="7">
        <v>16</v>
      </c>
      <c r="G28" s="8">
        <v>0.55000000000000004</v>
      </c>
      <c r="H28" s="9">
        <v>0</v>
      </c>
      <c r="I28" s="6">
        <f t="shared" si="0"/>
        <v>3</v>
      </c>
      <c r="J28" s="6">
        <f t="shared" si="1"/>
        <v>0</v>
      </c>
      <c r="K28" s="6">
        <f t="shared" si="2"/>
        <v>0</v>
      </c>
      <c r="L28" s="6">
        <f t="shared" si="3"/>
        <v>0</v>
      </c>
      <c r="M28" s="6">
        <f t="shared" si="4"/>
        <v>0</v>
      </c>
    </row>
    <row r="29" spans="1:14" x14ac:dyDescent="0.3">
      <c r="A29" s="10" t="s">
        <v>44</v>
      </c>
      <c r="B29" s="4">
        <v>44427</v>
      </c>
      <c r="C29" s="5">
        <v>0.46527777777777773</v>
      </c>
      <c r="D29" s="6">
        <v>1623</v>
      </c>
      <c r="E29" s="9">
        <v>0.35</v>
      </c>
      <c r="F29" s="7">
        <v>19</v>
      </c>
      <c r="G29" s="8">
        <v>0.65</v>
      </c>
      <c r="H29" s="9">
        <v>0</v>
      </c>
      <c r="I29" s="6">
        <f t="shared" si="0"/>
        <v>3</v>
      </c>
      <c r="J29" s="6">
        <f t="shared" si="1"/>
        <v>0</v>
      </c>
      <c r="K29" s="6">
        <f t="shared" si="2"/>
        <v>0</v>
      </c>
      <c r="L29" s="6">
        <f t="shared" si="3"/>
        <v>0</v>
      </c>
      <c r="M29" s="6">
        <f t="shared" si="4"/>
        <v>0</v>
      </c>
    </row>
    <row r="30" spans="1:14" x14ac:dyDescent="0.3">
      <c r="A30" s="10" t="s">
        <v>45</v>
      </c>
      <c r="B30" s="4">
        <v>44427</v>
      </c>
      <c r="C30" s="5">
        <v>0.47013888888888888</v>
      </c>
      <c r="D30" s="6">
        <v>1626</v>
      </c>
      <c r="E30" s="9">
        <v>0.45</v>
      </c>
      <c r="F30" s="7">
        <v>13</v>
      </c>
      <c r="G30" s="8">
        <v>0.55000000000000004</v>
      </c>
      <c r="H30" s="9">
        <v>0</v>
      </c>
      <c r="I30" s="6">
        <f t="shared" si="0"/>
        <v>3</v>
      </c>
      <c r="J30" s="6">
        <f t="shared" si="1"/>
        <v>0</v>
      </c>
      <c r="K30" s="6">
        <f t="shared" si="2"/>
        <v>0</v>
      </c>
      <c r="L30" s="6">
        <f t="shared" si="3"/>
        <v>0</v>
      </c>
      <c r="M30" s="6">
        <f t="shared" si="4"/>
        <v>0</v>
      </c>
    </row>
    <row r="31" spans="1:14" x14ac:dyDescent="0.3">
      <c r="A31" s="10" t="s">
        <v>46</v>
      </c>
      <c r="B31" s="4">
        <v>44427</v>
      </c>
      <c r="C31" s="5">
        <v>0.48055555555555557</v>
      </c>
      <c r="D31" s="6">
        <v>1629</v>
      </c>
      <c r="E31" s="9">
        <v>0.35</v>
      </c>
      <c r="F31" s="7">
        <v>14</v>
      </c>
      <c r="G31" s="8">
        <v>0.65</v>
      </c>
      <c r="H31" s="9">
        <v>0</v>
      </c>
      <c r="I31" s="6">
        <f t="shared" si="0"/>
        <v>3</v>
      </c>
      <c r="J31" s="6">
        <f t="shared" si="1"/>
        <v>0</v>
      </c>
      <c r="K31" s="6">
        <f t="shared" si="2"/>
        <v>0</v>
      </c>
      <c r="L31" s="6">
        <f t="shared" si="3"/>
        <v>0</v>
      </c>
      <c r="M31" s="6">
        <f t="shared" si="4"/>
        <v>0</v>
      </c>
    </row>
    <row r="32" spans="1:14" s="27" customFormat="1" x14ac:dyDescent="0.3">
      <c r="A32" s="19" t="s">
        <v>47</v>
      </c>
      <c r="B32" s="20">
        <v>44427</v>
      </c>
      <c r="C32" s="21">
        <v>0.48958333333333331</v>
      </c>
      <c r="D32" s="22">
        <v>1632</v>
      </c>
      <c r="E32" s="23">
        <v>0.45</v>
      </c>
      <c r="F32" s="24">
        <v>16</v>
      </c>
      <c r="G32" s="25">
        <v>0.55000000000000004</v>
      </c>
      <c r="H32" s="23">
        <v>0.05</v>
      </c>
      <c r="I32" s="22">
        <f t="shared" si="0"/>
        <v>3</v>
      </c>
      <c r="J32" s="22">
        <f t="shared" si="1"/>
        <v>0</v>
      </c>
      <c r="K32" s="22">
        <f t="shared" si="2"/>
        <v>0</v>
      </c>
      <c r="L32" s="22">
        <f t="shared" si="3"/>
        <v>3</v>
      </c>
      <c r="M32" s="22">
        <f t="shared" si="4"/>
        <v>1.6500000000000001</v>
      </c>
      <c r="N32" s="26" t="s">
        <v>93</v>
      </c>
    </row>
    <row r="33" spans="1:13" x14ac:dyDescent="0.3">
      <c r="A33" s="18" t="s">
        <v>48</v>
      </c>
      <c r="B33" s="4">
        <v>44427</v>
      </c>
      <c r="D33" s="6">
        <v>1635</v>
      </c>
      <c r="E33" s="9">
        <v>0.45</v>
      </c>
      <c r="F33" s="7">
        <v>15</v>
      </c>
      <c r="G33" s="8">
        <f>100%-E33</f>
        <v>0.55000000000000004</v>
      </c>
      <c r="H33" s="9">
        <v>0.05</v>
      </c>
      <c r="I33" s="6">
        <f t="shared" si="0"/>
        <v>3</v>
      </c>
      <c r="J33" s="6">
        <f t="shared" si="1"/>
        <v>0</v>
      </c>
      <c r="K33" s="6">
        <f t="shared" si="2"/>
        <v>0</v>
      </c>
      <c r="L33" s="6">
        <f t="shared" si="3"/>
        <v>3</v>
      </c>
      <c r="M33" s="6">
        <f t="shared" si="4"/>
        <v>1.6500000000000001</v>
      </c>
    </row>
    <row r="34" spans="1:13" x14ac:dyDescent="0.3">
      <c r="A34" s="10" t="s">
        <v>49</v>
      </c>
      <c r="B34" s="4">
        <v>44427</v>
      </c>
      <c r="D34" s="6">
        <v>1638</v>
      </c>
      <c r="E34" s="9">
        <v>0.35</v>
      </c>
      <c r="F34" s="7">
        <v>22</v>
      </c>
      <c r="G34" s="8">
        <f t="shared" ref="G34:G97" si="5">100%-E34</f>
        <v>0.65</v>
      </c>
      <c r="H34" s="9">
        <v>0.1</v>
      </c>
      <c r="I34" s="6">
        <f t="shared" si="0"/>
        <v>3</v>
      </c>
      <c r="J34" s="6">
        <f t="shared" si="1"/>
        <v>0</v>
      </c>
      <c r="K34" s="6">
        <f t="shared" si="2"/>
        <v>0</v>
      </c>
      <c r="L34" s="6">
        <f t="shared" si="3"/>
        <v>3</v>
      </c>
      <c r="M34" s="6">
        <f t="shared" si="4"/>
        <v>1.9500000000000002</v>
      </c>
    </row>
    <row r="35" spans="1:13" x14ac:dyDescent="0.3">
      <c r="A35" s="10" t="s">
        <v>50</v>
      </c>
      <c r="B35" s="4">
        <v>44427</v>
      </c>
      <c r="D35" s="6">
        <v>1640</v>
      </c>
      <c r="E35" s="9">
        <v>0.3</v>
      </c>
      <c r="F35" s="7">
        <v>512</v>
      </c>
      <c r="G35" s="8">
        <f t="shared" si="5"/>
        <v>0.7</v>
      </c>
      <c r="H35" s="9">
        <v>1</v>
      </c>
      <c r="I35" s="6">
        <f t="shared" si="0"/>
        <v>2</v>
      </c>
      <c r="J35" s="6">
        <f t="shared" si="1"/>
        <v>0</v>
      </c>
      <c r="K35" s="6">
        <f t="shared" si="2"/>
        <v>0</v>
      </c>
      <c r="L35" s="6">
        <f t="shared" si="3"/>
        <v>2</v>
      </c>
      <c r="M35" s="6">
        <f t="shared" si="4"/>
        <v>1.4</v>
      </c>
    </row>
    <row r="36" spans="1:13" x14ac:dyDescent="0.3">
      <c r="A36" s="10" t="s">
        <v>51</v>
      </c>
      <c r="B36" s="4">
        <v>44427</v>
      </c>
      <c r="D36" s="6">
        <v>1641</v>
      </c>
      <c r="E36" s="9">
        <v>0.4</v>
      </c>
      <c r="F36" s="7">
        <v>512</v>
      </c>
      <c r="G36" s="8">
        <f t="shared" si="5"/>
        <v>0.6</v>
      </c>
      <c r="H36" s="9">
        <v>0.6</v>
      </c>
      <c r="I36" s="6">
        <f t="shared" si="0"/>
        <v>1</v>
      </c>
      <c r="J36" s="6">
        <f t="shared" si="1"/>
        <v>0</v>
      </c>
      <c r="K36" s="6">
        <f t="shared" si="2"/>
        <v>0</v>
      </c>
      <c r="L36" s="6">
        <f t="shared" si="3"/>
        <v>1</v>
      </c>
      <c r="M36" s="6">
        <f t="shared" si="4"/>
        <v>0.6</v>
      </c>
    </row>
    <row r="37" spans="1:13" x14ac:dyDescent="0.3">
      <c r="A37" s="10" t="s">
        <v>52</v>
      </c>
      <c r="B37" s="4">
        <v>44427</v>
      </c>
      <c r="D37" s="6">
        <v>1644</v>
      </c>
      <c r="E37" s="9">
        <v>0.3</v>
      </c>
      <c r="F37" s="7">
        <v>774</v>
      </c>
      <c r="G37" s="8">
        <f t="shared" si="5"/>
        <v>0.7</v>
      </c>
      <c r="H37" s="9">
        <v>0.9</v>
      </c>
      <c r="I37" s="6">
        <f t="shared" si="0"/>
        <v>3</v>
      </c>
      <c r="J37" s="6">
        <f t="shared" si="1"/>
        <v>0</v>
      </c>
      <c r="K37" s="6">
        <f t="shared" si="2"/>
        <v>0</v>
      </c>
      <c r="L37" s="6">
        <f t="shared" si="3"/>
        <v>3</v>
      </c>
      <c r="M37" s="6">
        <f t="shared" si="4"/>
        <v>2.0999999999999996</v>
      </c>
    </row>
    <row r="38" spans="1:13" x14ac:dyDescent="0.3">
      <c r="A38" s="10" t="s">
        <v>53</v>
      </c>
      <c r="B38" s="4">
        <v>44427</v>
      </c>
      <c r="D38" s="6">
        <v>1647</v>
      </c>
      <c r="E38" s="9">
        <v>0.25</v>
      </c>
      <c r="F38" s="7">
        <v>468</v>
      </c>
      <c r="G38" s="8">
        <f t="shared" si="5"/>
        <v>0.75</v>
      </c>
      <c r="H38" s="9">
        <v>1</v>
      </c>
      <c r="I38" s="6">
        <f t="shared" si="0"/>
        <v>3</v>
      </c>
      <c r="J38" s="6">
        <f t="shared" si="1"/>
        <v>3</v>
      </c>
      <c r="K38" s="6">
        <f t="shared" si="2"/>
        <v>2.25</v>
      </c>
      <c r="L38" s="6">
        <f t="shared" si="3"/>
        <v>3</v>
      </c>
      <c r="M38" s="6">
        <f t="shared" si="4"/>
        <v>2.25</v>
      </c>
    </row>
    <row r="39" spans="1:13" x14ac:dyDescent="0.3">
      <c r="A39" s="10" t="s">
        <v>54</v>
      </c>
      <c r="B39" s="4">
        <v>44427</v>
      </c>
      <c r="D39" s="6">
        <v>1650</v>
      </c>
      <c r="E39" s="9">
        <v>0.2</v>
      </c>
      <c r="F39" s="7">
        <v>518</v>
      </c>
      <c r="G39" s="8">
        <f t="shared" si="5"/>
        <v>0.8</v>
      </c>
      <c r="H39" s="9">
        <v>1</v>
      </c>
      <c r="I39" s="6">
        <f t="shared" si="0"/>
        <v>3</v>
      </c>
      <c r="J39" s="6">
        <f t="shared" si="1"/>
        <v>3</v>
      </c>
      <c r="K39" s="6">
        <f t="shared" si="2"/>
        <v>2.4000000000000004</v>
      </c>
      <c r="L39" s="6">
        <f t="shared" si="3"/>
        <v>3</v>
      </c>
      <c r="M39" s="6">
        <f t="shared" si="4"/>
        <v>2.4000000000000004</v>
      </c>
    </row>
    <row r="40" spans="1:13" x14ac:dyDescent="0.3">
      <c r="A40" s="10" t="s">
        <v>55</v>
      </c>
      <c r="B40" s="4">
        <v>44427</v>
      </c>
      <c r="D40" s="6">
        <v>1653</v>
      </c>
      <c r="E40" s="9">
        <v>0.1</v>
      </c>
      <c r="F40" s="7">
        <v>436</v>
      </c>
      <c r="G40" s="8">
        <f t="shared" si="5"/>
        <v>0.9</v>
      </c>
      <c r="H40" s="9">
        <v>1</v>
      </c>
      <c r="I40" s="6">
        <f t="shared" si="0"/>
        <v>3</v>
      </c>
      <c r="J40" s="6">
        <f t="shared" si="1"/>
        <v>3</v>
      </c>
      <c r="K40" s="6">
        <f t="shared" si="2"/>
        <v>2.7</v>
      </c>
      <c r="L40" s="6">
        <f t="shared" si="3"/>
        <v>3</v>
      </c>
      <c r="M40" s="6">
        <f t="shared" si="4"/>
        <v>2.7</v>
      </c>
    </row>
    <row r="41" spans="1:13" x14ac:dyDescent="0.3">
      <c r="A41" s="10" t="s">
        <v>56</v>
      </c>
      <c r="B41" s="4">
        <v>44427</v>
      </c>
      <c r="D41" s="6">
        <v>1656</v>
      </c>
      <c r="E41" s="9">
        <v>0.15</v>
      </c>
      <c r="F41" s="7">
        <v>444</v>
      </c>
      <c r="G41" s="8">
        <f t="shared" si="5"/>
        <v>0.85</v>
      </c>
      <c r="H41" s="9">
        <v>1</v>
      </c>
      <c r="I41" s="6">
        <f t="shared" si="0"/>
        <v>3</v>
      </c>
      <c r="J41" s="6">
        <f t="shared" si="1"/>
        <v>3</v>
      </c>
      <c r="K41" s="6">
        <f t="shared" si="2"/>
        <v>2.5499999999999998</v>
      </c>
      <c r="L41" s="6">
        <f t="shared" si="3"/>
        <v>3</v>
      </c>
      <c r="M41" s="6">
        <f t="shared" si="4"/>
        <v>2.5499999999999998</v>
      </c>
    </row>
    <row r="42" spans="1:13" x14ac:dyDescent="0.3">
      <c r="A42" s="10" t="s">
        <v>57</v>
      </c>
      <c r="B42" s="4">
        <v>44427</v>
      </c>
      <c r="D42" s="6">
        <v>1659</v>
      </c>
      <c r="E42" s="9">
        <v>0.2</v>
      </c>
      <c r="F42" s="7">
        <v>484</v>
      </c>
      <c r="G42" s="8">
        <f t="shared" si="5"/>
        <v>0.8</v>
      </c>
      <c r="H42" s="9">
        <v>1</v>
      </c>
      <c r="I42" s="6">
        <f t="shared" si="0"/>
        <v>3</v>
      </c>
      <c r="J42" s="6">
        <f t="shared" si="1"/>
        <v>3</v>
      </c>
      <c r="K42" s="6">
        <f t="shared" si="2"/>
        <v>2.4000000000000004</v>
      </c>
      <c r="L42" s="6">
        <f t="shared" si="3"/>
        <v>3</v>
      </c>
      <c r="M42" s="6">
        <f t="shared" si="4"/>
        <v>2.4000000000000004</v>
      </c>
    </row>
    <row r="43" spans="1:13" x14ac:dyDescent="0.3">
      <c r="A43" s="10" t="s">
        <v>58</v>
      </c>
      <c r="B43" s="4">
        <v>44427</v>
      </c>
      <c r="D43" s="6">
        <v>1662</v>
      </c>
      <c r="E43" s="9">
        <v>0.15</v>
      </c>
      <c r="F43" s="7">
        <v>556</v>
      </c>
      <c r="G43" s="8">
        <f t="shared" si="5"/>
        <v>0.85</v>
      </c>
      <c r="H43" s="9">
        <v>1</v>
      </c>
      <c r="I43" s="6">
        <f t="shared" si="0"/>
        <v>3</v>
      </c>
      <c r="J43" s="6">
        <f t="shared" si="1"/>
        <v>3</v>
      </c>
      <c r="K43" s="6">
        <f t="shared" si="2"/>
        <v>2.5499999999999998</v>
      </c>
      <c r="L43" s="6">
        <f t="shared" si="3"/>
        <v>3</v>
      </c>
      <c r="M43" s="6">
        <f t="shared" si="4"/>
        <v>2.5499999999999998</v>
      </c>
    </row>
    <row r="44" spans="1:13" x14ac:dyDescent="0.3">
      <c r="A44" s="10" t="s">
        <v>59</v>
      </c>
      <c r="B44" s="4">
        <v>44427</v>
      </c>
      <c r="D44" s="6">
        <v>1665</v>
      </c>
      <c r="E44" s="9">
        <v>0.2</v>
      </c>
      <c r="F44" s="7">
        <v>512</v>
      </c>
      <c r="G44" s="8">
        <f t="shared" si="5"/>
        <v>0.8</v>
      </c>
      <c r="H44" s="9">
        <v>1</v>
      </c>
      <c r="I44" s="6">
        <f t="shared" si="0"/>
        <v>3</v>
      </c>
      <c r="J44" s="6">
        <f t="shared" si="1"/>
        <v>3</v>
      </c>
      <c r="K44" s="6">
        <f t="shared" si="2"/>
        <v>2.4000000000000004</v>
      </c>
      <c r="L44" s="6">
        <f t="shared" si="3"/>
        <v>3</v>
      </c>
      <c r="M44" s="6">
        <f t="shared" si="4"/>
        <v>2.4000000000000004</v>
      </c>
    </row>
    <row r="45" spans="1:13" x14ac:dyDescent="0.3">
      <c r="A45" s="10" t="s">
        <v>60</v>
      </c>
      <c r="B45" s="4">
        <v>44427</v>
      </c>
      <c r="D45" s="6">
        <v>1671</v>
      </c>
      <c r="E45" s="9">
        <v>0.25</v>
      </c>
      <c r="F45" s="7">
        <v>443</v>
      </c>
      <c r="G45" s="8">
        <f t="shared" si="5"/>
        <v>0.75</v>
      </c>
      <c r="H45" s="9">
        <v>1</v>
      </c>
      <c r="I45" s="6">
        <f t="shared" si="0"/>
        <v>6</v>
      </c>
      <c r="J45" s="6">
        <f t="shared" si="1"/>
        <v>6</v>
      </c>
      <c r="K45" s="6">
        <f>IF(J45&gt;0,J45*G45,0)</f>
        <v>4.5</v>
      </c>
      <c r="L45" s="6">
        <f t="shared" si="3"/>
        <v>6</v>
      </c>
      <c r="M45" s="6">
        <f t="shared" si="4"/>
        <v>4.5</v>
      </c>
    </row>
    <row r="46" spans="1:13" x14ac:dyDescent="0.3">
      <c r="A46" s="10" t="s">
        <v>61</v>
      </c>
      <c r="B46" s="4">
        <v>44427</v>
      </c>
      <c r="D46" s="6">
        <v>1674</v>
      </c>
      <c r="E46" s="9">
        <v>0.25</v>
      </c>
      <c r="F46" s="7">
        <v>473</v>
      </c>
      <c r="G46" s="8">
        <f t="shared" si="5"/>
        <v>0.75</v>
      </c>
      <c r="H46" s="9">
        <v>0.8</v>
      </c>
      <c r="I46" s="6">
        <f t="shared" si="0"/>
        <v>3</v>
      </c>
      <c r="J46" s="6">
        <f t="shared" si="1"/>
        <v>3</v>
      </c>
      <c r="K46" s="6">
        <f t="shared" si="2"/>
        <v>2.25</v>
      </c>
      <c r="L46" s="6">
        <f t="shared" si="3"/>
        <v>3</v>
      </c>
      <c r="M46" s="6">
        <f t="shared" si="4"/>
        <v>2.25</v>
      </c>
    </row>
    <row r="47" spans="1:13" x14ac:dyDescent="0.3">
      <c r="A47" s="10" t="s">
        <v>62</v>
      </c>
      <c r="B47" s="4">
        <v>44427</v>
      </c>
      <c r="D47" s="6">
        <v>1677</v>
      </c>
      <c r="E47" s="9">
        <v>0.2</v>
      </c>
      <c r="F47" s="7">
        <v>553</v>
      </c>
      <c r="G47" s="8">
        <f t="shared" si="5"/>
        <v>0.8</v>
      </c>
      <c r="H47" s="9">
        <v>1</v>
      </c>
      <c r="I47" s="6">
        <f t="shared" si="0"/>
        <v>3</v>
      </c>
      <c r="J47" s="6">
        <f t="shared" si="1"/>
        <v>3</v>
      </c>
      <c r="K47" s="6">
        <f t="shared" si="2"/>
        <v>2.4000000000000004</v>
      </c>
      <c r="L47" s="6">
        <f t="shared" si="3"/>
        <v>3</v>
      </c>
      <c r="M47" s="6">
        <f t="shared" si="4"/>
        <v>2.4000000000000004</v>
      </c>
    </row>
    <row r="48" spans="1:13" x14ac:dyDescent="0.3">
      <c r="A48" s="10" t="s">
        <v>63</v>
      </c>
      <c r="B48" s="4">
        <v>44427</v>
      </c>
      <c r="D48" s="6">
        <v>1680</v>
      </c>
      <c r="E48" s="9">
        <v>0.15</v>
      </c>
      <c r="F48" s="7">
        <v>600</v>
      </c>
      <c r="G48" s="8">
        <f t="shared" si="5"/>
        <v>0.85</v>
      </c>
      <c r="H48" s="9">
        <v>1</v>
      </c>
      <c r="I48" s="6">
        <f t="shared" si="0"/>
        <v>3</v>
      </c>
      <c r="J48" s="6">
        <f t="shared" si="1"/>
        <v>3</v>
      </c>
      <c r="K48" s="6">
        <f t="shared" si="2"/>
        <v>2.5499999999999998</v>
      </c>
      <c r="L48" s="6">
        <f t="shared" si="3"/>
        <v>3</v>
      </c>
      <c r="M48" s="6">
        <f t="shared" si="4"/>
        <v>2.5499999999999998</v>
      </c>
    </row>
    <row r="49" spans="1:14" x14ac:dyDescent="0.3">
      <c r="A49" s="10" t="s">
        <v>64</v>
      </c>
      <c r="B49" s="4">
        <v>44427</v>
      </c>
      <c r="D49" s="6">
        <v>1683</v>
      </c>
      <c r="E49" s="9">
        <v>0.2</v>
      </c>
      <c r="F49" s="7">
        <v>550</v>
      </c>
      <c r="G49" s="8">
        <f t="shared" si="5"/>
        <v>0.8</v>
      </c>
      <c r="H49" s="9">
        <v>1</v>
      </c>
      <c r="I49" s="6">
        <f t="shared" si="0"/>
        <v>3</v>
      </c>
      <c r="J49" s="6">
        <f t="shared" si="1"/>
        <v>3</v>
      </c>
      <c r="K49" s="6">
        <f t="shared" si="2"/>
        <v>2.4000000000000004</v>
      </c>
      <c r="L49" s="6">
        <f t="shared" si="3"/>
        <v>3</v>
      </c>
      <c r="M49" s="6">
        <f t="shared" si="4"/>
        <v>2.4000000000000004</v>
      </c>
    </row>
    <row r="50" spans="1:14" x14ac:dyDescent="0.3">
      <c r="A50" s="10" t="s">
        <v>65</v>
      </c>
      <c r="B50" s="4">
        <v>44427</v>
      </c>
      <c r="D50" s="6">
        <v>1686</v>
      </c>
      <c r="E50" s="9">
        <v>0.15</v>
      </c>
      <c r="F50" s="7">
        <v>534</v>
      </c>
      <c r="G50" s="8">
        <f t="shared" si="5"/>
        <v>0.85</v>
      </c>
      <c r="H50" s="9">
        <v>1</v>
      </c>
      <c r="I50" s="6">
        <f t="shared" si="0"/>
        <v>3</v>
      </c>
      <c r="J50" s="6">
        <f t="shared" si="1"/>
        <v>3</v>
      </c>
      <c r="K50" s="6">
        <f t="shared" si="2"/>
        <v>2.5499999999999998</v>
      </c>
      <c r="L50" s="6">
        <f t="shared" si="3"/>
        <v>3</v>
      </c>
      <c r="M50" s="6">
        <f t="shared" si="4"/>
        <v>2.5499999999999998</v>
      </c>
    </row>
    <row r="51" spans="1:14" x14ac:dyDescent="0.3">
      <c r="A51" s="10" t="s">
        <v>66</v>
      </c>
      <c r="B51" s="4">
        <v>44427</v>
      </c>
      <c r="D51" s="6">
        <v>1690</v>
      </c>
      <c r="E51" s="9">
        <v>0.15</v>
      </c>
      <c r="F51" s="7">
        <v>611</v>
      </c>
      <c r="G51" s="8">
        <f t="shared" si="5"/>
        <v>0.85</v>
      </c>
      <c r="H51" s="9">
        <v>1</v>
      </c>
      <c r="I51" s="6">
        <f t="shared" si="0"/>
        <v>4</v>
      </c>
      <c r="J51" s="6">
        <f t="shared" si="1"/>
        <v>4</v>
      </c>
      <c r="K51" s="6">
        <f t="shared" si="2"/>
        <v>3.4</v>
      </c>
      <c r="L51" s="6">
        <f t="shared" si="3"/>
        <v>4</v>
      </c>
      <c r="M51" s="6">
        <f t="shared" si="4"/>
        <v>3.4</v>
      </c>
    </row>
    <row r="52" spans="1:14" x14ac:dyDescent="0.3">
      <c r="A52" s="10" t="s">
        <v>67</v>
      </c>
      <c r="B52" s="4">
        <v>44427</v>
      </c>
      <c r="D52" s="6">
        <v>1695</v>
      </c>
      <c r="E52" s="9">
        <v>0.1</v>
      </c>
      <c r="F52" s="7">
        <v>1035</v>
      </c>
      <c r="G52" s="8">
        <f t="shared" si="5"/>
        <v>0.9</v>
      </c>
      <c r="H52" s="9">
        <v>1</v>
      </c>
      <c r="I52" s="6">
        <f t="shared" si="0"/>
        <v>5</v>
      </c>
      <c r="J52" s="6">
        <f t="shared" si="1"/>
        <v>5</v>
      </c>
      <c r="K52" s="6">
        <f t="shared" si="2"/>
        <v>4.5</v>
      </c>
      <c r="L52" s="6">
        <f t="shared" si="3"/>
        <v>5</v>
      </c>
      <c r="M52" s="6">
        <f t="shared" si="4"/>
        <v>4.5</v>
      </c>
    </row>
    <row r="53" spans="1:14" s="36" customFormat="1" x14ac:dyDescent="0.3">
      <c r="A53" s="28" t="s">
        <v>68</v>
      </c>
      <c r="B53" s="29">
        <v>44427</v>
      </c>
      <c r="C53" s="30"/>
      <c r="D53" s="31">
        <v>1700</v>
      </c>
      <c r="E53" s="32">
        <v>0.05</v>
      </c>
      <c r="F53" s="33">
        <v>1033</v>
      </c>
      <c r="G53" s="34">
        <f t="shared" si="5"/>
        <v>0.95</v>
      </c>
      <c r="H53" s="32">
        <v>1</v>
      </c>
      <c r="I53" s="31">
        <f t="shared" si="0"/>
        <v>5</v>
      </c>
      <c r="J53" s="31">
        <f t="shared" si="1"/>
        <v>5</v>
      </c>
      <c r="K53" s="31">
        <f t="shared" si="2"/>
        <v>4.75</v>
      </c>
      <c r="L53" s="31">
        <f t="shared" si="3"/>
        <v>5</v>
      </c>
      <c r="M53" s="31">
        <f t="shared" si="4"/>
        <v>4.75</v>
      </c>
      <c r="N53" s="35"/>
    </row>
    <row r="54" spans="1:14" x14ac:dyDescent="0.3">
      <c r="A54" s="10" t="s">
        <v>69</v>
      </c>
      <c r="B54" s="4">
        <v>44427</v>
      </c>
      <c r="D54" s="6">
        <v>1705</v>
      </c>
      <c r="E54" s="9">
        <v>0.1</v>
      </c>
      <c r="F54" s="7">
        <v>1148</v>
      </c>
      <c r="G54" s="8">
        <f t="shared" si="5"/>
        <v>0.9</v>
      </c>
      <c r="H54" s="9">
        <v>1</v>
      </c>
      <c r="I54" s="6">
        <f t="shared" si="0"/>
        <v>5</v>
      </c>
      <c r="J54" s="6">
        <f t="shared" si="1"/>
        <v>5</v>
      </c>
      <c r="K54" s="6">
        <f t="shared" si="2"/>
        <v>4.5</v>
      </c>
      <c r="L54" s="6">
        <f t="shared" si="3"/>
        <v>5</v>
      </c>
      <c r="M54" s="6">
        <f t="shared" si="4"/>
        <v>4.5</v>
      </c>
    </row>
    <row r="55" spans="1:14" x14ac:dyDescent="0.3">
      <c r="A55" s="10" t="s">
        <v>70</v>
      </c>
      <c r="B55" s="4">
        <v>44427</v>
      </c>
      <c r="D55" s="6">
        <v>1710</v>
      </c>
      <c r="E55" s="9">
        <v>0.1</v>
      </c>
      <c r="F55" s="7">
        <v>996</v>
      </c>
      <c r="G55" s="8">
        <f t="shared" si="5"/>
        <v>0.9</v>
      </c>
      <c r="H55" s="9">
        <v>1</v>
      </c>
      <c r="I55" s="6">
        <f t="shared" si="0"/>
        <v>5</v>
      </c>
      <c r="J55" s="6">
        <f t="shared" si="1"/>
        <v>5</v>
      </c>
      <c r="K55" s="6">
        <f t="shared" si="2"/>
        <v>4.5</v>
      </c>
      <c r="L55" s="6">
        <f t="shared" si="3"/>
        <v>5</v>
      </c>
      <c r="M55" s="6">
        <f t="shared" si="4"/>
        <v>4.5</v>
      </c>
    </row>
    <row r="56" spans="1:14" x14ac:dyDescent="0.3">
      <c r="A56" s="10" t="s">
        <v>71</v>
      </c>
      <c r="B56" s="4">
        <v>44427</v>
      </c>
      <c r="D56" s="6">
        <v>1715</v>
      </c>
      <c r="E56" s="9">
        <v>0.1</v>
      </c>
      <c r="F56" s="7">
        <v>1043</v>
      </c>
      <c r="G56" s="8">
        <f t="shared" si="5"/>
        <v>0.9</v>
      </c>
      <c r="H56" s="9">
        <v>1</v>
      </c>
      <c r="I56" s="6">
        <f t="shared" si="0"/>
        <v>5</v>
      </c>
      <c r="J56" s="6">
        <f t="shared" si="1"/>
        <v>5</v>
      </c>
      <c r="K56" s="6">
        <f t="shared" si="2"/>
        <v>4.5</v>
      </c>
      <c r="L56" s="6">
        <f t="shared" si="3"/>
        <v>5</v>
      </c>
      <c r="M56" s="6">
        <f t="shared" si="4"/>
        <v>4.5</v>
      </c>
    </row>
    <row r="57" spans="1:14" x14ac:dyDescent="0.3">
      <c r="A57" s="10" t="s">
        <v>72</v>
      </c>
      <c r="B57" s="4">
        <v>44427</v>
      </c>
      <c r="D57" s="6">
        <v>1720</v>
      </c>
      <c r="E57" s="9">
        <v>0.15</v>
      </c>
      <c r="F57" s="7">
        <v>1047</v>
      </c>
      <c r="G57" s="8">
        <f t="shared" si="5"/>
        <v>0.85</v>
      </c>
      <c r="H57" s="9">
        <v>1</v>
      </c>
      <c r="I57" s="6">
        <f t="shared" si="0"/>
        <v>5</v>
      </c>
      <c r="J57" s="6">
        <f t="shared" si="1"/>
        <v>5</v>
      </c>
      <c r="K57" s="6">
        <f t="shared" si="2"/>
        <v>4.25</v>
      </c>
      <c r="L57" s="6">
        <f t="shared" si="3"/>
        <v>5</v>
      </c>
      <c r="M57" s="6">
        <f t="shared" si="4"/>
        <v>4.25</v>
      </c>
    </row>
    <row r="58" spans="1:14" x14ac:dyDescent="0.3">
      <c r="A58" s="10" t="s">
        <v>73</v>
      </c>
      <c r="B58" s="4">
        <v>44427</v>
      </c>
      <c r="D58" s="6">
        <v>1725</v>
      </c>
      <c r="E58" s="9">
        <v>0.1</v>
      </c>
      <c r="F58" s="7">
        <v>1050</v>
      </c>
      <c r="G58" s="8">
        <f t="shared" si="5"/>
        <v>0.9</v>
      </c>
      <c r="H58" s="9">
        <v>1</v>
      </c>
      <c r="I58" s="6">
        <f t="shared" si="0"/>
        <v>5</v>
      </c>
      <c r="J58" s="6">
        <f t="shared" si="1"/>
        <v>5</v>
      </c>
      <c r="K58" s="6">
        <f t="shared" si="2"/>
        <v>4.5</v>
      </c>
      <c r="L58" s="6">
        <f t="shared" si="3"/>
        <v>5</v>
      </c>
      <c r="M58" s="6">
        <f t="shared" si="4"/>
        <v>4.5</v>
      </c>
    </row>
    <row r="59" spans="1:14" x14ac:dyDescent="0.3">
      <c r="A59" s="10" t="s">
        <v>74</v>
      </c>
      <c r="B59" s="4">
        <v>44427</v>
      </c>
      <c r="D59" s="6">
        <v>1730</v>
      </c>
      <c r="E59" s="9">
        <v>0.05</v>
      </c>
      <c r="F59" s="7">
        <v>1100</v>
      </c>
      <c r="G59" s="8">
        <f t="shared" si="5"/>
        <v>0.95</v>
      </c>
      <c r="H59" s="9">
        <v>1</v>
      </c>
      <c r="I59" s="6">
        <f t="shared" si="0"/>
        <v>5</v>
      </c>
      <c r="J59" s="6">
        <f t="shared" si="1"/>
        <v>5</v>
      </c>
      <c r="K59" s="6">
        <f t="shared" si="2"/>
        <v>4.75</v>
      </c>
      <c r="L59" s="6">
        <f t="shared" si="3"/>
        <v>5</v>
      </c>
      <c r="M59" s="6">
        <f t="shared" si="4"/>
        <v>4.75</v>
      </c>
    </row>
    <row r="60" spans="1:14" x14ac:dyDescent="0.3">
      <c r="A60" s="10" t="s">
        <v>75</v>
      </c>
      <c r="B60" s="4">
        <v>44427</v>
      </c>
      <c r="D60" s="6">
        <v>1735</v>
      </c>
      <c r="E60" s="9">
        <v>0.1</v>
      </c>
      <c r="F60" s="7">
        <v>1090</v>
      </c>
      <c r="G60" s="8">
        <f t="shared" si="5"/>
        <v>0.9</v>
      </c>
      <c r="H60" s="9">
        <v>1</v>
      </c>
      <c r="I60" s="6">
        <f t="shared" si="0"/>
        <v>5</v>
      </c>
      <c r="J60" s="6">
        <f t="shared" si="1"/>
        <v>5</v>
      </c>
      <c r="K60" s="6">
        <f t="shared" si="2"/>
        <v>4.5</v>
      </c>
      <c r="L60" s="6">
        <f t="shared" si="3"/>
        <v>5</v>
      </c>
      <c r="M60" s="6">
        <f t="shared" si="4"/>
        <v>4.5</v>
      </c>
    </row>
    <row r="61" spans="1:14" x14ac:dyDescent="0.3">
      <c r="A61" s="10" t="s">
        <v>76</v>
      </c>
      <c r="B61" s="4">
        <v>44427</v>
      </c>
      <c r="D61" s="6">
        <v>1740</v>
      </c>
      <c r="E61" s="9">
        <v>0.05</v>
      </c>
      <c r="F61" s="7">
        <v>1092</v>
      </c>
      <c r="G61" s="8">
        <f t="shared" si="5"/>
        <v>0.95</v>
      </c>
      <c r="H61" s="9">
        <v>0.9</v>
      </c>
      <c r="I61" s="6">
        <f t="shared" si="0"/>
        <v>5</v>
      </c>
      <c r="J61" s="6">
        <f t="shared" si="1"/>
        <v>5</v>
      </c>
      <c r="K61" s="6">
        <f t="shared" si="2"/>
        <v>4.75</v>
      </c>
      <c r="L61" s="6">
        <f t="shared" si="3"/>
        <v>5</v>
      </c>
      <c r="M61" s="6">
        <f t="shared" si="4"/>
        <v>4.75</v>
      </c>
    </row>
    <row r="62" spans="1:14" x14ac:dyDescent="0.3">
      <c r="A62" s="10" t="s">
        <v>77</v>
      </c>
      <c r="B62" s="4">
        <v>44427</v>
      </c>
      <c r="D62" s="6">
        <v>1745</v>
      </c>
      <c r="E62" s="9">
        <v>0.05</v>
      </c>
      <c r="F62" s="7">
        <v>970</v>
      </c>
      <c r="G62" s="8">
        <f t="shared" si="5"/>
        <v>0.95</v>
      </c>
      <c r="H62" s="9">
        <v>0.9</v>
      </c>
      <c r="I62" s="6">
        <f t="shared" si="0"/>
        <v>5</v>
      </c>
      <c r="J62" s="6">
        <f t="shared" si="1"/>
        <v>5</v>
      </c>
      <c r="K62" s="6">
        <f t="shared" si="2"/>
        <v>4.75</v>
      </c>
      <c r="L62" s="6">
        <f t="shared" si="3"/>
        <v>5</v>
      </c>
      <c r="M62" s="6">
        <f t="shared" si="4"/>
        <v>4.75</v>
      </c>
    </row>
    <row r="63" spans="1:14" x14ac:dyDescent="0.3">
      <c r="A63" s="10" t="s">
        <v>78</v>
      </c>
      <c r="B63" s="4">
        <v>44427</v>
      </c>
      <c r="D63" s="6">
        <v>1750</v>
      </c>
      <c r="E63" s="9">
        <v>0.1</v>
      </c>
      <c r="F63" s="7">
        <v>611</v>
      </c>
      <c r="G63" s="8">
        <f t="shared" si="5"/>
        <v>0.9</v>
      </c>
      <c r="H63" s="9">
        <v>0.9</v>
      </c>
      <c r="I63" s="6">
        <f t="shared" si="0"/>
        <v>5</v>
      </c>
      <c r="J63" s="6">
        <f t="shared" si="1"/>
        <v>5</v>
      </c>
      <c r="K63" s="6">
        <f t="shared" si="2"/>
        <v>4.5</v>
      </c>
      <c r="L63" s="6">
        <f t="shared" si="3"/>
        <v>5</v>
      </c>
      <c r="M63" s="6">
        <f t="shared" si="4"/>
        <v>4.5</v>
      </c>
    </row>
    <row r="64" spans="1:14" x14ac:dyDescent="0.3">
      <c r="A64" s="10" t="s">
        <v>79</v>
      </c>
      <c r="B64" s="4">
        <v>44427</v>
      </c>
      <c r="D64" s="6">
        <v>1755</v>
      </c>
      <c r="E64" s="9">
        <v>0.1</v>
      </c>
      <c r="F64" s="7">
        <v>755</v>
      </c>
      <c r="G64" s="8">
        <f t="shared" si="5"/>
        <v>0.9</v>
      </c>
      <c r="H64" s="9">
        <v>0.85</v>
      </c>
      <c r="I64" s="6">
        <f t="shared" si="0"/>
        <v>5</v>
      </c>
      <c r="J64" s="6">
        <f t="shared" si="1"/>
        <v>5</v>
      </c>
      <c r="K64" s="6">
        <f t="shared" si="2"/>
        <v>4.5</v>
      </c>
      <c r="L64" s="6">
        <f t="shared" si="3"/>
        <v>5</v>
      </c>
      <c r="M64" s="6">
        <f t="shared" si="4"/>
        <v>4.5</v>
      </c>
    </row>
    <row r="65" spans="1:14" x14ac:dyDescent="0.3">
      <c r="A65" s="10" t="s">
        <v>80</v>
      </c>
      <c r="B65" s="4">
        <v>44427</v>
      </c>
      <c r="D65" s="6">
        <v>1760</v>
      </c>
      <c r="E65" s="9">
        <v>0.15</v>
      </c>
      <c r="F65" s="7">
        <v>850</v>
      </c>
      <c r="G65" s="8">
        <f t="shared" si="5"/>
        <v>0.85</v>
      </c>
      <c r="H65" s="9">
        <v>0.9</v>
      </c>
      <c r="I65" s="6">
        <f t="shared" si="0"/>
        <v>5</v>
      </c>
      <c r="J65" s="6">
        <f t="shared" si="1"/>
        <v>5</v>
      </c>
      <c r="K65" s="6">
        <f t="shared" si="2"/>
        <v>4.25</v>
      </c>
      <c r="L65" s="6">
        <f t="shared" si="3"/>
        <v>5</v>
      </c>
      <c r="M65" s="6">
        <f t="shared" si="4"/>
        <v>4.25</v>
      </c>
    </row>
    <row r="66" spans="1:14" x14ac:dyDescent="0.3">
      <c r="A66" s="10" t="s">
        <v>81</v>
      </c>
      <c r="B66" s="4">
        <v>44427</v>
      </c>
      <c r="D66" s="6">
        <v>1765</v>
      </c>
      <c r="E66" s="9">
        <v>0.15</v>
      </c>
      <c r="F66" s="7">
        <v>845</v>
      </c>
      <c r="G66" s="8">
        <f t="shared" si="5"/>
        <v>0.85</v>
      </c>
      <c r="H66" s="9">
        <v>0.9</v>
      </c>
      <c r="I66" s="6">
        <f t="shared" si="0"/>
        <v>5</v>
      </c>
      <c r="J66" s="6">
        <f t="shared" si="1"/>
        <v>5</v>
      </c>
      <c r="K66" s="6">
        <f t="shared" si="2"/>
        <v>4.25</v>
      </c>
      <c r="L66" s="6">
        <f t="shared" si="3"/>
        <v>5</v>
      </c>
      <c r="M66" s="6">
        <f t="shared" si="4"/>
        <v>4.25</v>
      </c>
    </row>
    <row r="67" spans="1:14" x14ac:dyDescent="0.3">
      <c r="A67" s="10" t="s">
        <v>82</v>
      </c>
      <c r="B67" s="4">
        <v>44427</v>
      </c>
      <c r="D67" s="6">
        <v>1770</v>
      </c>
      <c r="E67" s="9">
        <v>0.1</v>
      </c>
      <c r="F67" s="7">
        <v>840</v>
      </c>
      <c r="G67" s="8">
        <f t="shared" si="5"/>
        <v>0.9</v>
      </c>
      <c r="H67" s="9">
        <v>0.95</v>
      </c>
      <c r="I67" s="6">
        <f t="shared" si="0"/>
        <v>5</v>
      </c>
      <c r="J67" s="6">
        <f t="shared" si="1"/>
        <v>5</v>
      </c>
      <c r="K67" s="6">
        <f t="shared" si="2"/>
        <v>4.5</v>
      </c>
      <c r="L67" s="6">
        <f t="shared" si="3"/>
        <v>5</v>
      </c>
      <c r="M67" s="6">
        <f t="shared" si="4"/>
        <v>4.5</v>
      </c>
    </row>
    <row r="68" spans="1:14" x14ac:dyDescent="0.3">
      <c r="A68" s="10" t="s">
        <v>83</v>
      </c>
      <c r="B68" s="4">
        <v>44427</v>
      </c>
      <c r="D68" s="6">
        <v>1775</v>
      </c>
      <c r="E68" s="9">
        <v>0.1</v>
      </c>
      <c r="F68" s="7">
        <v>840</v>
      </c>
      <c r="G68" s="8">
        <f t="shared" si="5"/>
        <v>0.9</v>
      </c>
      <c r="H68" s="9">
        <v>0.95</v>
      </c>
      <c r="I68" s="6">
        <f t="shared" si="0"/>
        <v>5</v>
      </c>
      <c r="J68" s="6">
        <f t="shared" ref="J68:J131" si="6">IF(AND(G68&gt;=$G$2,H68&gt;=$H$2),I68,0)</f>
        <v>5</v>
      </c>
      <c r="K68" s="6">
        <f t="shared" si="2"/>
        <v>4.5</v>
      </c>
      <c r="L68" s="6">
        <f t="shared" si="3"/>
        <v>5</v>
      </c>
      <c r="M68" s="6">
        <f t="shared" si="4"/>
        <v>4.5</v>
      </c>
    </row>
    <row r="69" spans="1:14" x14ac:dyDescent="0.3">
      <c r="A69" s="10" t="s">
        <v>84</v>
      </c>
      <c r="B69" s="4">
        <v>44427</v>
      </c>
      <c r="D69" s="6">
        <v>1780</v>
      </c>
      <c r="E69" s="9">
        <v>0.05</v>
      </c>
      <c r="F69" s="7">
        <v>865</v>
      </c>
      <c r="G69" s="8">
        <f t="shared" si="5"/>
        <v>0.95</v>
      </c>
      <c r="H69" s="9">
        <v>1</v>
      </c>
      <c r="I69" s="6">
        <f t="shared" ref="I69:I132" si="7">IF(D69&lt;&gt;"",D69-D68,"")</f>
        <v>5</v>
      </c>
      <c r="J69" s="6">
        <f t="shared" si="6"/>
        <v>5</v>
      </c>
      <c r="K69" s="6">
        <f t="shared" si="2"/>
        <v>4.75</v>
      </c>
      <c r="L69" s="6">
        <f t="shared" ref="L69:L132" si="8">IF(AND(G69&gt;=$G$3,H69&gt;=$H$3),I69,0)</f>
        <v>5</v>
      </c>
      <c r="M69" s="6">
        <f t="shared" si="4"/>
        <v>4.75</v>
      </c>
    </row>
    <row r="70" spans="1:14" x14ac:dyDescent="0.3">
      <c r="A70" s="10" t="s">
        <v>85</v>
      </c>
      <c r="B70" s="4">
        <v>44427</v>
      </c>
      <c r="D70" s="6">
        <v>1785</v>
      </c>
      <c r="E70" s="9">
        <v>0.05</v>
      </c>
      <c r="F70" s="7">
        <v>900</v>
      </c>
      <c r="G70" s="8">
        <f t="shared" si="5"/>
        <v>0.95</v>
      </c>
      <c r="H70" s="9">
        <v>1</v>
      </c>
      <c r="I70" s="6">
        <f t="shared" si="7"/>
        <v>5</v>
      </c>
      <c r="J70" s="6">
        <f t="shared" si="6"/>
        <v>5</v>
      </c>
      <c r="K70" s="6">
        <f t="shared" ref="K70:K133" si="9">IF(J70&gt;0,J70*G70,0)</f>
        <v>4.75</v>
      </c>
      <c r="L70" s="6">
        <f t="shared" si="8"/>
        <v>5</v>
      </c>
      <c r="M70" s="6">
        <f t="shared" ref="M70:M133" si="10">IF(L70&gt;0,L70*G70,0)</f>
        <v>4.75</v>
      </c>
    </row>
    <row r="71" spans="1:14" x14ac:dyDescent="0.3">
      <c r="A71" s="10" t="s">
        <v>86</v>
      </c>
      <c r="B71" s="4">
        <v>44427</v>
      </c>
      <c r="D71" s="6">
        <v>1790</v>
      </c>
      <c r="E71" s="9">
        <v>0.1</v>
      </c>
      <c r="F71" s="7">
        <v>875</v>
      </c>
      <c r="G71" s="8">
        <f t="shared" si="5"/>
        <v>0.9</v>
      </c>
      <c r="H71" s="9">
        <v>1</v>
      </c>
      <c r="I71" s="6">
        <f t="shared" si="7"/>
        <v>5</v>
      </c>
      <c r="J71" s="6">
        <f t="shared" si="6"/>
        <v>5</v>
      </c>
      <c r="K71" s="6">
        <f t="shared" si="9"/>
        <v>4.5</v>
      </c>
      <c r="L71" s="6">
        <f t="shared" si="8"/>
        <v>5</v>
      </c>
      <c r="M71" s="6">
        <f t="shared" si="10"/>
        <v>4.5</v>
      </c>
    </row>
    <row r="72" spans="1:14" x14ac:dyDescent="0.3">
      <c r="A72" s="10" t="s">
        <v>87</v>
      </c>
      <c r="B72" s="4">
        <v>44427</v>
      </c>
      <c r="D72" s="6">
        <v>1795</v>
      </c>
      <c r="E72" s="9">
        <v>0.1</v>
      </c>
      <c r="F72" s="7">
        <v>895</v>
      </c>
      <c r="G72" s="8">
        <f t="shared" si="5"/>
        <v>0.9</v>
      </c>
      <c r="H72" s="9">
        <v>1</v>
      </c>
      <c r="I72" s="6">
        <f t="shared" si="7"/>
        <v>5</v>
      </c>
      <c r="J72" s="6">
        <f t="shared" si="6"/>
        <v>5</v>
      </c>
      <c r="K72" s="6">
        <f t="shared" si="9"/>
        <v>4.5</v>
      </c>
      <c r="L72" s="6">
        <f t="shared" si="8"/>
        <v>5</v>
      </c>
      <c r="M72" s="6">
        <f t="shared" si="10"/>
        <v>4.5</v>
      </c>
    </row>
    <row r="73" spans="1:14" s="36" customFormat="1" x14ac:dyDescent="0.3">
      <c r="A73" s="28" t="s">
        <v>88</v>
      </c>
      <c r="B73" s="29">
        <v>44427</v>
      </c>
      <c r="C73" s="30"/>
      <c r="D73" s="31">
        <v>1800</v>
      </c>
      <c r="E73" s="32">
        <v>0.1</v>
      </c>
      <c r="F73" s="33">
        <v>1100</v>
      </c>
      <c r="G73" s="34">
        <f t="shared" si="5"/>
        <v>0.9</v>
      </c>
      <c r="H73" s="32">
        <v>1</v>
      </c>
      <c r="I73" s="31">
        <f t="shared" si="7"/>
        <v>5</v>
      </c>
      <c r="J73" s="31">
        <f t="shared" si="6"/>
        <v>5</v>
      </c>
      <c r="K73" s="31">
        <f t="shared" si="9"/>
        <v>4.5</v>
      </c>
      <c r="L73" s="31">
        <f t="shared" si="8"/>
        <v>5</v>
      </c>
      <c r="M73" s="31">
        <f t="shared" si="10"/>
        <v>4.5</v>
      </c>
      <c r="N73" s="35"/>
    </row>
    <row r="74" spans="1:14" x14ac:dyDescent="0.3">
      <c r="A74" s="10" t="s">
        <v>89</v>
      </c>
      <c r="B74" s="4">
        <v>44427</v>
      </c>
      <c r="D74" s="6">
        <v>1805</v>
      </c>
      <c r="E74" s="9">
        <v>0.05</v>
      </c>
      <c r="F74" s="7">
        <v>1260</v>
      </c>
      <c r="G74" s="8">
        <f t="shared" si="5"/>
        <v>0.95</v>
      </c>
      <c r="H74" s="9">
        <v>1</v>
      </c>
      <c r="I74" s="6">
        <f t="shared" si="7"/>
        <v>5</v>
      </c>
      <c r="J74" s="6">
        <f t="shared" si="6"/>
        <v>5</v>
      </c>
      <c r="K74" s="6">
        <f t="shared" si="9"/>
        <v>4.75</v>
      </c>
      <c r="L74" s="6">
        <f t="shared" si="8"/>
        <v>5</v>
      </c>
      <c r="M74" s="6">
        <f t="shared" si="10"/>
        <v>4.75</v>
      </c>
    </row>
    <row r="75" spans="1:14" x14ac:dyDescent="0.3">
      <c r="A75" s="10" t="s">
        <v>90</v>
      </c>
      <c r="B75" s="4">
        <v>44427</v>
      </c>
      <c r="D75" s="6">
        <v>1810</v>
      </c>
      <c r="E75" s="9">
        <v>0</v>
      </c>
      <c r="F75" s="7">
        <v>1215</v>
      </c>
      <c r="G75" s="8">
        <f t="shared" si="5"/>
        <v>1</v>
      </c>
      <c r="H75" s="9">
        <v>1</v>
      </c>
      <c r="I75" s="6">
        <f t="shared" si="7"/>
        <v>5</v>
      </c>
      <c r="J75" s="6">
        <f t="shared" si="6"/>
        <v>5</v>
      </c>
      <c r="K75" s="6">
        <f t="shared" si="9"/>
        <v>5</v>
      </c>
      <c r="L75" s="6">
        <f t="shared" si="8"/>
        <v>5</v>
      </c>
      <c r="M75" s="6">
        <f t="shared" si="10"/>
        <v>5</v>
      </c>
    </row>
    <row r="76" spans="1:14" x14ac:dyDescent="0.3">
      <c r="A76" s="10" t="s">
        <v>91</v>
      </c>
      <c r="B76" s="4">
        <v>44427</v>
      </c>
      <c r="C76" s="5">
        <v>0.98611111111111116</v>
      </c>
      <c r="D76" s="6">
        <v>1815</v>
      </c>
      <c r="E76" s="9">
        <v>0</v>
      </c>
      <c r="F76" s="7">
        <v>1270</v>
      </c>
      <c r="G76" s="8">
        <f t="shared" si="5"/>
        <v>1</v>
      </c>
      <c r="H76" s="9">
        <v>1</v>
      </c>
      <c r="I76" s="6">
        <f t="shared" si="7"/>
        <v>5</v>
      </c>
      <c r="J76" s="6">
        <f t="shared" si="6"/>
        <v>5</v>
      </c>
      <c r="K76" s="6">
        <f t="shared" si="9"/>
        <v>5</v>
      </c>
      <c r="L76" s="6">
        <f t="shared" si="8"/>
        <v>5</v>
      </c>
      <c r="M76" s="6">
        <f t="shared" si="10"/>
        <v>5</v>
      </c>
    </row>
    <row r="77" spans="1:14" x14ac:dyDescent="0.3">
      <c r="A77" s="10" t="s">
        <v>92</v>
      </c>
      <c r="B77" s="4">
        <v>44428</v>
      </c>
      <c r="C77" s="5">
        <v>5.5555555555555558E-3</v>
      </c>
      <c r="D77" s="6">
        <v>1820</v>
      </c>
      <c r="E77" s="9">
        <v>0</v>
      </c>
      <c r="F77" s="7">
        <v>1280</v>
      </c>
      <c r="G77" s="8">
        <f t="shared" si="5"/>
        <v>1</v>
      </c>
      <c r="H77" s="9">
        <v>1</v>
      </c>
      <c r="I77" s="6">
        <f t="shared" si="7"/>
        <v>5</v>
      </c>
      <c r="J77" s="6">
        <f t="shared" si="6"/>
        <v>5</v>
      </c>
      <c r="K77" s="6">
        <f t="shared" si="9"/>
        <v>5</v>
      </c>
      <c r="L77" s="6">
        <f t="shared" si="8"/>
        <v>5</v>
      </c>
      <c r="M77" s="6">
        <f t="shared" si="10"/>
        <v>5</v>
      </c>
    </row>
    <row r="78" spans="1:14" x14ac:dyDescent="0.3">
      <c r="A78" s="10" t="s">
        <v>94</v>
      </c>
      <c r="B78" s="4">
        <v>44428</v>
      </c>
      <c r="C78" s="5">
        <v>5.5555555555555558E-3</v>
      </c>
      <c r="D78" s="6">
        <v>1825</v>
      </c>
      <c r="E78" s="9">
        <v>0</v>
      </c>
      <c r="F78" s="7">
        <v>1290</v>
      </c>
      <c r="G78" s="8">
        <f t="shared" si="5"/>
        <v>1</v>
      </c>
      <c r="H78" s="9">
        <v>1</v>
      </c>
      <c r="I78" s="6">
        <f t="shared" si="7"/>
        <v>5</v>
      </c>
      <c r="J78" s="6">
        <f t="shared" si="6"/>
        <v>5</v>
      </c>
      <c r="K78" s="6">
        <f t="shared" si="9"/>
        <v>5</v>
      </c>
      <c r="L78" s="6">
        <f t="shared" si="8"/>
        <v>5</v>
      </c>
      <c r="M78" s="6">
        <f t="shared" si="10"/>
        <v>5</v>
      </c>
    </row>
    <row r="79" spans="1:14" x14ac:dyDescent="0.3">
      <c r="A79" s="10" t="s">
        <v>95</v>
      </c>
      <c r="B79" s="4">
        <v>44428</v>
      </c>
      <c r="C79" s="5">
        <v>0.51597222222222217</v>
      </c>
      <c r="D79" s="6">
        <v>1830</v>
      </c>
      <c r="E79" s="9">
        <v>0.1</v>
      </c>
      <c r="F79" s="7">
        <v>1285</v>
      </c>
      <c r="G79" s="8">
        <f t="shared" si="5"/>
        <v>0.9</v>
      </c>
      <c r="H79" s="9">
        <v>1</v>
      </c>
      <c r="I79" s="6">
        <f t="shared" si="7"/>
        <v>5</v>
      </c>
      <c r="J79" s="6">
        <f t="shared" si="6"/>
        <v>5</v>
      </c>
      <c r="K79" s="6">
        <f t="shared" si="9"/>
        <v>4.5</v>
      </c>
      <c r="L79" s="6">
        <f t="shared" si="8"/>
        <v>5</v>
      </c>
      <c r="M79" s="6">
        <f t="shared" si="10"/>
        <v>4.5</v>
      </c>
    </row>
    <row r="80" spans="1:14" x14ac:dyDescent="0.3">
      <c r="A80" s="10" t="s">
        <v>96</v>
      </c>
      <c r="B80" s="4">
        <v>44428</v>
      </c>
      <c r="C80" s="5">
        <v>0.53680555555555554</v>
      </c>
      <c r="D80" s="6">
        <v>1835</v>
      </c>
      <c r="E80" s="9">
        <v>0.1</v>
      </c>
      <c r="F80" s="7">
        <v>1270</v>
      </c>
      <c r="G80" s="8">
        <f t="shared" si="5"/>
        <v>0.9</v>
      </c>
      <c r="H80" s="9">
        <v>0.9</v>
      </c>
      <c r="I80" s="6">
        <f t="shared" si="7"/>
        <v>5</v>
      </c>
      <c r="J80" s="6">
        <f t="shared" si="6"/>
        <v>5</v>
      </c>
      <c r="K80" s="6">
        <f t="shared" si="9"/>
        <v>4.5</v>
      </c>
      <c r="L80" s="6">
        <f t="shared" si="8"/>
        <v>5</v>
      </c>
      <c r="M80" s="6">
        <f t="shared" si="10"/>
        <v>4.5</v>
      </c>
    </row>
    <row r="81" spans="1:14" x14ac:dyDescent="0.3">
      <c r="A81" s="10" t="s">
        <v>97</v>
      </c>
      <c r="B81" s="4">
        <v>44428</v>
      </c>
      <c r="C81" s="5">
        <v>4.3055555555555562E-2</v>
      </c>
      <c r="D81" s="6">
        <v>1839</v>
      </c>
      <c r="E81" s="9">
        <v>0.5</v>
      </c>
      <c r="F81" s="7">
        <v>790</v>
      </c>
      <c r="G81" s="8">
        <f t="shared" si="5"/>
        <v>0.5</v>
      </c>
      <c r="H81" s="9">
        <v>0.7</v>
      </c>
      <c r="I81" s="6">
        <f t="shared" si="7"/>
        <v>4</v>
      </c>
      <c r="J81" s="6">
        <f t="shared" si="6"/>
        <v>0</v>
      </c>
      <c r="K81" s="6">
        <f t="shared" si="9"/>
        <v>0</v>
      </c>
      <c r="L81" s="6">
        <f t="shared" si="8"/>
        <v>0</v>
      </c>
      <c r="M81" s="6">
        <f t="shared" si="10"/>
        <v>0</v>
      </c>
    </row>
    <row r="82" spans="1:14" x14ac:dyDescent="0.3">
      <c r="A82" s="10" t="s">
        <v>98</v>
      </c>
      <c r="B82" s="4">
        <v>44428</v>
      </c>
      <c r="C82" s="5">
        <v>4.9999999999999996E-2</v>
      </c>
      <c r="D82" s="6">
        <v>1842</v>
      </c>
      <c r="E82" s="9">
        <v>0.45</v>
      </c>
      <c r="F82" s="7">
        <v>742</v>
      </c>
      <c r="G82" s="8">
        <f t="shared" si="5"/>
        <v>0.55000000000000004</v>
      </c>
      <c r="H82" s="9">
        <v>0.7</v>
      </c>
      <c r="I82" s="6">
        <f t="shared" si="7"/>
        <v>3</v>
      </c>
      <c r="J82" s="6">
        <f t="shared" si="6"/>
        <v>0</v>
      </c>
      <c r="K82" s="6">
        <f t="shared" si="9"/>
        <v>0</v>
      </c>
      <c r="L82" s="6">
        <f t="shared" si="8"/>
        <v>3</v>
      </c>
      <c r="M82" s="6">
        <f t="shared" si="10"/>
        <v>1.6500000000000001</v>
      </c>
    </row>
    <row r="83" spans="1:14" x14ac:dyDescent="0.3">
      <c r="A83" s="10" t="s">
        <v>99</v>
      </c>
      <c r="B83" s="4">
        <v>44428</v>
      </c>
      <c r="C83" s="5">
        <v>5.9027777777777783E-2</v>
      </c>
      <c r="D83" s="6">
        <v>1845</v>
      </c>
      <c r="E83" s="9">
        <v>0.45</v>
      </c>
      <c r="F83" s="7">
        <v>730</v>
      </c>
      <c r="G83" s="8">
        <f t="shared" si="5"/>
        <v>0.55000000000000004</v>
      </c>
      <c r="H83" s="9">
        <v>0.7</v>
      </c>
      <c r="I83" s="6">
        <f t="shared" si="7"/>
        <v>3</v>
      </c>
      <c r="J83" s="6">
        <f t="shared" si="6"/>
        <v>0</v>
      </c>
      <c r="K83" s="6">
        <f t="shared" si="9"/>
        <v>0</v>
      </c>
      <c r="L83" s="6">
        <f t="shared" si="8"/>
        <v>3</v>
      </c>
      <c r="M83" s="6">
        <f t="shared" si="10"/>
        <v>1.6500000000000001</v>
      </c>
    </row>
    <row r="84" spans="1:14" x14ac:dyDescent="0.3">
      <c r="A84" s="10" t="s">
        <v>100</v>
      </c>
      <c r="B84" s="4">
        <v>44428</v>
      </c>
      <c r="C84" s="5">
        <v>7.2916666666666671E-2</v>
      </c>
      <c r="D84" s="6">
        <v>1848</v>
      </c>
      <c r="E84" s="9">
        <v>0.4</v>
      </c>
      <c r="F84" s="7">
        <v>780</v>
      </c>
      <c r="G84" s="8">
        <f t="shared" si="5"/>
        <v>0.6</v>
      </c>
      <c r="H84" s="9">
        <v>0.7</v>
      </c>
      <c r="I84" s="6">
        <f t="shared" si="7"/>
        <v>3</v>
      </c>
      <c r="J84" s="6">
        <f t="shared" si="6"/>
        <v>0</v>
      </c>
      <c r="K84" s="6">
        <f t="shared" si="9"/>
        <v>0</v>
      </c>
      <c r="L84" s="6">
        <f t="shared" si="8"/>
        <v>3</v>
      </c>
      <c r="M84" s="6">
        <f t="shared" si="10"/>
        <v>1.7999999999999998</v>
      </c>
    </row>
    <row r="85" spans="1:14" x14ac:dyDescent="0.3">
      <c r="A85" s="10" t="s">
        <v>101</v>
      </c>
      <c r="B85" s="4">
        <v>44428</v>
      </c>
      <c r="C85" s="5">
        <v>8.7500000000000008E-2</v>
      </c>
      <c r="D85" s="6">
        <v>1851</v>
      </c>
      <c r="E85" s="9">
        <v>0.2</v>
      </c>
      <c r="F85" s="7">
        <v>925</v>
      </c>
      <c r="G85" s="8">
        <f t="shared" si="5"/>
        <v>0.8</v>
      </c>
      <c r="H85" s="9">
        <v>0.9</v>
      </c>
      <c r="I85" s="6">
        <f t="shared" si="7"/>
        <v>3</v>
      </c>
      <c r="J85" s="6">
        <f t="shared" si="6"/>
        <v>3</v>
      </c>
      <c r="K85" s="6">
        <f t="shared" si="9"/>
        <v>2.4000000000000004</v>
      </c>
      <c r="L85" s="6">
        <f t="shared" si="8"/>
        <v>3</v>
      </c>
      <c r="M85" s="6">
        <f t="shared" si="10"/>
        <v>2.4000000000000004</v>
      </c>
    </row>
    <row r="86" spans="1:14" x14ac:dyDescent="0.3">
      <c r="A86" s="10" t="s">
        <v>102</v>
      </c>
      <c r="B86" s="4">
        <v>44428</v>
      </c>
      <c r="C86" s="5">
        <v>9.930555555555555E-2</v>
      </c>
      <c r="D86" s="6">
        <v>1855</v>
      </c>
      <c r="E86" s="9">
        <v>0.2</v>
      </c>
      <c r="F86" s="7">
        <v>1390</v>
      </c>
      <c r="G86" s="8">
        <f t="shared" si="5"/>
        <v>0.8</v>
      </c>
      <c r="H86" s="9">
        <v>1</v>
      </c>
      <c r="I86" s="6">
        <f t="shared" si="7"/>
        <v>4</v>
      </c>
      <c r="J86" s="6">
        <f t="shared" si="6"/>
        <v>4</v>
      </c>
      <c r="K86" s="6">
        <f t="shared" si="9"/>
        <v>3.2</v>
      </c>
      <c r="L86" s="6">
        <f t="shared" si="8"/>
        <v>4</v>
      </c>
      <c r="M86" s="6">
        <f t="shared" si="10"/>
        <v>3.2</v>
      </c>
    </row>
    <row r="87" spans="1:14" x14ac:dyDescent="0.3">
      <c r="A87" s="10" t="s">
        <v>103</v>
      </c>
      <c r="B87" s="4">
        <v>44428</v>
      </c>
      <c r="C87" s="5">
        <v>0.1076388888888889</v>
      </c>
      <c r="D87" s="6">
        <v>1860</v>
      </c>
      <c r="E87" s="9">
        <v>0.1</v>
      </c>
      <c r="F87" s="7">
        <v>1420</v>
      </c>
      <c r="G87" s="8">
        <f t="shared" si="5"/>
        <v>0.9</v>
      </c>
      <c r="H87" s="9">
        <v>1</v>
      </c>
      <c r="I87" s="6">
        <f t="shared" si="7"/>
        <v>5</v>
      </c>
      <c r="J87" s="6">
        <f t="shared" si="6"/>
        <v>5</v>
      </c>
      <c r="K87" s="6">
        <f t="shared" si="9"/>
        <v>4.5</v>
      </c>
      <c r="L87" s="6">
        <f t="shared" si="8"/>
        <v>5</v>
      </c>
      <c r="M87" s="6">
        <f t="shared" si="10"/>
        <v>4.5</v>
      </c>
    </row>
    <row r="88" spans="1:14" x14ac:dyDescent="0.3">
      <c r="A88" s="10" t="s">
        <v>104</v>
      </c>
      <c r="B88" s="4">
        <v>44428</v>
      </c>
      <c r="C88" s="5">
        <v>0.11597222222222221</v>
      </c>
      <c r="D88" s="6">
        <v>1865</v>
      </c>
      <c r="E88" s="9">
        <v>0.05</v>
      </c>
      <c r="F88" s="7">
        <v>1370</v>
      </c>
      <c r="G88" s="8">
        <f t="shared" si="5"/>
        <v>0.95</v>
      </c>
      <c r="H88" s="9">
        <v>1</v>
      </c>
      <c r="I88" s="6">
        <f t="shared" si="7"/>
        <v>5</v>
      </c>
      <c r="J88" s="6">
        <f t="shared" si="6"/>
        <v>5</v>
      </c>
      <c r="K88" s="6">
        <f t="shared" si="9"/>
        <v>4.75</v>
      </c>
      <c r="L88" s="6">
        <f t="shared" si="8"/>
        <v>5</v>
      </c>
      <c r="M88" s="6">
        <f t="shared" si="10"/>
        <v>4.75</v>
      </c>
    </row>
    <row r="89" spans="1:14" x14ac:dyDescent="0.3">
      <c r="A89" s="10" t="s">
        <v>105</v>
      </c>
      <c r="B89" s="4">
        <v>44428</v>
      </c>
      <c r="C89" s="5">
        <v>0.12638888888888888</v>
      </c>
      <c r="D89" s="6">
        <v>1870</v>
      </c>
      <c r="E89" s="9">
        <v>0</v>
      </c>
      <c r="F89" s="7">
        <v>1495</v>
      </c>
      <c r="G89" s="8">
        <f t="shared" si="5"/>
        <v>1</v>
      </c>
      <c r="H89" s="9">
        <v>1</v>
      </c>
      <c r="I89" s="6">
        <f t="shared" si="7"/>
        <v>5</v>
      </c>
      <c r="J89" s="6">
        <f t="shared" si="6"/>
        <v>5</v>
      </c>
      <c r="K89" s="6">
        <f t="shared" si="9"/>
        <v>5</v>
      </c>
      <c r="L89" s="6">
        <f t="shared" si="8"/>
        <v>5</v>
      </c>
      <c r="M89" s="6">
        <f t="shared" si="10"/>
        <v>5</v>
      </c>
    </row>
    <row r="90" spans="1:14" x14ac:dyDescent="0.3">
      <c r="A90" s="10" t="s">
        <v>106</v>
      </c>
      <c r="B90" s="4">
        <v>44428</v>
      </c>
      <c r="C90" s="5">
        <v>0.13749999999999998</v>
      </c>
      <c r="D90" s="6">
        <v>1875</v>
      </c>
      <c r="E90" s="9">
        <v>0</v>
      </c>
      <c r="F90" s="7">
        <v>1600</v>
      </c>
      <c r="G90" s="8">
        <f t="shared" si="5"/>
        <v>1</v>
      </c>
      <c r="H90" s="9">
        <v>1</v>
      </c>
      <c r="I90" s="6">
        <f t="shared" si="7"/>
        <v>5</v>
      </c>
      <c r="J90" s="6">
        <f t="shared" si="6"/>
        <v>5</v>
      </c>
      <c r="K90" s="6">
        <f t="shared" si="9"/>
        <v>5</v>
      </c>
      <c r="L90" s="6">
        <f t="shared" si="8"/>
        <v>5</v>
      </c>
      <c r="M90" s="6">
        <f t="shared" si="10"/>
        <v>5</v>
      </c>
    </row>
    <row r="91" spans="1:14" x14ac:dyDescent="0.3">
      <c r="A91" s="10" t="s">
        <v>107</v>
      </c>
      <c r="B91" s="4">
        <v>44428</v>
      </c>
      <c r="C91" s="5">
        <v>0.14930555555555555</v>
      </c>
      <c r="D91" s="6">
        <v>1880</v>
      </c>
      <c r="E91" s="9">
        <v>0.05</v>
      </c>
      <c r="F91" s="7">
        <v>1275</v>
      </c>
      <c r="G91" s="8">
        <f t="shared" si="5"/>
        <v>0.95</v>
      </c>
      <c r="H91" s="9">
        <v>0.9</v>
      </c>
      <c r="I91" s="6">
        <f t="shared" si="7"/>
        <v>5</v>
      </c>
      <c r="J91" s="6">
        <f t="shared" si="6"/>
        <v>5</v>
      </c>
      <c r="K91" s="6">
        <f t="shared" si="9"/>
        <v>4.75</v>
      </c>
      <c r="L91" s="6">
        <f t="shared" si="8"/>
        <v>5</v>
      </c>
      <c r="M91" s="6">
        <f t="shared" si="10"/>
        <v>4.75</v>
      </c>
    </row>
    <row r="92" spans="1:14" x14ac:dyDescent="0.3">
      <c r="A92" s="10" t="s">
        <v>108</v>
      </c>
      <c r="B92" s="4">
        <v>44428</v>
      </c>
      <c r="C92" s="5">
        <v>0.16388888888888889</v>
      </c>
      <c r="D92" s="6">
        <v>1885</v>
      </c>
      <c r="E92" s="9">
        <v>0.05</v>
      </c>
      <c r="F92" s="7">
        <v>1060</v>
      </c>
      <c r="G92" s="8">
        <f t="shared" si="5"/>
        <v>0.95</v>
      </c>
      <c r="H92" s="9">
        <v>1</v>
      </c>
      <c r="I92" s="6">
        <f t="shared" si="7"/>
        <v>5</v>
      </c>
      <c r="J92" s="6">
        <f t="shared" si="6"/>
        <v>5</v>
      </c>
      <c r="K92" s="6">
        <f t="shared" si="9"/>
        <v>4.75</v>
      </c>
      <c r="L92" s="6">
        <f t="shared" si="8"/>
        <v>5</v>
      </c>
      <c r="M92" s="6">
        <f t="shared" si="10"/>
        <v>4.75</v>
      </c>
    </row>
    <row r="93" spans="1:14" x14ac:dyDescent="0.3">
      <c r="A93" s="10" t="s">
        <v>109</v>
      </c>
      <c r="B93" s="4">
        <v>44428</v>
      </c>
      <c r="C93" s="5">
        <v>0.18124999999999999</v>
      </c>
      <c r="D93" s="6">
        <v>1890</v>
      </c>
      <c r="E93" s="9">
        <v>0.1</v>
      </c>
      <c r="F93" s="7">
        <v>1323</v>
      </c>
      <c r="G93" s="8">
        <f t="shared" si="5"/>
        <v>0.9</v>
      </c>
      <c r="H93" s="9">
        <v>1</v>
      </c>
      <c r="I93" s="6">
        <f t="shared" si="7"/>
        <v>5</v>
      </c>
      <c r="J93" s="6">
        <f t="shared" si="6"/>
        <v>5</v>
      </c>
      <c r="K93" s="6">
        <f t="shared" si="9"/>
        <v>4.5</v>
      </c>
      <c r="L93" s="6">
        <f t="shared" si="8"/>
        <v>5</v>
      </c>
      <c r="M93" s="6">
        <f t="shared" si="10"/>
        <v>4.5</v>
      </c>
    </row>
    <row r="94" spans="1:14" x14ac:dyDescent="0.3">
      <c r="A94" s="10" t="s">
        <v>110</v>
      </c>
      <c r="B94" s="4">
        <v>44428</v>
      </c>
      <c r="C94" s="5">
        <v>0.20625000000000002</v>
      </c>
      <c r="D94" s="6">
        <v>1895</v>
      </c>
      <c r="E94" s="9">
        <v>0.1</v>
      </c>
      <c r="F94" s="7">
        <v>1043</v>
      </c>
      <c r="G94" s="8">
        <f t="shared" si="5"/>
        <v>0.9</v>
      </c>
      <c r="H94" s="9">
        <v>1</v>
      </c>
      <c r="I94" s="6">
        <f t="shared" si="7"/>
        <v>5</v>
      </c>
      <c r="J94" s="6">
        <f t="shared" si="6"/>
        <v>5</v>
      </c>
      <c r="K94" s="6">
        <f t="shared" si="9"/>
        <v>4.5</v>
      </c>
      <c r="L94" s="6">
        <f t="shared" si="8"/>
        <v>5</v>
      </c>
      <c r="M94" s="6">
        <f t="shared" si="10"/>
        <v>4.5</v>
      </c>
    </row>
    <row r="95" spans="1:14" s="36" customFormat="1" x14ac:dyDescent="0.3">
      <c r="A95" s="28" t="s">
        <v>111</v>
      </c>
      <c r="B95" s="29">
        <v>44428</v>
      </c>
      <c r="C95" s="30">
        <v>0.21736111111111112</v>
      </c>
      <c r="D95" s="31">
        <v>1900</v>
      </c>
      <c r="E95" s="32">
        <v>0.05</v>
      </c>
      <c r="F95" s="33">
        <v>1097</v>
      </c>
      <c r="G95" s="34">
        <f t="shared" si="5"/>
        <v>0.95</v>
      </c>
      <c r="H95" s="32">
        <v>1</v>
      </c>
      <c r="I95" s="31">
        <f t="shared" si="7"/>
        <v>5</v>
      </c>
      <c r="J95" s="31">
        <f t="shared" si="6"/>
        <v>5</v>
      </c>
      <c r="K95" s="31">
        <f t="shared" si="9"/>
        <v>4.75</v>
      </c>
      <c r="L95" s="31">
        <f t="shared" si="8"/>
        <v>5</v>
      </c>
      <c r="M95" s="31">
        <f t="shared" si="10"/>
        <v>4.75</v>
      </c>
      <c r="N95" s="35"/>
    </row>
    <row r="96" spans="1:14" x14ac:dyDescent="0.3">
      <c r="A96" s="10" t="s">
        <v>112</v>
      </c>
      <c r="B96" s="4">
        <v>44428</v>
      </c>
      <c r="C96" s="5">
        <v>0.22569444444444445</v>
      </c>
      <c r="D96" s="6">
        <v>1905</v>
      </c>
      <c r="E96" s="9">
        <v>0.05</v>
      </c>
      <c r="F96" s="7">
        <v>1060</v>
      </c>
      <c r="G96" s="8">
        <f t="shared" si="5"/>
        <v>0.95</v>
      </c>
      <c r="H96" s="9">
        <v>1</v>
      </c>
      <c r="I96" s="6">
        <f t="shared" si="7"/>
        <v>5</v>
      </c>
      <c r="J96" s="6">
        <f t="shared" si="6"/>
        <v>5</v>
      </c>
      <c r="K96" s="6">
        <f t="shared" si="9"/>
        <v>4.75</v>
      </c>
      <c r="L96" s="6">
        <f t="shared" si="8"/>
        <v>5</v>
      </c>
      <c r="M96" s="6">
        <f t="shared" si="10"/>
        <v>4.75</v>
      </c>
    </row>
    <row r="97" spans="1:13" x14ac:dyDescent="0.3">
      <c r="A97" s="10" t="s">
        <v>113</v>
      </c>
      <c r="B97" s="4">
        <v>44428</v>
      </c>
      <c r="C97" s="5">
        <v>0.23611111111111113</v>
      </c>
      <c r="D97" s="6">
        <v>1910</v>
      </c>
      <c r="E97" s="9">
        <v>0.05</v>
      </c>
      <c r="F97" s="7">
        <v>1112</v>
      </c>
      <c r="G97" s="8">
        <f t="shared" si="5"/>
        <v>0.95</v>
      </c>
      <c r="H97" s="9">
        <v>1</v>
      </c>
      <c r="I97" s="6">
        <f t="shared" si="7"/>
        <v>5</v>
      </c>
      <c r="J97" s="6">
        <f t="shared" si="6"/>
        <v>5</v>
      </c>
      <c r="K97" s="6">
        <f t="shared" si="9"/>
        <v>4.75</v>
      </c>
      <c r="L97" s="6">
        <f t="shared" si="8"/>
        <v>5</v>
      </c>
      <c r="M97" s="6">
        <f t="shared" si="10"/>
        <v>4.75</v>
      </c>
    </row>
    <row r="98" spans="1:13" x14ac:dyDescent="0.3">
      <c r="A98" s="10" t="s">
        <v>114</v>
      </c>
      <c r="B98" s="4">
        <v>44428</v>
      </c>
      <c r="C98" s="5">
        <v>0.24791666666666667</v>
      </c>
      <c r="D98" s="6">
        <v>1915</v>
      </c>
      <c r="E98" s="9">
        <v>0.05</v>
      </c>
      <c r="F98" s="7">
        <v>1026</v>
      </c>
      <c r="G98" s="8">
        <f t="shared" ref="G98:G161" si="11">100%-E98</f>
        <v>0.95</v>
      </c>
      <c r="H98" s="9">
        <v>1</v>
      </c>
      <c r="I98" s="6">
        <f t="shared" si="7"/>
        <v>5</v>
      </c>
      <c r="J98" s="6">
        <f t="shared" si="6"/>
        <v>5</v>
      </c>
      <c r="K98" s="6">
        <f t="shared" si="9"/>
        <v>4.75</v>
      </c>
      <c r="L98" s="6">
        <f t="shared" si="8"/>
        <v>5</v>
      </c>
      <c r="M98" s="6">
        <f t="shared" si="10"/>
        <v>4.75</v>
      </c>
    </row>
    <row r="99" spans="1:13" x14ac:dyDescent="0.3">
      <c r="A99" s="10" t="s">
        <v>115</v>
      </c>
      <c r="B99" s="4">
        <v>44428</v>
      </c>
      <c r="C99" s="5">
        <v>0.26111111111111113</v>
      </c>
      <c r="D99" s="6">
        <v>1920</v>
      </c>
      <c r="E99" s="9">
        <v>0.05</v>
      </c>
      <c r="F99" s="7">
        <v>998</v>
      </c>
      <c r="G99" s="8">
        <f t="shared" si="11"/>
        <v>0.95</v>
      </c>
      <c r="H99" s="9">
        <v>0.8</v>
      </c>
      <c r="I99" s="6">
        <f t="shared" si="7"/>
        <v>5</v>
      </c>
      <c r="J99" s="6">
        <f t="shared" si="6"/>
        <v>5</v>
      </c>
      <c r="K99" s="6">
        <f t="shared" si="9"/>
        <v>4.75</v>
      </c>
      <c r="L99" s="6">
        <f t="shared" si="8"/>
        <v>5</v>
      </c>
      <c r="M99" s="6">
        <f t="shared" si="10"/>
        <v>4.75</v>
      </c>
    </row>
    <row r="100" spans="1:13" x14ac:dyDescent="0.3">
      <c r="A100" s="10" t="s">
        <v>116</v>
      </c>
      <c r="B100" s="4">
        <v>44428</v>
      </c>
      <c r="C100" s="5">
        <v>0.27152777777777776</v>
      </c>
      <c r="D100" s="6">
        <v>1925</v>
      </c>
      <c r="E100" s="9">
        <v>0.05</v>
      </c>
      <c r="F100" s="7">
        <v>1015</v>
      </c>
      <c r="G100" s="8">
        <f t="shared" si="11"/>
        <v>0.95</v>
      </c>
      <c r="H100" s="9">
        <v>1</v>
      </c>
      <c r="I100" s="6">
        <f t="shared" si="7"/>
        <v>5</v>
      </c>
      <c r="J100" s="6">
        <f t="shared" si="6"/>
        <v>5</v>
      </c>
      <c r="K100" s="6">
        <f t="shared" si="9"/>
        <v>4.75</v>
      </c>
      <c r="L100" s="6">
        <f t="shared" si="8"/>
        <v>5</v>
      </c>
      <c r="M100" s="6">
        <f t="shared" si="10"/>
        <v>4.75</v>
      </c>
    </row>
    <row r="101" spans="1:13" x14ac:dyDescent="0.3">
      <c r="A101" s="10" t="s">
        <v>117</v>
      </c>
      <c r="B101" s="4">
        <v>44428</v>
      </c>
      <c r="C101" s="5">
        <v>0.28055555555555556</v>
      </c>
      <c r="D101" s="6">
        <v>1930</v>
      </c>
      <c r="E101" s="9">
        <v>0.05</v>
      </c>
      <c r="F101" s="7">
        <v>1136</v>
      </c>
      <c r="G101" s="8">
        <f t="shared" si="11"/>
        <v>0.95</v>
      </c>
      <c r="H101" s="9">
        <v>1</v>
      </c>
      <c r="I101" s="6">
        <f t="shared" si="7"/>
        <v>5</v>
      </c>
      <c r="J101" s="6">
        <f t="shared" si="6"/>
        <v>5</v>
      </c>
      <c r="K101" s="6">
        <f t="shared" si="9"/>
        <v>4.75</v>
      </c>
      <c r="L101" s="6">
        <f t="shared" si="8"/>
        <v>5</v>
      </c>
      <c r="M101" s="6">
        <f t="shared" si="10"/>
        <v>4.75</v>
      </c>
    </row>
    <row r="102" spans="1:13" x14ac:dyDescent="0.3">
      <c r="A102" s="10" t="s">
        <v>118</v>
      </c>
      <c r="B102" s="4">
        <v>44428</v>
      </c>
      <c r="C102" s="5">
        <v>0.29305555555555557</v>
      </c>
      <c r="D102" s="6">
        <v>1935</v>
      </c>
      <c r="E102" s="9">
        <v>0.1</v>
      </c>
      <c r="F102" s="7">
        <v>1185</v>
      </c>
      <c r="G102" s="8">
        <f t="shared" si="11"/>
        <v>0.9</v>
      </c>
      <c r="H102" s="9">
        <v>1</v>
      </c>
      <c r="I102" s="6">
        <f t="shared" si="7"/>
        <v>5</v>
      </c>
      <c r="J102" s="6">
        <f t="shared" si="6"/>
        <v>5</v>
      </c>
      <c r="K102" s="6">
        <f t="shared" si="9"/>
        <v>4.5</v>
      </c>
      <c r="L102" s="6">
        <f t="shared" si="8"/>
        <v>5</v>
      </c>
      <c r="M102" s="6">
        <f t="shared" si="10"/>
        <v>4.5</v>
      </c>
    </row>
    <row r="103" spans="1:13" x14ac:dyDescent="0.3">
      <c r="A103" s="10" t="s">
        <v>119</v>
      </c>
      <c r="B103" s="4">
        <v>44428</v>
      </c>
      <c r="C103" s="5">
        <v>0.30624999999999997</v>
      </c>
      <c r="D103" s="6">
        <v>1940</v>
      </c>
      <c r="E103" s="9">
        <v>0.1</v>
      </c>
      <c r="F103" s="7">
        <v>1015</v>
      </c>
      <c r="G103" s="8">
        <f t="shared" si="11"/>
        <v>0.9</v>
      </c>
      <c r="H103" s="9">
        <v>1</v>
      </c>
      <c r="I103" s="6">
        <f t="shared" si="7"/>
        <v>5</v>
      </c>
      <c r="J103" s="6">
        <f t="shared" si="6"/>
        <v>5</v>
      </c>
      <c r="K103" s="6">
        <f t="shared" si="9"/>
        <v>4.5</v>
      </c>
      <c r="L103" s="6">
        <f t="shared" si="8"/>
        <v>5</v>
      </c>
      <c r="M103" s="6">
        <f t="shared" si="10"/>
        <v>4.5</v>
      </c>
    </row>
    <row r="104" spans="1:13" x14ac:dyDescent="0.3">
      <c r="A104" s="10" t="s">
        <v>120</v>
      </c>
      <c r="B104" s="4">
        <v>44428</v>
      </c>
      <c r="C104" s="5">
        <v>0.30624999999999997</v>
      </c>
      <c r="D104" s="6">
        <v>1945</v>
      </c>
      <c r="E104" s="9">
        <v>0.15</v>
      </c>
      <c r="F104" s="7">
        <v>892</v>
      </c>
      <c r="G104" s="8">
        <f t="shared" si="11"/>
        <v>0.85</v>
      </c>
      <c r="H104" s="9">
        <v>1</v>
      </c>
      <c r="I104" s="6">
        <f t="shared" si="7"/>
        <v>5</v>
      </c>
      <c r="J104" s="6">
        <f t="shared" si="6"/>
        <v>5</v>
      </c>
      <c r="K104" s="6">
        <f t="shared" si="9"/>
        <v>4.25</v>
      </c>
      <c r="L104" s="6">
        <f t="shared" si="8"/>
        <v>5</v>
      </c>
      <c r="M104" s="6">
        <f t="shared" si="10"/>
        <v>4.25</v>
      </c>
    </row>
    <row r="105" spans="1:13" x14ac:dyDescent="0.3">
      <c r="A105" s="10" t="s">
        <v>121</v>
      </c>
      <c r="B105" s="4">
        <v>44428</v>
      </c>
      <c r="C105" s="5">
        <v>0.31944444444444448</v>
      </c>
      <c r="D105" s="6">
        <v>1950</v>
      </c>
      <c r="E105" s="9">
        <v>0.2</v>
      </c>
      <c r="F105" s="7">
        <v>1023</v>
      </c>
      <c r="G105" s="8">
        <f t="shared" si="11"/>
        <v>0.8</v>
      </c>
      <c r="H105" s="9">
        <v>1</v>
      </c>
      <c r="I105" s="6">
        <f t="shared" si="7"/>
        <v>5</v>
      </c>
      <c r="J105" s="6">
        <f t="shared" si="6"/>
        <v>5</v>
      </c>
      <c r="K105" s="6">
        <f t="shared" si="9"/>
        <v>4</v>
      </c>
      <c r="L105" s="6">
        <f t="shared" si="8"/>
        <v>5</v>
      </c>
      <c r="M105" s="6">
        <f t="shared" si="10"/>
        <v>4</v>
      </c>
    </row>
    <row r="106" spans="1:13" x14ac:dyDescent="0.3">
      <c r="A106" s="10" t="s">
        <v>122</v>
      </c>
      <c r="B106" s="4">
        <v>44428</v>
      </c>
      <c r="C106" s="5">
        <v>0.33333333333333331</v>
      </c>
      <c r="D106" s="6">
        <v>1955</v>
      </c>
      <c r="E106" s="9">
        <v>0.15</v>
      </c>
      <c r="F106" s="7">
        <v>929</v>
      </c>
      <c r="G106" s="8">
        <f t="shared" si="11"/>
        <v>0.85</v>
      </c>
      <c r="H106" s="9">
        <v>1</v>
      </c>
      <c r="I106" s="6">
        <f t="shared" si="7"/>
        <v>5</v>
      </c>
      <c r="J106" s="6">
        <f t="shared" si="6"/>
        <v>5</v>
      </c>
      <c r="K106" s="6">
        <f t="shared" si="9"/>
        <v>4.25</v>
      </c>
      <c r="L106" s="6">
        <f t="shared" si="8"/>
        <v>5</v>
      </c>
      <c r="M106" s="6">
        <f t="shared" si="10"/>
        <v>4.25</v>
      </c>
    </row>
    <row r="107" spans="1:13" x14ac:dyDescent="0.3">
      <c r="A107" s="10" t="s">
        <v>123</v>
      </c>
      <c r="B107" s="4">
        <v>44428</v>
      </c>
      <c r="C107" s="5">
        <v>0.34097222222222223</v>
      </c>
      <c r="D107" s="6">
        <v>1960</v>
      </c>
      <c r="E107" s="9">
        <v>0.1</v>
      </c>
      <c r="F107" s="7">
        <v>1105</v>
      </c>
      <c r="G107" s="8">
        <f t="shared" si="11"/>
        <v>0.9</v>
      </c>
      <c r="H107" s="9">
        <v>1</v>
      </c>
      <c r="I107" s="6">
        <f t="shared" si="7"/>
        <v>5</v>
      </c>
      <c r="J107" s="6">
        <f t="shared" si="6"/>
        <v>5</v>
      </c>
      <c r="K107" s="6">
        <f t="shared" si="9"/>
        <v>4.5</v>
      </c>
      <c r="L107" s="6">
        <f t="shared" si="8"/>
        <v>5</v>
      </c>
      <c r="M107" s="6">
        <f t="shared" si="10"/>
        <v>4.5</v>
      </c>
    </row>
    <row r="108" spans="1:13" x14ac:dyDescent="0.3">
      <c r="A108" s="10" t="s">
        <v>124</v>
      </c>
      <c r="B108" s="4">
        <v>44428</v>
      </c>
      <c r="C108" s="5">
        <v>0.34861111111111115</v>
      </c>
      <c r="D108" s="6">
        <v>1965</v>
      </c>
      <c r="E108" s="9">
        <v>0.1</v>
      </c>
      <c r="F108" s="7">
        <v>1164</v>
      </c>
      <c r="G108" s="8">
        <f t="shared" si="11"/>
        <v>0.9</v>
      </c>
      <c r="H108" s="9">
        <v>1</v>
      </c>
      <c r="I108" s="6">
        <f t="shared" si="7"/>
        <v>5</v>
      </c>
      <c r="J108" s="6">
        <f t="shared" si="6"/>
        <v>5</v>
      </c>
      <c r="K108" s="6">
        <f t="shared" si="9"/>
        <v>4.5</v>
      </c>
      <c r="L108" s="6">
        <f t="shared" si="8"/>
        <v>5</v>
      </c>
      <c r="M108" s="6">
        <f t="shared" si="10"/>
        <v>4.5</v>
      </c>
    </row>
    <row r="109" spans="1:13" x14ac:dyDescent="0.3">
      <c r="A109" s="10" t="s">
        <v>125</v>
      </c>
      <c r="B109" s="4">
        <v>44428</v>
      </c>
      <c r="C109" s="5">
        <v>0.36319444444444443</v>
      </c>
      <c r="D109" s="6">
        <v>1970</v>
      </c>
      <c r="E109" s="9">
        <v>0.1</v>
      </c>
      <c r="F109" s="7">
        <v>1310</v>
      </c>
      <c r="G109" s="8">
        <f t="shared" si="11"/>
        <v>0.9</v>
      </c>
      <c r="H109" s="9">
        <v>1</v>
      </c>
      <c r="I109" s="6">
        <f t="shared" si="7"/>
        <v>5</v>
      </c>
      <c r="J109" s="6">
        <f t="shared" si="6"/>
        <v>5</v>
      </c>
      <c r="K109" s="6">
        <f t="shared" si="9"/>
        <v>4.5</v>
      </c>
      <c r="L109" s="6">
        <f t="shared" si="8"/>
        <v>5</v>
      </c>
      <c r="M109" s="6">
        <f t="shared" si="10"/>
        <v>4.5</v>
      </c>
    </row>
    <row r="110" spans="1:13" x14ac:dyDescent="0.3">
      <c r="A110" s="10" t="s">
        <v>126</v>
      </c>
      <c r="B110" s="4">
        <v>44428</v>
      </c>
      <c r="C110" s="5">
        <v>0.36874999999999997</v>
      </c>
      <c r="D110" s="6">
        <v>1975</v>
      </c>
      <c r="E110" s="9">
        <v>0.1</v>
      </c>
      <c r="F110" s="7">
        <v>1449</v>
      </c>
      <c r="G110" s="8">
        <f t="shared" si="11"/>
        <v>0.9</v>
      </c>
      <c r="H110" s="9">
        <v>1</v>
      </c>
      <c r="I110" s="6">
        <f t="shared" si="7"/>
        <v>5</v>
      </c>
      <c r="J110" s="6">
        <f t="shared" si="6"/>
        <v>5</v>
      </c>
      <c r="K110" s="6">
        <f t="shared" si="9"/>
        <v>4.5</v>
      </c>
      <c r="L110" s="6">
        <f t="shared" si="8"/>
        <v>5</v>
      </c>
      <c r="M110" s="6">
        <f t="shared" si="10"/>
        <v>4.5</v>
      </c>
    </row>
    <row r="111" spans="1:13" x14ac:dyDescent="0.3">
      <c r="A111" s="10" t="s">
        <v>127</v>
      </c>
      <c r="B111" s="4">
        <v>44428</v>
      </c>
      <c r="C111" s="5">
        <v>0.37986111111111115</v>
      </c>
      <c r="D111" s="6">
        <v>1980</v>
      </c>
      <c r="E111" s="9">
        <v>0.05</v>
      </c>
      <c r="F111" s="7">
        <v>1280</v>
      </c>
      <c r="G111" s="8">
        <f t="shared" si="11"/>
        <v>0.95</v>
      </c>
      <c r="H111" s="9">
        <v>1</v>
      </c>
      <c r="I111" s="6">
        <f t="shared" si="7"/>
        <v>5</v>
      </c>
      <c r="J111" s="6">
        <f t="shared" si="6"/>
        <v>5</v>
      </c>
      <c r="K111" s="6">
        <f t="shared" si="9"/>
        <v>4.75</v>
      </c>
      <c r="L111" s="6">
        <f t="shared" si="8"/>
        <v>5</v>
      </c>
      <c r="M111" s="6">
        <f t="shared" si="10"/>
        <v>4.75</v>
      </c>
    </row>
    <row r="112" spans="1:13" x14ac:dyDescent="0.3">
      <c r="A112" s="10" t="s">
        <v>128</v>
      </c>
      <c r="B112" s="4">
        <v>44428</v>
      </c>
      <c r="C112" s="5">
        <v>0.39027777777777778</v>
      </c>
      <c r="D112" s="6">
        <v>1985</v>
      </c>
      <c r="E112" s="9">
        <v>0.05</v>
      </c>
      <c r="F112" s="7">
        <v>1220</v>
      </c>
      <c r="G112" s="8">
        <f t="shared" si="11"/>
        <v>0.95</v>
      </c>
      <c r="H112" s="9">
        <v>1</v>
      </c>
      <c r="I112" s="6">
        <f t="shared" si="7"/>
        <v>5</v>
      </c>
      <c r="J112" s="6">
        <f t="shared" si="6"/>
        <v>5</v>
      </c>
      <c r="K112" s="6">
        <f t="shared" si="9"/>
        <v>4.75</v>
      </c>
      <c r="L112" s="6">
        <f t="shared" si="8"/>
        <v>5</v>
      </c>
      <c r="M112" s="6">
        <f t="shared" si="10"/>
        <v>4.75</v>
      </c>
    </row>
    <row r="113" spans="1:14" x14ac:dyDescent="0.3">
      <c r="A113" s="10" t="s">
        <v>129</v>
      </c>
      <c r="B113" s="4">
        <v>44428</v>
      </c>
      <c r="C113" s="5">
        <v>0.40833333333333338</v>
      </c>
      <c r="D113" s="6">
        <v>1990</v>
      </c>
      <c r="E113" s="9">
        <v>0.1</v>
      </c>
      <c r="F113" s="7">
        <v>1121</v>
      </c>
      <c r="G113" s="8">
        <f t="shared" si="11"/>
        <v>0.9</v>
      </c>
      <c r="H113" s="9">
        <v>1</v>
      </c>
      <c r="I113" s="6">
        <f t="shared" si="7"/>
        <v>5</v>
      </c>
      <c r="J113" s="6">
        <f t="shared" si="6"/>
        <v>5</v>
      </c>
      <c r="K113" s="6">
        <f t="shared" si="9"/>
        <v>4.5</v>
      </c>
      <c r="L113" s="6">
        <f t="shared" si="8"/>
        <v>5</v>
      </c>
      <c r="M113" s="6">
        <f t="shared" si="10"/>
        <v>4.5</v>
      </c>
    </row>
    <row r="114" spans="1:14" x14ac:dyDescent="0.3">
      <c r="A114" s="10" t="s">
        <v>130</v>
      </c>
      <c r="B114" s="4">
        <v>44428</v>
      </c>
      <c r="C114" s="5">
        <v>0.41597222222222219</v>
      </c>
      <c r="D114" s="6">
        <v>1995</v>
      </c>
      <c r="E114" s="9">
        <v>0.1</v>
      </c>
      <c r="F114" s="7">
        <v>1193</v>
      </c>
      <c r="G114" s="8">
        <f t="shared" si="11"/>
        <v>0.9</v>
      </c>
      <c r="H114" s="9">
        <v>1</v>
      </c>
      <c r="I114" s="6">
        <f t="shared" si="7"/>
        <v>5</v>
      </c>
      <c r="J114" s="6">
        <f t="shared" si="6"/>
        <v>5</v>
      </c>
      <c r="K114" s="6">
        <f t="shared" si="9"/>
        <v>4.5</v>
      </c>
      <c r="L114" s="6">
        <f t="shared" si="8"/>
        <v>5</v>
      </c>
      <c r="M114" s="6">
        <f t="shared" si="10"/>
        <v>4.5</v>
      </c>
    </row>
    <row r="115" spans="1:14" s="36" customFormat="1" x14ac:dyDescent="0.3">
      <c r="A115" s="28" t="s">
        <v>131</v>
      </c>
      <c r="B115" s="29">
        <v>44428</v>
      </c>
      <c r="C115" s="30">
        <v>0.43888888888888888</v>
      </c>
      <c r="D115" s="31">
        <v>2000</v>
      </c>
      <c r="E115" s="32">
        <v>0.2</v>
      </c>
      <c r="F115" s="33">
        <v>1025</v>
      </c>
      <c r="G115" s="34">
        <f t="shared" si="11"/>
        <v>0.8</v>
      </c>
      <c r="H115" s="32">
        <v>1</v>
      </c>
      <c r="I115" s="31">
        <f t="shared" si="7"/>
        <v>5</v>
      </c>
      <c r="J115" s="31">
        <f t="shared" si="6"/>
        <v>5</v>
      </c>
      <c r="K115" s="31">
        <f t="shared" si="9"/>
        <v>4</v>
      </c>
      <c r="L115" s="31">
        <f t="shared" si="8"/>
        <v>5</v>
      </c>
      <c r="M115" s="31">
        <f t="shared" si="10"/>
        <v>4</v>
      </c>
      <c r="N115" s="35"/>
    </row>
    <row r="116" spans="1:14" x14ac:dyDescent="0.3">
      <c r="A116" s="10" t="s">
        <v>132</v>
      </c>
      <c r="B116" s="4">
        <v>44428</v>
      </c>
      <c r="C116" s="5">
        <v>0.44930555555555557</v>
      </c>
      <c r="D116" s="6">
        <v>2005</v>
      </c>
      <c r="E116" s="9">
        <v>0.15</v>
      </c>
      <c r="F116" s="7">
        <v>1075</v>
      </c>
      <c r="G116" s="8">
        <f t="shared" si="11"/>
        <v>0.85</v>
      </c>
      <c r="H116" s="9">
        <v>1</v>
      </c>
      <c r="I116" s="6">
        <f t="shared" si="7"/>
        <v>5</v>
      </c>
      <c r="J116" s="6">
        <f t="shared" si="6"/>
        <v>5</v>
      </c>
      <c r="K116" s="6">
        <f t="shared" si="9"/>
        <v>4.25</v>
      </c>
      <c r="L116" s="6">
        <f t="shared" si="8"/>
        <v>5</v>
      </c>
      <c r="M116" s="6">
        <f t="shared" si="10"/>
        <v>4.25</v>
      </c>
    </row>
    <row r="117" spans="1:14" x14ac:dyDescent="0.3">
      <c r="A117" s="10" t="s">
        <v>133</v>
      </c>
      <c r="B117" s="4">
        <v>44428</v>
      </c>
      <c r="C117" s="5">
        <v>0.4604166666666667</v>
      </c>
      <c r="D117" s="6">
        <v>2010</v>
      </c>
      <c r="E117" s="9">
        <v>0.1</v>
      </c>
      <c r="F117" s="7">
        <v>940</v>
      </c>
      <c r="G117" s="8">
        <f t="shared" si="11"/>
        <v>0.9</v>
      </c>
      <c r="H117" s="9">
        <v>1</v>
      </c>
      <c r="I117" s="6">
        <f t="shared" si="7"/>
        <v>5</v>
      </c>
      <c r="J117" s="6">
        <f t="shared" si="6"/>
        <v>5</v>
      </c>
      <c r="K117" s="6">
        <f t="shared" si="9"/>
        <v>4.5</v>
      </c>
      <c r="L117" s="6">
        <f t="shared" si="8"/>
        <v>5</v>
      </c>
      <c r="M117" s="6">
        <f t="shared" si="10"/>
        <v>4.5</v>
      </c>
    </row>
    <row r="118" spans="1:14" x14ac:dyDescent="0.3">
      <c r="A118" s="10" t="s">
        <v>134</v>
      </c>
      <c r="B118" s="4">
        <v>44428</v>
      </c>
      <c r="C118" s="5">
        <v>0.47152777777777777</v>
      </c>
      <c r="D118" s="6">
        <v>2015</v>
      </c>
      <c r="E118" s="9">
        <v>0.1</v>
      </c>
      <c r="F118" s="7">
        <v>1177</v>
      </c>
      <c r="G118" s="8">
        <f t="shared" si="11"/>
        <v>0.9</v>
      </c>
      <c r="H118" s="9">
        <v>1</v>
      </c>
      <c r="I118" s="6">
        <f t="shared" si="7"/>
        <v>5</v>
      </c>
      <c r="J118" s="6">
        <f t="shared" si="6"/>
        <v>5</v>
      </c>
      <c r="K118" s="6">
        <f t="shared" si="9"/>
        <v>4.5</v>
      </c>
      <c r="L118" s="6">
        <f t="shared" si="8"/>
        <v>5</v>
      </c>
      <c r="M118" s="6">
        <f t="shared" si="10"/>
        <v>4.5</v>
      </c>
    </row>
    <row r="119" spans="1:14" x14ac:dyDescent="0.3">
      <c r="A119" s="18" t="s">
        <v>135</v>
      </c>
      <c r="B119" s="4">
        <v>44428</v>
      </c>
      <c r="D119" s="6">
        <v>2020</v>
      </c>
      <c r="E119" s="9">
        <v>0.1</v>
      </c>
      <c r="F119" s="7">
        <v>1062</v>
      </c>
      <c r="G119" s="8">
        <f t="shared" si="11"/>
        <v>0.9</v>
      </c>
      <c r="H119" s="9">
        <v>1</v>
      </c>
      <c r="I119" s="6">
        <f t="shared" si="7"/>
        <v>5</v>
      </c>
      <c r="J119" s="6">
        <f t="shared" si="6"/>
        <v>5</v>
      </c>
      <c r="K119" s="6">
        <f t="shared" si="9"/>
        <v>4.5</v>
      </c>
      <c r="L119" s="6">
        <f t="shared" si="8"/>
        <v>5</v>
      </c>
      <c r="M119" s="6">
        <f t="shared" si="10"/>
        <v>4.5</v>
      </c>
    </row>
    <row r="120" spans="1:14" x14ac:dyDescent="0.3">
      <c r="A120" s="10" t="s">
        <v>136</v>
      </c>
      <c r="B120" s="4">
        <v>44428</v>
      </c>
      <c r="D120" s="6">
        <v>2025</v>
      </c>
      <c r="E120" s="9">
        <v>0.1</v>
      </c>
      <c r="F120" s="7">
        <v>838</v>
      </c>
      <c r="G120" s="8">
        <f t="shared" si="11"/>
        <v>0.9</v>
      </c>
      <c r="H120" s="9">
        <v>1</v>
      </c>
      <c r="I120" s="6">
        <f t="shared" si="7"/>
        <v>5</v>
      </c>
      <c r="J120" s="6">
        <f t="shared" si="6"/>
        <v>5</v>
      </c>
      <c r="K120" s="6">
        <f t="shared" si="9"/>
        <v>4.5</v>
      </c>
      <c r="L120" s="6">
        <f t="shared" si="8"/>
        <v>5</v>
      </c>
      <c r="M120" s="6">
        <f t="shared" si="10"/>
        <v>4.5</v>
      </c>
    </row>
    <row r="121" spans="1:14" x14ac:dyDescent="0.3">
      <c r="A121" s="10" t="s">
        <v>137</v>
      </c>
      <c r="B121" s="4">
        <v>44428</v>
      </c>
      <c r="D121" s="6">
        <v>2030</v>
      </c>
      <c r="E121" s="9">
        <v>0.1</v>
      </c>
      <c r="F121" s="7">
        <v>777</v>
      </c>
      <c r="G121" s="8">
        <f t="shared" si="11"/>
        <v>0.9</v>
      </c>
      <c r="H121" s="9">
        <v>1</v>
      </c>
      <c r="I121" s="6">
        <f t="shared" si="7"/>
        <v>5</v>
      </c>
      <c r="J121" s="6">
        <f t="shared" si="6"/>
        <v>5</v>
      </c>
      <c r="K121" s="6">
        <f t="shared" si="9"/>
        <v>4.5</v>
      </c>
      <c r="L121" s="6">
        <f t="shared" si="8"/>
        <v>5</v>
      </c>
      <c r="M121" s="6">
        <f t="shared" si="10"/>
        <v>4.5</v>
      </c>
    </row>
    <row r="122" spans="1:14" x14ac:dyDescent="0.3">
      <c r="A122" s="10" t="s">
        <v>138</v>
      </c>
      <c r="B122" s="4">
        <v>44428</v>
      </c>
      <c r="D122" s="6">
        <v>2035</v>
      </c>
      <c r="E122" s="9">
        <v>0.1</v>
      </c>
      <c r="F122" s="7">
        <v>765</v>
      </c>
      <c r="G122" s="8">
        <f t="shared" si="11"/>
        <v>0.9</v>
      </c>
      <c r="H122" s="9">
        <v>0.9</v>
      </c>
      <c r="I122" s="6">
        <f t="shared" si="7"/>
        <v>5</v>
      </c>
      <c r="J122" s="6">
        <f t="shared" si="6"/>
        <v>5</v>
      </c>
      <c r="K122" s="6">
        <f t="shared" si="9"/>
        <v>4.5</v>
      </c>
      <c r="L122" s="6">
        <f t="shared" si="8"/>
        <v>5</v>
      </c>
      <c r="M122" s="6">
        <f t="shared" si="10"/>
        <v>4.5</v>
      </c>
    </row>
    <row r="123" spans="1:14" x14ac:dyDescent="0.3">
      <c r="A123" s="10" t="s">
        <v>139</v>
      </c>
      <c r="B123" s="4">
        <v>44428</v>
      </c>
      <c r="D123" s="6">
        <v>2040</v>
      </c>
      <c r="E123" s="9">
        <v>0.15</v>
      </c>
      <c r="F123" s="7">
        <v>795</v>
      </c>
      <c r="G123" s="8">
        <f t="shared" si="11"/>
        <v>0.85</v>
      </c>
      <c r="H123" s="9">
        <v>0.75</v>
      </c>
      <c r="I123" s="6">
        <f t="shared" si="7"/>
        <v>5</v>
      </c>
      <c r="J123" s="6">
        <f t="shared" si="6"/>
        <v>0</v>
      </c>
      <c r="K123" s="6">
        <f t="shared" si="9"/>
        <v>0</v>
      </c>
      <c r="L123" s="6">
        <f t="shared" si="8"/>
        <v>5</v>
      </c>
      <c r="M123" s="6">
        <f t="shared" si="10"/>
        <v>4.25</v>
      </c>
    </row>
    <row r="124" spans="1:14" x14ac:dyDescent="0.3">
      <c r="A124" s="10" t="s">
        <v>140</v>
      </c>
      <c r="B124" s="4">
        <v>44428</v>
      </c>
      <c r="D124" s="6">
        <v>2045</v>
      </c>
      <c r="E124" s="9">
        <v>0.1</v>
      </c>
      <c r="F124" s="7">
        <v>798</v>
      </c>
      <c r="G124" s="8">
        <f t="shared" si="11"/>
        <v>0.9</v>
      </c>
      <c r="H124" s="9">
        <v>0.85</v>
      </c>
      <c r="I124" s="6">
        <f t="shared" si="7"/>
        <v>5</v>
      </c>
      <c r="J124" s="6">
        <f t="shared" si="6"/>
        <v>5</v>
      </c>
      <c r="K124" s="6">
        <f t="shared" si="9"/>
        <v>4.5</v>
      </c>
      <c r="L124" s="6">
        <f t="shared" si="8"/>
        <v>5</v>
      </c>
      <c r="M124" s="6">
        <f t="shared" si="10"/>
        <v>4.5</v>
      </c>
    </row>
    <row r="125" spans="1:14" x14ac:dyDescent="0.3">
      <c r="A125" s="10" t="s">
        <v>141</v>
      </c>
      <c r="B125" s="4">
        <v>44428</v>
      </c>
      <c r="D125" s="6">
        <v>2050</v>
      </c>
      <c r="E125" s="9">
        <v>0.1</v>
      </c>
      <c r="F125" s="7">
        <v>1000</v>
      </c>
      <c r="G125" s="8">
        <f t="shared" si="11"/>
        <v>0.9</v>
      </c>
      <c r="H125" s="9">
        <v>1</v>
      </c>
      <c r="I125" s="6">
        <f t="shared" si="7"/>
        <v>5</v>
      </c>
      <c r="J125" s="6">
        <f t="shared" si="6"/>
        <v>5</v>
      </c>
      <c r="K125" s="6">
        <f t="shared" si="9"/>
        <v>4.5</v>
      </c>
      <c r="L125" s="6">
        <f t="shared" si="8"/>
        <v>5</v>
      </c>
      <c r="M125" s="6">
        <f t="shared" si="10"/>
        <v>4.5</v>
      </c>
    </row>
    <row r="126" spans="1:14" x14ac:dyDescent="0.3">
      <c r="A126" s="10" t="s">
        <v>142</v>
      </c>
      <c r="B126" s="4">
        <v>44428</v>
      </c>
      <c r="D126" s="6">
        <v>2055</v>
      </c>
      <c r="E126" s="9">
        <v>0.05</v>
      </c>
      <c r="F126" s="7">
        <v>1121</v>
      </c>
      <c r="G126" s="8">
        <f t="shared" si="11"/>
        <v>0.95</v>
      </c>
      <c r="H126" s="9">
        <v>1</v>
      </c>
      <c r="I126" s="6">
        <f t="shared" si="7"/>
        <v>5</v>
      </c>
      <c r="J126" s="6">
        <f t="shared" si="6"/>
        <v>5</v>
      </c>
      <c r="K126" s="6">
        <f t="shared" si="9"/>
        <v>4.75</v>
      </c>
      <c r="L126" s="6">
        <f t="shared" si="8"/>
        <v>5</v>
      </c>
      <c r="M126" s="6">
        <f t="shared" si="10"/>
        <v>4.75</v>
      </c>
    </row>
    <row r="127" spans="1:14" x14ac:dyDescent="0.3">
      <c r="A127" s="10" t="s">
        <v>143</v>
      </c>
      <c r="B127" s="4">
        <v>44428</v>
      </c>
      <c r="D127" s="6">
        <v>2060</v>
      </c>
      <c r="E127" s="9">
        <v>0.05</v>
      </c>
      <c r="F127" s="7">
        <v>798</v>
      </c>
      <c r="G127" s="8">
        <f t="shared" si="11"/>
        <v>0.95</v>
      </c>
      <c r="H127" s="9">
        <v>1</v>
      </c>
      <c r="I127" s="6">
        <f t="shared" si="7"/>
        <v>5</v>
      </c>
      <c r="J127" s="6">
        <f t="shared" si="6"/>
        <v>5</v>
      </c>
      <c r="K127" s="6">
        <f t="shared" si="9"/>
        <v>4.75</v>
      </c>
      <c r="L127" s="6">
        <f t="shared" si="8"/>
        <v>5</v>
      </c>
      <c r="M127" s="6">
        <f t="shared" si="10"/>
        <v>4.75</v>
      </c>
    </row>
    <row r="128" spans="1:14" x14ac:dyDescent="0.3">
      <c r="A128" s="10" t="s">
        <v>144</v>
      </c>
      <c r="B128" s="4">
        <v>44428</v>
      </c>
      <c r="D128" s="6">
        <v>2065</v>
      </c>
      <c r="E128" s="9">
        <v>0</v>
      </c>
      <c r="F128" s="7">
        <v>949</v>
      </c>
      <c r="G128" s="8">
        <f t="shared" si="11"/>
        <v>1</v>
      </c>
      <c r="H128" s="9">
        <v>1</v>
      </c>
      <c r="I128" s="6">
        <f t="shared" si="7"/>
        <v>5</v>
      </c>
      <c r="J128" s="6">
        <f t="shared" si="6"/>
        <v>5</v>
      </c>
      <c r="K128" s="6">
        <f t="shared" si="9"/>
        <v>5</v>
      </c>
      <c r="L128" s="6">
        <f t="shared" si="8"/>
        <v>5</v>
      </c>
      <c r="M128" s="6">
        <f t="shared" si="10"/>
        <v>5</v>
      </c>
    </row>
    <row r="129" spans="1:14" x14ac:dyDescent="0.3">
      <c r="A129" s="18" t="s">
        <v>145</v>
      </c>
      <c r="B129" s="4">
        <v>44428</v>
      </c>
      <c r="D129" s="6">
        <v>2069.9</v>
      </c>
      <c r="E129" s="9">
        <v>0</v>
      </c>
      <c r="F129" s="7">
        <v>1173</v>
      </c>
      <c r="G129" s="8">
        <f t="shared" si="11"/>
        <v>1</v>
      </c>
      <c r="H129" s="9">
        <v>1</v>
      </c>
      <c r="I129" s="6">
        <f t="shared" si="7"/>
        <v>4.9000000000000909</v>
      </c>
      <c r="J129" s="6">
        <f t="shared" si="6"/>
        <v>4.9000000000000909</v>
      </c>
      <c r="K129" s="6">
        <f t="shared" si="9"/>
        <v>4.9000000000000909</v>
      </c>
      <c r="L129" s="6">
        <f t="shared" si="8"/>
        <v>4.9000000000000909</v>
      </c>
      <c r="M129" s="6">
        <f t="shared" si="10"/>
        <v>4.9000000000000909</v>
      </c>
    </row>
    <row r="130" spans="1:14" x14ac:dyDescent="0.3">
      <c r="A130" s="10" t="s">
        <v>146</v>
      </c>
      <c r="B130" s="4">
        <v>44428</v>
      </c>
      <c r="D130" s="6">
        <v>2075</v>
      </c>
      <c r="E130" s="9">
        <v>0.05</v>
      </c>
      <c r="F130" s="7">
        <v>890</v>
      </c>
      <c r="G130" s="8">
        <f t="shared" si="11"/>
        <v>0.95</v>
      </c>
      <c r="H130" s="9">
        <v>1</v>
      </c>
      <c r="I130" s="6">
        <f t="shared" si="7"/>
        <v>5.0999999999999091</v>
      </c>
      <c r="J130" s="6">
        <f t="shared" si="6"/>
        <v>5.0999999999999091</v>
      </c>
      <c r="K130" s="6">
        <f t="shared" si="9"/>
        <v>4.8449999999999136</v>
      </c>
      <c r="L130" s="6">
        <f t="shared" si="8"/>
        <v>5.0999999999999091</v>
      </c>
      <c r="M130" s="6">
        <f t="shared" si="10"/>
        <v>4.8449999999999136</v>
      </c>
    </row>
    <row r="131" spans="1:14" x14ac:dyDescent="0.3">
      <c r="A131" s="10" t="s">
        <v>147</v>
      </c>
      <c r="B131" s="4">
        <v>44428</v>
      </c>
      <c r="D131" s="6">
        <v>2080</v>
      </c>
      <c r="E131" s="9">
        <v>0.1</v>
      </c>
      <c r="F131" s="7">
        <v>864</v>
      </c>
      <c r="G131" s="8">
        <f t="shared" si="11"/>
        <v>0.9</v>
      </c>
      <c r="H131" s="9">
        <v>1</v>
      </c>
      <c r="I131" s="6">
        <f t="shared" si="7"/>
        <v>5</v>
      </c>
      <c r="J131" s="6">
        <f t="shared" si="6"/>
        <v>5</v>
      </c>
      <c r="K131" s="6">
        <f t="shared" si="9"/>
        <v>4.5</v>
      </c>
      <c r="L131" s="6">
        <f t="shared" si="8"/>
        <v>5</v>
      </c>
      <c r="M131" s="6">
        <f t="shared" si="10"/>
        <v>4.5</v>
      </c>
    </row>
    <row r="132" spans="1:14" x14ac:dyDescent="0.3">
      <c r="A132" s="10" t="s">
        <v>148</v>
      </c>
      <c r="B132" s="4">
        <v>44428</v>
      </c>
      <c r="D132" s="6">
        <v>2085</v>
      </c>
      <c r="E132" s="9">
        <v>0.1</v>
      </c>
      <c r="F132" s="7">
        <v>857</v>
      </c>
      <c r="G132" s="8">
        <f t="shared" si="11"/>
        <v>0.9</v>
      </c>
      <c r="H132" s="9">
        <v>1</v>
      </c>
      <c r="I132" s="6">
        <f t="shared" si="7"/>
        <v>5</v>
      </c>
      <c r="J132" s="6">
        <f t="shared" ref="J132:J195" si="12">IF(AND(G132&gt;=$G$2,H132&gt;=$H$2),I132,0)</f>
        <v>5</v>
      </c>
      <c r="K132" s="6">
        <f t="shared" si="9"/>
        <v>4.5</v>
      </c>
      <c r="L132" s="6">
        <f t="shared" si="8"/>
        <v>5</v>
      </c>
      <c r="M132" s="6">
        <f t="shared" si="10"/>
        <v>4.5</v>
      </c>
    </row>
    <row r="133" spans="1:14" x14ac:dyDescent="0.3">
      <c r="A133" s="10" t="s">
        <v>149</v>
      </c>
      <c r="B133" s="4">
        <v>44428</v>
      </c>
      <c r="D133" s="6">
        <v>2090</v>
      </c>
      <c r="E133" s="9">
        <v>0.1</v>
      </c>
      <c r="F133" s="7">
        <v>881</v>
      </c>
      <c r="G133" s="8">
        <f t="shared" si="11"/>
        <v>0.9</v>
      </c>
      <c r="H133" s="9">
        <v>1</v>
      </c>
      <c r="I133" s="6">
        <f t="shared" ref="I133:I196" si="13">IF(D133&lt;&gt;"",D133-D132,"")</f>
        <v>5</v>
      </c>
      <c r="J133" s="6">
        <f t="shared" si="12"/>
        <v>5</v>
      </c>
      <c r="K133" s="6">
        <f t="shared" si="9"/>
        <v>4.5</v>
      </c>
      <c r="L133" s="6">
        <f t="shared" ref="L133:L196" si="14">IF(AND(G133&gt;=$G$3,H133&gt;=$H$3),I133,0)</f>
        <v>5</v>
      </c>
      <c r="M133" s="6">
        <f t="shared" si="10"/>
        <v>4.5</v>
      </c>
    </row>
    <row r="134" spans="1:14" x14ac:dyDescent="0.3">
      <c r="A134" s="10" t="s">
        <v>150</v>
      </c>
      <c r="B134" s="4">
        <v>44428</v>
      </c>
      <c r="D134" s="6">
        <v>2095</v>
      </c>
      <c r="E134" s="9">
        <v>0.05</v>
      </c>
      <c r="F134" s="7">
        <v>805</v>
      </c>
      <c r="G134" s="8">
        <f t="shared" si="11"/>
        <v>0.95</v>
      </c>
      <c r="H134" s="9">
        <v>1</v>
      </c>
      <c r="I134" s="6">
        <f t="shared" si="13"/>
        <v>5</v>
      </c>
      <c r="J134" s="6">
        <f t="shared" si="12"/>
        <v>5</v>
      </c>
      <c r="K134" s="6">
        <f t="shared" ref="K134:K197" si="15">IF(J134&gt;0,J134*G134,0)</f>
        <v>4.75</v>
      </c>
      <c r="L134" s="6">
        <f t="shared" si="14"/>
        <v>5</v>
      </c>
      <c r="M134" s="6">
        <f t="shared" ref="M134:M197" si="16">IF(L134&gt;0,L134*G134,0)</f>
        <v>4.75</v>
      </c>
    </row>
    <row r="135" spans="1:14" s="36" customFormat="1" x14ac:dyDescent="0.3">
      <c r="A135" s="28" t="s">
        <v>151</v>
      </c>
      <c r="B135" s="29">
        <v>44428</v>
      </c>
      <c r="C135" s="30"/>
      <c r="D135" s="31">
        <v>2100</v>
      </c>
      <c r="E135" s="32">
        <v>0.05</v>
      </c>
      <c r="F135" s="33">
        <v>948</v>
      </c>
      <c r="G135" s="34">
        <f t="shared" si="11"/>
        <v>0.95</v>
      </c>
      <c r="H135" s="32">
        <v>1</v>
      </c>
      <c r="I135" s="31">
        <f t="shared" si="13"/>
        <v>5</v>
      </c>
      <c r="J135" s="31">
        <f t="shared" si="12"/>
        <v>5</v>
      </c>
      <c r="K135" s="31">
        <f t="shared" si="15"/>
        <v>4.75</v>
      </c>
      <c r="L135" s="31">
        <f t="shared" si="14"/>
        <v>5</v>
      </c>
      <c r="M135" s="31">
        <f t="shared" si="16"/>
        <v>4.75</v>
      </c>
      <c r="N135" s="35"/>
    </row>
    <row r="136" spans="1:14" x14ac:dyDescent="0.3">
      <c r="A136" s="10" t="s">
        <v>152</v>
      </c>
      <c r="B136" s="4">
        <v>44428</v>
      </c>
      <c r="D136" s="6">
        <v>2105</v>
      </c>
      <c r="E136" s="9">
        <v>0</v>
      </c>
      <c r="F136" s="7">
        <v>988</v>
      </c>
      <c r="G136" s="8">
        <f t="shared" si="11"/>
        <v>1</v>
      </c>
      <c r="H136" s="9">
        <v>1</v>
      </c>
      <c r="I136" s="6">
        <f t="shared" si="13"/>
        <v>5</v>
      </c>
      <c r="J136" s="6">
        <f t="shared" si="12"/>
        <v>5</v>
      </c>
      <c r="K136" s="6">
        <f t="shared" si="15"/>
        <v>5</v>
      </c>
      <c r="L136" s="6">
        <f t="shared" si="14"/>
        <v>5</v>
      </c>
      <c r="M136" s="6">
        <f t="shared" si="16"/>
        <v>5</v>
      </c>
    </row>
    <row r="137" spans="1:14" x14ac:dyDescent="0.3">
      <c r="A137" s="10" t="s">
        <v>153</v>
      </c>
      <c r="B137" s="4">
        <v>44428</v>
      </c>
      <c r="D137" s="6">
        <v>2110</v>
      </c>
      <c r="E137" s="9">
        <v>0</v>
      </c>
      <c r="F137" s="7">
        <v>850</v>
      </c>
      <c r="G137" s="8">
        <f t="shared" si="11"/>
        <v>1</v>
      </c>
      <c r="H137" s="9">
        <v>1</v>
      </c>
      <c r="I137" s="6">
        <f t="shared" si="13"/>
        <v>5</v>
      </c>
      <c r="J137" s="6">
        <f t="shared" si="12"/>
        <v>5</v>
      </c>
      <c r="K137" s="6">
        <f t="shared" si="15"/>
        <v>5</v>
      </c>
      <c r="L137" s="6">
        <f t="shared" si="14"/>
        <v>5</v>
      </c>
      <c r="M137" s="6">
        <f t="shared" si="16"/>
        <v>5</v>
      </c>
    </row>
    <row r="138" spans="1:14" x14ac:dyDescent="0.3">
      <c r="A138" s="10" t="s">
        <v>154</v>
      </c>
      <c r="B138" s="4">
        <v>44428</v>
      </c>
      <c r="D138" s="6">
        <v>2115</v>
      </c>
      <c r="E138" s="9">
        <v>0</v>
      </c>
      <c r="F138" s="7">
        <v>790</v>
      </c>
      <c r="G138" s="8">
        <f t="shared" si="11"/>
        <v>1</v>
      </c>
      <c r="H138" s="9">
        <v>0.95</v>
      </c>
      <c r="I138" s="6">
        <f t="shared" si="13"/>
        <v>5</v>
      </c>
      <c r="J138" s="6">
        <f t="shared" si="12"/>
        <v>5</v>
      </c>
      <c r="K138" s="6">
        <f t="shared" si="15"/>
        <v>5</v>
      </c>
      <c r="L138" s="6">
        <f t="shared" si="14"/>
        <v>5</v>
      </c>
      <c r="M138" s="6">
        <f t="shared" si="16"/>
        <v>5</v>
      </c>
    </row>
    <row r="139" spans="1:14" x14ac:dyDescent="0.3">
      <c r="A139" s="10" t="s">
        <v>155</v>
      </c>
      <c r="B139" s="4">
        <v>44428</v>
      </c>
      <c r="D139" s="6">
        <v>2120</v>
      </c>
      <c r="E139" s="9">
        <v>0</v>
      </c>
      <c r="F139" s="7">
        <v>860</v>
      </c>
      <c r="G139" s="8">
        <f t="shared" si="11"/>
        <v>1</v>
      </c>
      <c r="H139" s="9">
        <v>0.95</v>
      </c>
      <c r="I139" s="6">
        <f t="shared" si="13"/>
        <v>5</v>
      </c>
      <c r="J139" s="6">
        <f t="shared" si="12"/>
        <v>5</v>
      </c>
      <c r="K139" s="6">
        <f t="shared" si="15"/>
        <v>5</v>
      </c>
      <c r="L139" s="6">
        <f t="shared" si="14"/>
        <v>5</v>
      </c>
      <c r="M139" s="6">
        <f t="shared" si="16"/>
        <v>5</v>
      </c>
    </row>
    <row r="140" spans="1:14" x14ac:dyDescent="0.3">
      <c r="A140" s="10" t="s">
        <v>156</v>
      </c>
      <c r="B140" s="4">
        <v>44428</v>
      </c>
      <c r="D140" s="6">
        <v>2125</v>
      </c>
      <c r="E140" s="9">
        <v>0</v>
      </c>
      <c r="F140" s="7">
        <v>890</v>
      </c>
      <c r="G140" s="8">
        <f t="shared" si="11"/>
        <v>1</v>
      </c>
      <c r="H140" s="9">
        <v>0.95</v>
      </c>
      <c r="I140" s="6">
        <f t="shared" si="13"/>
        <v>5</v>
      </c>
      <c r="J140" s="6">
        <f t="shared" si="12"/>
        <v>5</v>
      </c>
      <c r="K140" s="6">
        <f t="shared" si="15"/>
        <v>5</v>
      </c>
      <c r="L140" s="6">
        <f t="shared" si="14"/>
        <v>5</v>
      </c>
      <c r="M140" s="6">
        <f t="shared" si="16"/>
        <v>5</v>
      </c>
    </row>
    <row r="141" spans="1:14" x14ac:dyDescent="0.3">
      <c r="A141" s="10" t="s">
        <v>158</v>
      </c>
      <c r="B141" s="4">
        <v>44428</v>
      </c>
      <c r="D141" s="6">
        <v>2130</v>
      </c>
      <c r="E141" s="9">
        <v>0</v>
      </c>
      <c r="F141" s="7">
        <v>878</v>
      </c>
      <c r="G141" s="8">
        <f t="shared" si="11"/>
        <v>1</v>
      </c>
      <c r="H141" s="9">
        <v>0.9</v>
      </c>
      <c r="I141" s="6">
        <f t="shared" si="13"/>
        <v>5</v>
      </c>
      <c r="J141" s="6">
        <f t="shared" si="12"/>
        <v>5</v>
      </c>
      <c r="K141" s="6">
        <f t="shared" si="15"/>
        <v>5</v>
      </c>
      <c r="L141" s="6">
        <f t="shared" si="14"/>
        <v>5</v>
      </c>
      <c r="M141" s="6">
        <f t="shared" si="16"/>
        <v>5</v>
      </c>
    </row>
    <row r="142" spans="1:14" x14ac:dyDescent="0.3">
      <c r="A142" s="10" t="s">
        <v>157</v>
      </c>
      <c r="B142" s="4">
        <v>44428</v>
      </c>
      <c r="D142" s="6">
        <v>2135</v>
      </c>
      <c r="E142" s="9">
        <v>0.05</v>
      </c>
      <c r="F142" s="7">
        <v>775</v>
      </c>
      <c r="G142" s="8">
        <f t="shared" si="11"/>
        <v>0.95</v>
      </c>
      <c r="H142" s="9">
        <v>0.9</v>
      </c>
      <c r="I142" s="6">
        <f t="shared" si="13"/>
        <v>5</v>
      </c>
      <c r="J142" s="6">
        <f t="shared" si="12"/>
        <v>5</v>
      </c>
      <c r="K142" s="6">
        <f t="shared" si="15"/>
        <v>4.75</v>
      </c>
      <c r="L142" s="6">
        <f t="shared" si="14"/>
        <v>5</v>
      </c>
      <c r="M142" s="6">
        <f t="shared" si="16"/>
        <v>4.75</v>
      </c>
    </row>
    <row r="143" spans="1:14" x14ac:dyDescent="0.3">
      <c r="A143" s="10" t="s">
        <v>159</v>
      </c>
      <c r="B143" s="4">
        <v>44428</v>
      </c>
      <c r="D143" s="6">
        <v>2140</v>
      </c>
      <c r="E143" s="9">
        <v>0.2</v>
      </c>
      <c r="F143" s="7">
        <v>590</v>
      </c>
      <c r="G143" s="8">
        <f t="shared" si="11"/>
        <v>0.8</v>
      </c>
      <c r="H143" s="9">
        <v>0.6</v>
      </c>
      <c r="I143" s="6">
        <f t="shared" si="13"/>
        <v>5</v>
      </c>
      <c r="J143" s="6">
        <f t="shared" si="12"/>
        <v>0</v>
      </c>
      <c r="K143" s="6">
        <f t="shared" si="15"/>
        <v>0</v>
      </c>
      <c r="L143" s="6">
        <f t="shared" si="14"/>
        <v>5</v>
      </c>
      <c r="M143" s="6">
        <f t="shared" si="16"/>
        <v>4</v>
      </c>
    </row>
    <row r="144" spans="1:14" x14ac:dyDescent="0.3">
      <c r="A144" s="10" t="s">
        <v>160</v>
      </c>
      <c r="B144" s="4">
        <v>44428</v>
      </c>
      <c r="D144" s="6">
        <v>2145</v>
      </c>
      <c r="E144" s="9">
        <v>0.5</v>
      </c>
      <c r="F144" s="7">
        <v>1000</v>
      </c>
      <c r="G144" s="8">
        <f t="shared" si="11"/>
        <v>0.5</v>
      </c>
      <c r="H144" s="9">
        <v>0.4</v>
      </c>
      <c r="I144" s="6">
        <f t="shared" si="13"/>
        <v>5</v>
      </c>
      <c r="J144" s="6">
        <f t="shared" si="12"/>
        <v>0</v>
      </c>
      <c r="K144" s="6">
        <f t="shared" si="15"/>
        <v>0</v>
      </c>
      <c r="L144" s="6">
        <f t="shared" si="14"/>
        <v>0</v>
      </c>
      <c r="M144" s="6">
        <f t="shared" si="16"/>
        <v>0</v>
      </c>
    </row>
    <row r="145" spans="1:16" x14ac:dyDescent="0.3">
      <c r="A145" s="10" t="s">
        <v>161</v>
      </c>
      <c r="B145" s="4">
        <v>44428</v>
      </c>
      <c r="D145" s="6">
        <v>2150</v>
      </c>
      <c r="E145" s="9">
        <v>0.2</v>
      </c>
      <c r="F145" s="7">
        <v>940</v>
      </c>
      <c r="G145" s="8">
        <f t="shared" si="11"/>
        <v>0.8</v>
      </c>
      <c r="H145" s="9">
        <v>0.8</v>
      </c>
      <c r="I145" s="6">
        <f t="shared" si="13"/>
        <v>5</v>
      </c>
      <c r="J145" s="6">
        <f t="shared" si="12"/>
        <v>5</v>
      </c>
      <c r="K145" s="6">
        <f t="shared" si="15"/>
        <v>4</v>
      </c>
      <c r="L145" s="6">
        <f t="shared" si="14"/>
        <v>5</v>
      </c>
      <c r="M145" s="6">
        <f t="shared" si="16"/>
        <v>4</v>
      </c>
    </row>
    <row r="146" spans="1:16" x14ac:dyDescent="0.3">
      <c r="A146" s="10" t="s">
        <v>162</v>
      </c>
      <c r="B146" s="4">
        <v>44428</v>
      </c>
      <c r="D146" s="6">
        <v>2155</v>
      </c>
      <c r="E146" s="9">
        <v>0.1</v>
      </c>
      <c r="F146" s="7">
        <v>1060</v>
      </c>
      <c r="G146" s="8">
        <f t="shared" si="11"/>
        <v>0.9</v>
      </c>
      <c r="H146" s="9">
        <v>1</v>
      </c>
      <c r="I146" s="6">
        <f t="shared" si="13"/>
        <v>5</v>
      </c>
      <c r="J146" s="6">
        <f t="shared" si="12"/>
        <v>5</v>
      </c>
      <c r="K146" s="6">
        <f t="shared" si="15"/>
        <v>4.5</v>
      </c>
      <c r="L146" s="6">
        <f t="shared" si="14"/>
        <v>5</v>
      </c>
      <c r="M146" s="6">
        <f t="shared" si="16"/>
        <v>4.5</v>
      </c>
    </row>
    <row r="147" spans="1:16" x14ac:dyDescent="0.3">
      <c r="A147" s="10" t="s">
        <v>163</v>
      </c>
      <c r="B147" s="4">
        <v>44428</v>
      </c>
      <c r="D147" s="6">
        <v>2160</v>
      </c>
      <c r="E147" s="9">
        <v>0</v>
      </c>
      <c r="F147" s="7">
        <v>1050</v>
      </c>
      <c r="G147" s="8">
        <f t="shared" si="11"/>
        <v>1</v>
      </c>
      <c r="H147" s="9">
        <v>1</v>
      </c>
      <c r="I147" s="6">
        <f t="shared" si="13"/>
        <v>5</v>
      </c>
      <c r="J147" s="6">
        <f t="shared" si="12"/>
        <v>5</v>
      </c>
      <c r="K147" s="6">
        <f t="shared" si="15"/>
        <v>5</v>
      </c>
      <c r="L147" s="6">
        <f t="shared" si="14"/>
        <v>5</v>
      </c>
      <c r="M147" s="6">
        <f t="shared" si="16"/>
        <v>5</v>
      </c>
    </row>
    <row r="148" spans="1:16" x14ac:dyDescent="0.3">
      <c r="A148" s="10" t="s">
        <v>164</v>
      </c>
      <c r="B148" s="4">
        <v>44428</v>
      </c>
      <c r="D148" s="6">
        <v>2165</v>
      </c>
      <c r="E148" s="9">
        <v>0</v>
      </c>
      <c r="F148" s="7">
        <v>1195</v>
      </c>
      <c r="G148" s="8">
        <f t="shared" si="11"/>
        <v>1</v>
      </c>
      <c r="H148" s="9">
        <v>1</v>
      </c>
      <c r="I148" s="6">
        <f t="shared" si="13"/>
        <v>5</v>
      </c>
      <c r="J148" s="6">
        <f t="shared" si="12"/>
        <v>5</v>
      </c>
      <c r="K148" s="6">
        <f t="shared" si="15"/>
        <v>5</v>
      </c>
      <c r="L148" s="6">
        <f t="shared" si="14"/>
        <v>5</v>
      </c>
      <c r="M148" s="6">
        <f t="shared" si="16"/>
        <v>5</v>
      </c>
    </row>
    <row r="149" spans="1:16" x14ac:dyDescent="0.3">
      <c r="A149" s="10" t="s">
        <v>165</v>
      </c>
      <c r="B149" s="4">
        <v>44428</v>
      </c>
      <c r="D149" s="6">
        <v>2170</v>
      </c>
      <c r="E149" s="9">
        <v>0.1</v>
      </c>
      <c r="F149" s="7">
        <v>1128</v>
      </c>
      <c r="G149" s="8">
        <f t="shared" si="11"/>
        <v>0.9</v>
      </c>
      <c r="H149" s="9">
        <v>1</v>
      </c>
      <c r="I149" s="6">
        <f t="shared" si="13"/>
        <v>5</v>
      </c>
      <c r="J149" s="6">
        <f t="shared" si="12"/>
        <v>5</v>
      </c>
      <c r="K149" s="6">
        <f t="shared" si="15"/>
        <v>4.5</v>
      </c>
      <c r="L149" s="6">
        <f t="shared" si="14"/>
        <v>5</v>
      </c>
      <c r="M149" s="6">
        <f t="shared" si="16"/>
        <v>4.5</v>
      </c>
    </row>
    <row r="150" spans="1:16" x14ac:dyDescent="0.3">
      <c r="A150" s="10" t="s">
        <v>166</v>
      </c>
      <c r="B150" s="4">
        <v>44428</v>
      </c>
      <c r="D150" s="6">
        <v>2175</v>
      </c>
      <c r="E150" s="9">
        <v>0.05</v>
      </c>
      <c r="F150" s="7">
        <v>1096</v>
      </c>
      <c r="G150" s="8">
        <f t="shared" si="11"/>
        <v>0.95</v>
      </c>
      <c r="H150" s="9">
        <v>1</v>
      </c>
      <c r="I150" s="6">
        <f t="shared" si="13"/>
        <v>5</v>
      </c>
      <c r="J150" s="6">
        <f t="shared" si="12"/>
        <v>5</v>
      </c>
      <c r="K150" s="6">
        <f t="shared" si="15"/>
        <v>4.75</v>
      </c>
      <c r="L150" s="6">
        <f t="shared" si="14"/>
        <v>5</v>
      </c>
      <c r="M150" s="6">
        <f t="shared" si="16"/>
        <v>4.75</v>
      </c>
    </row>
    <row r="151" spans="1:16" x14ac:dyDescent="0.3">
      <c r="A151" s="10" t="s">
        <v>167</v>
      </c>
      <c r="B151" s="4">
        <v>44428</v>
      </c>
      <c r="C151" s="5">
        <v>0.97986111111111107</v>
      </c>
      <c r="D151" s="6">
        <v>2180</v>
      </c>
      <c r="E151" s="9">
        <v>0.05</v>
      </c>
      <c r="F151" s="7">
        <v>1100</v>
      </c>
      <c r="G151" s="8">
        <f t="shared" si="11"/>
        <v>0.95</v>
      </c>
      <c r="H151" s="9">
        <v>1</v>
      </c>
      <c r="I151" s="6">
        <f t="shared" si="13"/>
        <v>5</v>
      </c>
      <c r="J151" s="6">
        <f t="shared" si="12"/>
        <v>5</v>
      </c>
      <c r="K151" s="6">
        <f t="shared" si="15"/>
        <v>4.75</v>
      </c>
      <c r="L151" s="6">
        <f t="shared" si="14"/>
        <v>5</v>
      </c>
      <c r="M151" s="6">
        <f t="shared" si="16"/>
        <v>4.75</v>
      </c>
    </row>
    <row r="152" spans="1:16" x14ac:dyDescent="0.3">
      <c r="A152" s="10" t="s">
        <v>168</v>
      </c>
      <c r="B152" s="4">
        <v>44428</v>
      </c>
      <c r="C152" s="5">
        <v>0.98888888888888893</v>
      </c>
      <c r="D152" s="6">
        <v>2185</v>
      </c>
      <c r="E152" s="9">
        <v>0</v>
      </c>
      <c r="F152" s="7">
        <v>1045</v>
      </c>
      <c r="G152" s="8">
        <f t="shared" si="11"/>
        <v>1</v>
      </c>
      <c r="H152" s="9">
        <v>1</v>
      </c>
      <c r="I152" s="6">
        <f t="shared" si="13"/>
        <v>5</v>
      </c>
      <c r="J152" s="6">
        <f t="shared" si="12"/>
        <v>5</v>
      </c>
      <c r="K152" s="6">
        <f t="shared" si="15"/>
        <v>5</v>
      </c>
      <c r="L152" s="6">
        <f t="shared" si="14"/>
        <v>5</v>
      </c>
      <c r="M152" s="6">
        <f t="shared" si="16"/>
        <v>5</v>
      </c>
    </row>
    <row r="153" spans="1:16" x14ac:dyDescent="0.3">
      <c r="A153" s="10" t="s">
        <v>169</v>
      </c>
      <c r="B153" s="4">
        <v>44428</v>
      </c>
      <c r="C153" s="5">
        <v>0.99861111111111101</v>
      </c>
      <c r="D153" s="6">
        <v>2190</v>
      </c>
      <c r="E153" s="9">
        <v>0</v>
      </c>
      <c r="F153" s="7">
        <v>880</v>
      </c>
      <c r="G153" s="8">
        <f t="shared" si="11"/>
        <v>1</v>
      </c>
      <c r="H153" s="9">
        <v>1</v>
      </c>
      <c r="I153" s="6">
        <f t="shared" si="13"/>
        <v>5</v>
      </c>
      <c r="J153" s="6">
        <f t="shared" si="12"/>
        <v>5</v>
      </c>
      <c r="K153" s="6">
        <f t="shared" si="15"/>
        <v>5</v>
      </c>
      <c r="L153" s="6">
        <f t="shared" si="14"/>
        <v>5</v>
      </c>
      <c r="M153" s="6">
        <f t="shared" si="16"/>
        <v>5</v>
      </c>
    </row>
    <row r="154" spans="1:16" x14ac:dyDescent="0.3">
      <c r="A154" s="10" t="s">
        <v>170</v>
      </c>
      <c r="B154" s="4">
        <v>44429</v>
      </c>
      <c r="C154" s="5">
        <v>0.52083333333333337</v>
      </c>
      <c r="D154" s="6">
        <v>2195</v>
      </c>
      <c r="E154" s="9">
        <v>0</v>
      </c>
      <c r="F154" s="7">
        <v>1040</v>
      </c>
      <c r="G154" s="8">
        <f t="shared" si="11"/>
        <v>1</v>
      </c>
      <c r="H154" s="9">
        <v>1</v>
      </c>
      <c r="I154" s="6">
        <f t="shared" si="13"/>
        <v>5</v>
      </c>
      <c r="J154" s="6">
        <f t="shared" si="12"/>
        <v>5</v>
      </c>
      <c r="K154" s="6">
        <f t="shared" si="15"/>
        <v>5</v>
      </c>
      <c r="L154" s="6">
        <f t="shared" si="14"/>
        <v>5</v>
      </c>
      <c r="M154" s="6">
        <f t="shared" si="16"/>
        <v>5</v>
      </c>
    </row>
    <row r="155" spans="1:16" s="36" customFormat="1" x14ac:dyDescent="0.3">
      <c r="A155" s="28" t="s">
        <v>171</v>
      </c>
      <c r="B155" s="29">
        <v>44429</v>
      </c>
      <c r="C155" s="30">
        <v>0.53194444444444444</v>
      </c>
      <c r="D155" s="31">
        <v>2200</v>
      </c>
      <c r="E155" s="32">
        <v>0</v>
      </c>
      <c r="F155" s="33">
        <v>1022</v>
      </c>
      <c r="G155" s="34">
        <f t="shared" si="11"/>
        <v>1</v>
      </c>
      <c r="H155" s="32">
        <v>1</v>
      </c>
      <c r="I155" s="31">
        <f t="shared" si="13"/>
        <v>5</v>
      </c>
      <c r="J155" s="31">
        <f t="shared" si="12"/>
        <v>5</v>
      </c>
      <c r="K155" s="31">
        <f t="shared" si="15"/>
        <v>5</v>
      </c>
      <c r="L155" s="31">
        <f t="shared" si="14"/>
        <v>5</v>
      </c>
      <c r="M155" s="31">
        <f t="shared" si="16"/>
        <v>5</v>
      </c>
      <c r="N155" s="35"/>
    </row>
    <row r="156" spans="1:16" x14ac:dyDescent="0.3">
      <c r="A156" s="10" t="s">
        <v>172</v>
      </c>
      <c r="B156" s="4">
        <v>44429</v>
      </c>
      <c r="C156" s="5">
        <v>0.53541666666666665</v>
      </c>
      <c r="D156" s="6">
        <v>2205</v>
      </c>
      <c r="E156" s="9">
        <v>0.1</v>
      </c>
      <c r="F156" s="7">
        <v>960</v>
      </c>
      <c r="G156" s="8">
        <f t="shared" si="11"/>
        <v>0.9</v>
      </c>
      <c r="H156" s="9">
        <v>1</v>
      </c>
      <c r="I156" s="6">
        <f t="shared" si="13"/>
        <v>5</v>
      </c>
      <c r="J156" s="6">
        <f t="shared" si="12"/>
        <v>5</v>
      </c>
      <c r="K156" s="6">
        <f t="shared" si="15"/>
        <v>4.5</v>
      </c>
      <c r="L156" s="6">
        <f t="shared" si="14"/>
        <v>5</v>
      </c>
      <c r="M156" s="6">
        <f t="shared" si="16"/>
        <v>4.5</v>
      </c>
    </row>
    <row r="157" spans="1:16" x14ac:dyDescent="0.3">
      <c r="A157" s="10" t="s">
        <v>173</v>
      </c>
      <c r="B157" s="4">
        <v>44429</v>
      </c>
      <c r="C157" s="5">
        <v>5.0694444444444452E-2</v>
      </c>
      <c r="D157" s="6">
        <v>2210</v>
      </c>
      <c r="E157" s="9">
        <v>0.1</v>
      </c>
      <c r="F157" s="7">
        <v>1005</v>
      </c>
      <c r="G157" s="8">
        <f t="shared" si="11"/>
        <v>0.9</v>
      </c>
      <c r="H157" s="9">
        <v>1</v>
      </c>
      <c r="I157" s="6">
        <f t="shared" si="13"/>
        <v>5</v>
      </c>
      <c r="J157" s="6">
        <f t="shared" si="12"/>
        <v>5</v>
      </c>
      <c r="K157" s="6">
        <f t="shared" si="15"/>
        <v>4.5</v>
      </c>
      <c r="L157" s="6">
        <f t="shared" si="14"/>
        <v>5</v>
      </c>
      <c r="M157" s="6">
        <f t="shared" si="16"/>
        <v>4.5</v>
      </c>
      <c r="P157">
        <f>P4*R4</f>
        <v>973.5450000000003</v>
      </c>
    </row>
    <row r="158" spans="1:16" x14ac:dyDescent="0.3">
      <c r="A158" s="10" t="s">
        <v>174</v>
      </c>
      <c r="B158" s="4">
        <v>44429</v>
      </c>
      <c r="C158" s="5">
        <v>6.1111111111111116E-2</v>
      </c>
      <c r="D158" s="6">
        <v>2215</v>
      </c>
      <c r="E158" s="9">
        <v>0.1</v>
      </c>
      <c r="F158" s="7">
        <v>930</v>
      </c>
      <c r="G158" s="8">
        <f t="shared" si="11"/>
        <v>0.9</v>
      </c>
      <c r="H158" s="9">
        <v>1</v>
      </c>
      <c r="I158" s="6">
        <f t="shared" si="13"/>
        <v>5</v>
      </c>
      <c r="J158" s="6">
        <f t="shared" si="12"/>
        <v>5</v>
      </c>
      <c r="K158" s="6">
        <f t="shared" si="15"/>
        <v>4.5</v>
      </c>
      <c r="L158" s="6">
        <f t="shared" si="14"/>
        <v>5</v>
      </c>
      <c r="M158" s="6">
        <f t="shared" si="16"/>
        <v>4.5</v>
      </c>
    </row>
    <row r="159" spans="1:16" x14ac:dyDescent="0.3">
      <c r="A159" s="10" t="s">
        <v>175</v>
      </c>
      <c r="B159" s="4">
        <v>44429</v>
      </c>
      <c r="C159" s="5">
        <v>7.2916666666666671E-2</v>
      </c>
      <c r="D159" s="6">
        <v>2220</v>
      </c>
      <c r="E159" s="9">
        <v>0.1</v>
      </c>
      <c r="F159" s="7">
        <v>1043</v>
      </c>
      <c r="G159" s="8">
        <f t="shared" si="11"/>
        <v>0.9</v>
      </c>
      <c r="H159" s="9">
        <v>1</v>
      </c>
      <c r="I159" s="6">
        <f t="shared" si="13"/>
        <v>5</v>
      </c>
      <c r="J159" s="6">
        <f t="shared" si="12"/>
        <v>5</v>
      </c>
      <c r="K159" s="6">
        <f t="shared" si="15"/>
        <v>4.5</v>
      </c>
      <c r="L159" s="6">
        <f t="shared" si="14"/>
        <v>5</v>
      </c>
      <c r="M159" s="6">
        <f t="shared" si="16"/>
        <v>4.5</v>
      </c>
    </row>
    <row r="160" spans="1:16" x14ac:dyDescent="0.3">
      <c r="A160" s="10" t="s">
        <v>176</v>
      </c>
      <c r="B160" s="4">
        <v>44429</v>
      </c>
      <c r="C160" s="5">
        <v>8.2638888888888887E-2</v>
      </c>
      <c r="D160" s="6">
        <v>2225</v>
      </c>
      <c r="E160" s="9">
        <v>0.05</v>
      </c>
      <c r="F160" s="7">
        <v>1233</v>
      </c>
      <c r="G160" s="8">
        <f t="shared" si="11"/>
        <v>0.95</v>
      </c>
      <c r="H160" s="9">
        <v>1</v>
      </c>
      <c r="I160" s="6">
        <f t="shared" si="13"/>
        <v>5</v>
      </c>
      <c r="J160" s="6">
        <f t="shared" si="12"/>
        <v>5</v>
      </c>
      <c r="K160" s="6">
        <f t="shared" si="15"/>
        <v>4.75</v>
      </c>
      <c r="L160" s="6">
        <f t="shared" si="14"/>
        <v>5</v>
      </c>
      <c r="M160" s="6">
        <f t="shared" si="16"/>
        <v>4.75</v>
      </c>
    </row>
    <row r="161" spans="1:14" x14ac:dyDescent="0.3">
      <c r="A161" s="10" t="s">
        <v>177</v>
      </c>
      <c r="B161" s="4">
        <v>44429</v>
      </c>
      <c r="C161" s="5">
        <v>9.5138888888888884E-2</v>
      </c>
      <c r="D161" s="6">
        <v>2230</v>
      </c>
      <c r="E161" s="9">
        <v>0.05</v>
      </c>
      <c r="F161" s="7">
        <v>1130</v>
      </c>
      <c r="G161" s="8">
        <f t="shared" si="11"/>
        <v>0.95</v>
      </c>
      <c r="H161" s="9">
        <v>1</v>
      </c>
      <c r="I161" s="6">
        <f t="shared" si="13"/>
        <v>5</v>
      </c>
      <c r="J161" s="6">
        <f t="shared" si="12"/>
        <v>5</v>
      </c>
      <c r="K161" s="6">
        <f t="shared" si="15"/>
        <v>4.75</v>
      </c>
      <c r="L161" s="6">
        <f t="shared" si="14"/>
        <v>5</v>
      </c>
      <c r="M161" s="6">
        <f t="shared" si="16"/>
        <v>4.75</v>
      </c>
    </row>
    <row r="162" spans="1:14" x14ac:dyDescent="0.3">
      <c r="A162" s="10" t="s">
        <v>178</v>
      </c>
      <c r="B162" s="4">
        <v>44429</v>
      </c>
      <c r="C162" s="5">
        <v>0.10416666666666667</v>
      </c>
      <c r="D162" s="6">
        <v>2235</v>
      </c>
      <c r="E162" s="9">
        <v>0</v>
      </c>
      <c r="F162" s="7">
        <v>1120</v>
      </c>
      <c r="G162" s="8">
        <f t="shared" ref="G162:G226" si="17">100%-E162</f>
        <v>1</v>
      </c>
      <c r="H162" s="9">
        <v>1</v>
      </c>
      <c r="I162" s="6">
        <f t="shared" si="13"/>
        <v>5</v>
      </c>
      <c r="J162" s="6">
        <f t="shared" si="12"/>
        <v>5</v>
      </c>
      <c r="K162" s="6">
        <f t="shared" si="15"/>
        <v>5</v>
      </c>
      <c r="L162" s="6">
        <f t="shared" si="14"/>
        <v>5</v>
      </c>
      <c r="M162" s="6">
        <f t="shared" si="16"/>
        <v>5</v>
      </c>
    </row>
    <row r="163" spans="1:14" x14ac:dyDescent="0.3">
      <c r="A163" s="10" t="s">
        <v>179</v>
      </c>
      <c r="B163" s="4">
        <v>44429</v>
      </c>
      <c r="C163" s="5">
        <v>0.12430555555555556</v>
      </c>
      <c r="D163" s="6">
        <v>2240</v>
      </c>
      <c r="E163" s="9">
        <v>0</v>
      </c>
      <c r="F163" s="7">
        <v>1120</v>
      </c>
      <c r="G163" s="8">
        <f t="shared" si="17"/>
        <v>1</v>
      </c>
      <c r="H163" s="9">
        <v>1</v>
      </c>
      <c r="I163" s="6">
        <f t="shared" si="13"/>
        <v>5</v>
      </c>
      <c r="J163" s="6">
        <f t="shared" si="12"/>
        <v>5</v>
      </c>
      <c r="K163" s="6">
        <f t="shared" si="15"/>
        <v>5</v>
      </c>
      <c r="L163" s="6">
        <f t="shared" si="14"/>
        <v>5</v>
      </c>
      <c r="M163" s="6">
        <f t="shared" si="16"/>
        <v>5</v>
      </c>
    </row>
    <row r="164" spans="1:14" x14ac:dyDescent="0.3">
      <c r="A164" s="10" t="s">
        <v>180</v>
      </c>
      <c r="B164" s="4">
        <v>44429</v>
      </c>
      <c r="C164" s="5">
        <v>0.14027777777777778</v>
      </c>
      <c r="D164" s="6">
        <v>2245</v>
      </c>
      <c r="E164" s="9">
        <v>0</v>
      </c>
      <c r="F164" s="7">
        <v>878</v>
      </c>
      <c r="G164" s="8">
        <f t="shared" si="17"/>
        <v>1</v>
      </c>
      <c r="H164" s="9">
        <v>1</v>
      </c>
      <c r="I164" s="6">
        <f t="shared" si="13"/>
        <v>5</v>
      </c>
      <c r="J164" s="6">
        <f t="shared" si="12"/>
        <v>5</v>
      </c>
      <c r="K164" s="6">
        <f t="shared" si="15"/>
        <v>5</v>
      </c>
      <c r="L164" s="6">
        <f t="shared" si="14"/>
        <v>5</v>
      </c>
      <c r="M164" s="6">
        <f t="shared" si="16"/>
        <v>5</v>
      </c>
    </row>
    <row r="165" spans="1:14" x14ac:dyDescent="0.3">
      <c r="A165" s="10" t="s">
        <v>181</v>
      </c>
      <c r="B165" s="4">
        <v>44429</v>
      </c>
      <c r="C165" s="5">
        <v>0.16041666666666668</v>
      </c>
      <c r="D165" s="6">
        <v>2250</v>
      </c>
      <c r="E165" s="9">
        <v>0.05</v>
      </c>
      <c r="F165" s="7">
        <v>1170</v>
      </c>
      <c r="G165" s="8">
        <f t="shared" si="17"/>
        <v>0.95</v>
      </c>
      <c r="H165" s="9">
        <v>1</v>
      </c>
      <c r="I165" s="6">
        <f t="shared" si="13"/>
        <v>5</v>
      </c>
      <c r="J165" s="6">
        <f t="shared" si="12"/>
        <v>5</v>
      </c>
      <c r="K165" s="6">
        <f t="shared" si="15"/>
        <v>4.75</v>
      </c>
      <c r="L165" s="6">
        <f t="shared" si="14"/>
        <v>5</v>
      </c>
      <c r="M165" s="6">
        <f t="shared" si="16"/>
        <v>4.75</v>
      </c>
    </row>
    <row r="166" spans="1:14" x14ac:dyDescent="0.3">
      <c r="A166" s="10" t="s">
        <v>182</v>
      </c>
      <c r="B166" s="4">
        <v>44429</v>
      </c>
      <c r="C166" s="5">
        <v>0.1673611111111111</v>
      </c>
      <c r="D166" s="6">
        <v>2255</v>
      </c>
      <c r="E166" s="9">
        <v>0.05</v>
      </c>
      <c r="F166" s="7">
        <v>920</v>
      </c>
      <c r="G166" s="8">
        <f t="shared" si="17"/>
        <v>0.95</v>
      </c>
      <c r="H166" s="9">
        <v>1</v>
      </c>
      <c r="I166" s="6">
        <f t="shared" si="13"/>
        <v>5</v>
      </c>
      <c r="J166" s="6">
        <f t="shared" si="12"/>
        <v>5</v>
      </c>
      <c r="K166" s="6">
        <f t="shared" si="15"/>
        <v>4.75</v>
      </c>
      <c r="L166" s="6">
        <f t="shared" si="14"/>
        <v>5</v>
      </c>
      <c r="M166" s="6">
        <f t="shared" si="16"/>
        <v>4.75</v>
      </c>
    </row>
    <row r="167" spans="1:14" x14ac:dyDescent="0.3">
      <c r="A167" s="10" t="s">
        <v>183</v>
      </c>
      <c r="B167" s="4">
        <v>44429</v>
      </c>
      <c r="C167" s="5">
        <v>0.18194444444444444</v>
      </c>
      <c r="D167" s="6">
        <v>2260</v>
      </c>
      <c r="E167" s="9">
        <v>0.05</v>
      </c>
      <c r="F167" s="7">
        <v>972</v>
      </c>
      <c r="G167" s="8">
        <f t="shared" si="17"/>
        <v>0.95</v>
      </c>
      <c r="H167" s="9">
        <v>1</v>
      </c>
      <c r="I167" s="6">
        <f t="shared" si="13"/>
        <v>5</v>
      </c>
      <c r="J167" s="6">
        <f t="shared" si="12"/>
        <v>5</v>
      </c>
      <c r="K167" s="6">
        <f t="shared" si="15"/>
        <v>4.75</v>
      </c>
      <c r="L167" s="6">
        <f t="shared" si="14"/>
        <v>5</v>
      </c>
      <c r="M167" s="6">
        <f t="shared" si="16"/>
        <v>4.75</v>
      </c>
    </row>
    <row r="168" spans="1:14" x14ac:dyDescent="0.3">
      <c r="A168" s="10" t="s">
        <v>184</v>
      </c>
      <c r="B168" s="4">
        <v>44429</v>
      </c>
      <c r="C168" s="5">
        <v>0.19513888888888889</v>
      </c>
      <c r="D168" s="6">
        <v>2265</v>
      </c>
      <c r="E168" s="9">
        <v>0.1</v>
      </c>
      <c r="F168" s="7">
        <v>895</v>
      </c>
      <c r="G168" s="8">
        <f t="shared" si="17"/>
        <v>0.9</v>
      </c>
      <c r="H168" s="9">
        <v>0.8</v>
      </c>
      <c r="I168" s="6">
        <f t="shared" si="13"/>
        <v>5</v>
      </c>
      <c r="J168" s="6">
        <f t="shared" si="12"/>
        <v>5</v>
      </c>
      <c r="K168" s="6">
        <f t="shared" si="15"/>
        <v>4.5</v>
      </c>
      <c r="L168" s="6">
        <f t="shared" si="14"/>
        <v>5</v>
      </c>
      <c r="M168" s="6">
        <f t="shared" si="16"/>
        <v>4.5</v>
      </c>
    </row>
    <row r="169" spans="1:14" x14ac:dyDescent="0.3">
      <c r="A169" s="10" t="s">
        <v>185</v>
      </c>
      <c r="B169" s="4">
        <v>44429</v>
      </c>
      <c r="C169" s="5">
        <v>0.20069444444444443</v>
      </c>
      <c r="D169" s="6">
        <v>2270</v>
      </c>
      <c r="E169" s="9">
        <v>0.15</v>
      </c>
      <c r="F169" s="7">
        <v>967</v>
      </c>
      <c r="G169" s="8">
        <f t="shared" si="17"/>
        <v>0.85</v>
      </c>
      <c r="H169" s="9">
        <v>0.8</v>
      </c>
      <c r="I169" s="6">
        <f t="shared" si="13"/>
        <v>5</v>
      </c>
      <c r="J169" s="6">
        <f t="shared" si="12"/>
        <v>5</v>
      </c>
      <c r="K169" s="6">
        <f t="shared" si="15"/>
        <v>4.25</v>
      </c>
      <c r="L169" s="6">
        <f t="shared" si="14"/>
        <v>5</v>
      </c>
      <c r="M169" s="6">
        <f t="shared" si="16"/>
        <v>4.25</v>
      </c>
    </row>
    <row r="170" spans="1:14" x14ac:dyDescent="0.3">
      <c r="A170" s="10" t="s">
        <v>186</v>
      </c>
      <c r="B170" s="4">
        <v>44429</v>
      </c>
      <c r="C170" s="5">
        <v>0.20972222222222223</v>
      </c>
      <c r="D170" s="6">
        <v>2275</v>
      </c>
      <c r="E170" s="9">
        <v>0.1</v>
      </c>
      <c r="F170" s="7">
        <v>960</v>
      </c>
      <c r="G170" s="8">
        <f t="shared" si="17"/>
        <v>0.9</v>
      </c>
      <c r="H170" s="9">
        <v>0.9</v>
      </c>
      <c r="I170" s="6">
        <f t="shared" si="13"/>
        <v>5</v>
      </c>
      <c r="J170" s="6">
        <f t="shared" si="12"/>
        <v>5</v>
      </c>
      <c r="K170" s="6">
        <f t="shared" si="15"/>
        <v>4.5</v>
      </c>
      <c r="L170" s="6">
        <f t="shared" si="14"/>
        <v>5</v>
      </c>
      <c r="M170" s="6">
        <f t="shared" si="16"/>
        <v>4.5</v>
      </c>
    </row>
    <row r="171" spans="1:14" x14ac:dyDescent="0.3">
      <c r="A171" s="10" t="s">
        <v>187</v>
      </c>
      <c r="B171" s="4">
        <v>44429</v>
      </c>
      <c r="C171" s="5">
        <v>0.22152777777777777</v>
      </c>
      <c r="D171" s="6">
        <v>2280</v>
      </c>
      <c r="E171" s="9">
        <v>0.1</v>
      </c>
      <c r="F171" s="7">
        <v>940</v>
      </c>
      <c r="G171" s="8">
        <f t="shared" si="17"/>
        <v>0.9</v>
      </c>
      <c r="H171" s="9">
        <v>0.8</v>
      </c>
      <c r="I171" s="6">
        <f t="shared" si="13"/>
        <v>5</v>
      </c>
      <c r="J171" s="6">
        <f t="shared" si="12"/>
        <v>5</v>
      </c>
      <c r="K171" s="6">
        <f t="shared" si="15"/>
        <v>4.5</v>
      </c>
      <c r="L171" s="6">
        <f t="shared" si="14"/>
        <v>5</v>
      </c>
      <c r="M171" s="6">
        <f t="shared" si="16"/>
        <v>4.5</v>
      </c>
    </row>
    <row r="172" spans="1:14" x14ac:dyDescent="0.3">
      <c r="A172" s="10" t="s">
        <v>188</v>
      </c>
      <c r="B172" s="4">
        <v>44429</v>
      </c>
      <c r="C172" s="5">
        <v>0.23680555555555557</v>
      </c>
      <c r="D172" s="6">
        <v>2285</v>
      </c>
      <c r="E172" s="9">
        <v>0.2</v>
      </c>
      <c r="F172" s="7">
        <v>827</v>
      </c>
      <c r="G172" s="8">
        <f t="shared" si="17"/>
        <v>0.8</v>
      </c>
      <c r="H172" s="9">
        <v>0.95</v>
      </c>
      <c r="I172" s="6">
        <f t="shared" si="13"/>
        <v>5</v>
      </c>
      <c r="J172" s="6">
        <f t="shared" si="12"/>
        <v>5</v>
      </c>
      <c r="K172" s="6">
        <f t="shared" si="15"/>
        <v>4</v>
      </c>
      <c r="L172" s="6">
        <f t="shared" si="14"/>
        <v>5</v>
      </c>
      <c r="M172" s="6">
        <f t="shared" si="16"/>
        <v>4</v>
      </c>
    </row>
    <row r="173" spans="1:14" x14ac:dyDescent="0.3">
      <c r="A173" s="10" t="s">
        <v>189</v>
      </c>
      <c r="B173" s="4">
        <v>44429</v>
      </c>
      <c r="C173" s="5">
        <v>0.23958333333333334</v>
      </c>
      <c r="D173" s="6">
        <v>2290</v>
      </c>
      <c r="E173" s="9">
        <v>0.2</v>
      </c>
      <c r="F173" s="7">
        <v>660</v>
      </c>
      <c r="G173" s="8">
        <f t="shared" si="17"/>
        <v>0.8</v>
      </c>
      <c r="H173" s="9">
        <v>0.9</v>
      </c>
      <c r="I173" s="6">
        <f t="shared" si="13"/>
        <v>5</v>
      </c>
      <c r="J173" s="6">
        <f t="shared" si="12"/>
        <v>5</v>
      </c>
      <c r="K173" s="6">
        <f t="shared" si="15"/>
        <v>4</v>
      </c>
      <c r="L173" s="6">
        <f t="shared" si="14"/>
        <v>5</v>
      </c>
      <c r="M173" s="6">
        <f t="shared" si="16"/>
        <v>4</v>
      </c>
    </row>
    <row r="174" spans="1:14" x14ac:dyDescent="0.3">
      <c r="A174" s="10" t="s">
        <v>190</v>
      </c>
      <c r="B174" s="4">
        <v>44429</v>
      </c>
      <c r="C174" s="5">
        <v>0.26458333333333334</v>
      </c>
      <c r="D174" s="6">
        <v>2295</v>
      </c>
      <c r="E174" s="9">
        <v>0.25</v>
      </c>
      <c r="F174" s="7">
        <v>851</v>
      </c>
      <c r="G174" s="8">
        <f t="shared" si="17"/>
        <v>0.75</v>
      </c>
      <c r="H174" s="9">
        <v>0.85</v>
      </c>
      <c r="I174" s="6">
        <f t="shared" si="13"/>
        <v>5</v>
      </c>
      <c r="J174" s="6">
        <f t="shared" si="12"/>
        <v>5</v>
      </c>
      <c r="K174" s="6">
        <f t="shared" si="15"/>
        <v>3.75</v>
      </c>
      <c r="L174" s="6">
        <f t="shared" si="14"/>
        <v>5</v>
      </c>
      <c r="M174" s="6">
        <f t="shared" si="16"/>
        <v>3.75</v>
      </c>
    </row>
    <row r="175" spans="1:14" s="36" customFormat="1" x14ac:dyDescent="0.3">
      <c r="A175" s="28" t="s">
        <v>191</v>
      </c>
      <c r="B175" s="29">
        <v>44429</v>
      </c>
      <c r="C175" s="30">
        <v>0.26527777777777778</v>
      </c>
      <c r="D175" s="31">
        <v>2300</v>
      </c>
      <c r="E175" s="32">
        <v>0.2</v>
      </c>
      <c r="F175" s="33">
        <v>840</v>
      </c>
      <c r="G175" s="34">
        <f t="shared" si="17"/>
        <v>0.8</v>
      </c>
      <c r="H175" s="32">
        <v>0.8</v>
      </c>
      <c r="I175" s="31">
        <f t="shared" si="13"/>
        <v>5</v>
      </c>
      <c r="J175" s="31">
        <f t="shared" si="12"/>
        <v>5</v>
      </c>
      <c r="K175" s="31">
        <f t="shared" si="15"/>
        <v>4</v>
      </c>
      <c r="L175" s="31">
        <f t="shared" si="14"/>
        <v>5</v>
      </c>
      <c r="M175" s="31">
        <f t="shared" si="16"/>
        <v>4</v>
      </c>
      <c r="N175" s="35"/>
    </row>
    <row r="176" spans="1:14" x14ac:dyDescent="0.3">
      <c r="A176" s="10" t="s">
        <v>192</v>
      </c>
      <c r="B176" s="4">
        <v>44429</v>
      </c>
      <c r="C176" s="5">
        <v>0.27638888888888885</v>
      </c>
      <c r="D176" s="6">
        <v>2305</v>
      </c>
      <c r="E176" s="9">
        <v>0.15</v>
      </c>
      <c r="F176" s="7">
        <v>870</v>
      </c>
      <c r="G176" s="8">
        <f t="shared" si="17"/>
        <v>0.85</v>
      </c>
      <c r="H176" s="9">
        <v>0.9</v>
      </c>
      <c r="I176" s="6">
        <f t="shared" si="13"/>
        <v>5</v>
      </c>
      <c r="J176" s="6">
        <f t="shared" si="12"/>
        <v>5</v>
      </c>
      <c r="K176" s="6">
        <f t="shared" si="15"/>
        <v>4.25</v>
      </c>
      <c r="L176" s="6">
        <f t="shared" si="14"/>
        <v>5</v>
      </c>
      <c r="M176" s="6">
        <f t="shared" si="16"/>
        <v>4.25</v>
      </c>
    </row>
    <row r="177" spans="1:14" x14ac:dyDescent="0.3">
      <c r="A177" s="10" t="s">
        <v>193</v>
      </c>
      <c r="B177" s="4">
        <v>44429</v>
      </c>
      <c r="C177" s="5">
        <v>0.28402777777777777</v>
      </c>
      <c r="D177" s="6">
        <v>2310</v>
      </c>
      <c r="E177" s="9">
        <v>0.15</v>
      </c>
      <c r="F177" s="7">
        <v>1109</v>
      </c>
      <c r="G177" s="8">
        <f t="shared" si="17"/>
        <v>0.85</v>
      </c>
      <c r="H177" s="9">
        <v>1</v>
      </c>
      <c r="I177" s="6">
        <f t="shared" si="13"/>
        <v>5</v>
      </c>
      <c r="J177" s="6">
        <f t="shared" si="12"/>
        <v>5</v>
      </c>
      <c r="K177" s="6">
        <f t="shared" si="15"/>
        <v>4.25</v>
      </c>
      <c r="L177" s="6">
        <f t="shared" si="14"/>
        <v>5</v>
      </c>
      <c r="M177" s="6">
        <f t="shared" si="16"/>
        <v>4.25</v>
      </c>
    </row>
    <row r="178" spans="1:14" x14ac:dyDescent="0.3">
      <c r="A178" s="10" t="s">
        <v>194</v>
      </c>
      <c r="B178" s="4">
        <v>44429</v>
      </c>
      <c r="C178" s="5">
        <v>0.2986111111111111</v>
      </c>
      <c r="D178" s="6">
        <v>2315</v>
      </c>
      <c r="E178" s="9">
        <v>0.1</v>
      </c>
      <c r="F178" s="7">
        <v>1307</v>
      </c>
      <c r="G178" s="8">
        <f t="shared" si="17"/>
        <v>0.9</v>
      </c>
      <c r="H178" s="9">
        <v>1</v>
      </c>
      <c r="I178" s="6">
        <f t="shared" si="13"/>
        <v>5</v>
      </c>
      <c r="J178" s="6">
        <f t="shared" si="12"/>
        <v>5</v>
      </c>
      <c r="K178" s="6">
        <f t="shared" si="15"/>
        <v>4.5</v>
      </c>
      <c r="L178" s="6">
        <f t="shared" si="14"/>
        <v>5</v>
      </c>
      <c r="M178" s="6">
        <f t="shared" si="16"/>
        <v>4.5</v>
      </c>
    </row>
    <row r="179" spans="1:14" x14ac:dyDescent="0.3">
      <c r="A179" s="10" t="s">
        <v>195</v>
      </c>
      <c r="B179" s="4">
        <v>44429</v>
      </c>
      <c r="C179" s="5">
        <v>0.30763888888888891</v>
      </c>
      <c r="D179" s="6">
        <v>2320</v>
      </c>
      <c r="E179" s="9">
        <v>0.05</v>
      </c>
      <c r="F179" s="7">
        <v>1440</v>
      </c>
      <c r="G179" s="8">
        <f t="shared" si="17"/>
        <v>0.95</v>
      </c>
      <c r="H179" s="9">
        <v>1</v>
      </c>
      <c r="I179" s="6">
        <f t="shared" si="13"/>
        <v>5</v>
      </c>
      <c r="J179" s="6">
        <f t="shared" si="12"/>
        <v>5</v>
      </c>
      <c r="K179" s="6">
        <f t="shared" si="15"/>
        <v>4.75</v>
      </c>
      <c r="L179" s="6">
        <f t="shared" si="14"/>
        <v>5</v>
      </c>
      <c r="M179" s="6">
        <f t="shared" si="16"/>
        <v>4.75</v>
      </c>
    </row>
    <row r="180" spans="1:14" x14ac:dyDescent="0.3">
      <c r="A180" s="10" t="s">
        <v>196</v>
      </c>
      <c r="B180" s="4">
        <v>44429</v>
      </c>
      <c r="C180" s="5">
        <v>0.31388888888888888</v>
      </c>
      <c r="D180" s="6">
        <v>2325</v>
      </c>
      <c r="E180" s="9">
        <v>0.1</v>
      </c>
      <c r="F180" s="7">
        <v>1333</v>
      </c>
      <c r="G180" s="8">
        <f t="shared" si="17"/>
        <v>0.9</v>
      </c>
      <c r="H180" s="9">
        <v>1</v>
      </c>
      <c r="I180" s="6">
        <f t="shared" si="13"/>
        <v>5</v>
      </c>
      <c r="J180" s="6">
        <f t="shared" si="12"/>
        <v>5</v>
      </c>
      <c r="K180" s="6">
        <f t="shared" si="15"/>
        <v>4.5</v>
      </c>
      <c r="L180" s="6">
        <f t="shared" si="14"/>
        <v>5</v>
      </c>
      <c r="M180" s="6">
        <f t="shared" si="16"/>
        <v>4.5</v>
      </c>
    </row>
    <row r="181" spans="1:14" x14ac:dyDescent="0.3">
      <c r="A181" s="10" t="s">
        <v>197</v>
      </c>
      <c r="B181" s="4">
        <v>44429</v>
      </c>
      <c r="C181" s="5">
        <v>0.32777777777777778</v>
      </c>
      <c r="D181" s="6">
        <v>2330</v>
      </c>
      <c r="E181" s="9">
        <v>0.25</v>
      </c>
      <c r="F181" s="7">
        <v>1410</v>
      </c>
      <c r="G181" s="8">
        <f t="shared" si="17"/>
        <v>0.75</v>
      </c>
      <c r="H181" s="9">
        <v>1</v>
      </c>
      <c r="I181" s="6">
        <f t="shared" si="13"/>
        <v>5</v>
      </c>
      <c r="J181" s="6">
        <f t="shared" si="12"/>
        <v>5</v>
      </c>
      <c r="K181" s="6">
        <f t="shared" si="15"/>
        <v>3.75</v>
      </c>
      <c r="L181" s="6">
        <f t="shared" si="14"/>
        <v>5</v>
      </c>
      <c r="M181" s="6">
        <f t="shared" si="16"/>
        <v>3.75</v>
      </c>
    </row>
    <row r="182" spans="1:14" x14ac:dyDescent="0.3">
      <c r="A182" s="10" t="s">
        <v>199</v>
      </c>
      <c r="B182" s="4">
        <v>44429</v>
      </c>
      <c r="C182" s="5">
        <v>0.33888888888888885</v>
      </c>
      <c r="D182" s="6">
        <v>2335</v>
      </c>
      <c r="E182" s="9">
        <v>0.4</v>
      </c>
      <c r="F182" s="7">
        <v>669</v>
      </c>
      <c r="G182" s="8">
        <f t="shared" si="17"/>
        <v>0.6</v>
      </c>
      <c r="H182" s="9">
        <v>0.4</v>
      </c>
      <c r="I182" s="6">
        <f t="shared" si="13"/>
        <v>5</v>
      </c>
      <c r="J182" s="6">
        <f t="shared" si="12"/>
        <v>0</v>
      </c>
      <c r="K182" s="6">
        <f t="shared" si="15"/>
        <v>0</v>
      </c>
      <c r="L182" s="6">
        <f t="shared" si="14"/>
        <v>5</v>
      </c>
      <c r="M182" s="6">
        <f t="shared" si="16"/>
        <v>3</v>
      </c>
    </row>
    <row r="183" spans="1:14" x14ac:dyDescent="0.3">
      <c r="A183" s="10" t="s">
        <v>198</v>
      </c>
      <c r="B183" s="4">
        <v>44429</v>
      </c>
      <c r="C183" s="5">
        <v>0.34166666666666662</v>
      </c>
      <c r="D183" s="6">
        <v>2337</v>
      </c>
      <c r="E183" s="9">
        <v>0.6</v>
      </c>
      <c r="F183" s="7">
        <v>674</v>
      </c>
      <c r="G183" s="8">
        <f t="shared" si="17"/>
        <v>0.4</v>
      </c>
      <c r="H183" s="9">
        <v>0.6</v>
      </c>
      <c r="I183" s="6">
        <f t="shared" si="13"/>
        <v>2</v>
      </c>
      <c r="J183" s="6">
        <f t="shared" si="12"/>
        <v>0</v>
      </c>
      <c r="K183" s="6">
        <f t="shared" si="15"/>
        <v>0</v>
      </c>
      <c r="L183" s="6">
        <f t="shared" si="14"/>
        <v>0</v>
      </c>
      <c r="M183" s="6">
        <f t="shared" si="16"/>
        <v>0</v>
      </c>
      <c r="N183" s="16" t="s">
        <v>209</v>
      </c>
    </row>
    <row r="184" spans="1:14" x14ac:dyDescent="0.3">
      <c r="A184" s="10" t="s">
        <v>200</v>
      </c>
      <c r="B184" s="4">
        <v>44429</v>
      </c>
      <c r="C184" s="5">
        <v>0.35833333333333334</v>
      </c>
      <c r="D184" s="6">
        <v>2340</v>
      </c>
      <c r="E184" s="9">
        <v>0.5</v>
      </c>
      <c r="F184" s="7">
        <v>669</v>
      </c>
      <c r="G184" s="8">
        <f t="shared" si="17"/>
        <v>0.5</v>
      </c>
      <c r="H184" s="9">
        <v>0.6</v>
      </c>
      <c r="I184" s="6">
        <f t="shared" si="13"/>
        <v>3</v>
      </c>
      <c r="J184" s="6">
        <f t="shared" si="12"/>
        <v>0</v>
      </c>
      <c r="K184" s="6">
        <f t="shared" si="15"/>
        <v>0</v>
      </c>
      <c r="L184" s="6">
        <f t="shared" si="14"/>
        <v>0</v>
      </c>
      <c r="M184" s="6">
        <f t="shared" si="16"/>
        <v>0</v>
      </c>
    </row>
    <row r="185" spans="1:14" x14ac:dyDescent="0.3">
      <c r="A185" s="10" t="s">
        <v>201</v>
      </c>
      <c r="B185" s="4">
        <v>44429</v>
      </c>
      <c r="C185" s="5">
        <v>0.3659722222222222</v>
      </c>
      <c r="D185" s="6">
        <v>2343</v>
      </c>
      <c r="E185" s="9">
        <v>0.65</v>
      </c>
      <c r="F185" s="7">
        <v>660</v>
      </c>
      <c r="G185" s="8">
        <f t="shared" si="17"/>
        <v>0.35</v>
      </c>
      <c r="H185" s="9">
        <v>0.5</v>
      </c>
      <c r="I185" s="6">
        <f t="shared" si="13"/>
        <v>3</v>
      </c>
      <c r="J185" s="6">
        <f t="shared" si="12"/>
        <v>0</v>
      </c>
      <c r="K185" s="6">
        <f t="shared" si="15"/>
        <v>0</v>
      </c>
      <c r="L185" s="6">
        <f t="shared" si="14"/>
        <v>0</v>
      </c>
      <c r="M185" s="6">
        <f t="shared" si="16"/>
        <v>0</v>
      </c>
      <c r="N185" s="16" t="s">
        <v>208</v>
      </c>
    </row>
    <row r="186" spans="1:14" x14ac:dyDescent="0.3">
      <c r="A186" s="10" t="s">
        <v>202</v>
      </c>
      <c r="B186" s="4">
        <v>44429</v>
      </c>
      <c r="C186" s="5">
        <v>0.37986111111111115</v>
      </c>
      <c r="D186" s="6">
        <v>2346</v>
      </c>
      <c r="E186" s="9">
        <v>0.6</v>
      </c>
      <c r="F186" s="7">
        <v>635</v>
      </c>
      <c r="G186" s="8">
        <f t="shared" si="17"/>
        <v>0.4</v>
      </c>
      <c r="H186" s="9">
        <v>0.4</v>
      </c>
      <c r="I186" s="6">
        <f t="shared" si="13"/>
        <v>3</v>
      </c>
      <c r="J186" s="6">
        <f t="shared" si="12"/>
        <v>0</v>
      </c>
      <c r="K186" s="6">
        <f t="shared" si="15"/>
        <v>0</v>
      </c>
      <c r="L186" s="6">
        <f t="shared" si="14"/>
        <v>0</v>
      </c>
      <c r="M186" s="6">
        <f t="shared" si="16"/>
        <v>0</v>
      </c>
    </row>
    <row r="187" spans="1:14" x14ac:dyDescent="0.3">
      <c r="A187" s="10" t="s">
        <v>203</v>
      </c>
      <c r="B187" s="4">
        <v>44429</v>
      </c>
      <c r="C187" s="5">
        <v>0.39652777777777781</v>
      </c>
      <c r="D187" s="6">
        <v>2349</v>
      </c>
      <c r="E187" s="9">
        <v>0.65</v>
      </c>
      <c r="F187" s="7">
        <v>603</v>
      </c>
      <c r="G187" s="8">
        <f t="shared" si="17"/>
        <v>0.35</v>
      </c>
      <c r="H187" s="9">
        <v>0.25</v>
      </c>
      <c r="I187" s="6">
        <f t="shared" si="13"/>
        <v>3</v>
      </c>
      <c r="J187" s="6">
        <f t="shared" si="12"/>
        <v>0</v>
      </c>
      <c r="K187" s="6">
        <f t="shared" si="15"/>
        <v>0</v>
      </c>
      <c r="L187" s="6">
        <f t="shared" si="14"/>
        <v>0</v>
      </c>
      <c r="M187" s="6">
        <f t="shared" si="16"/>
        <v>0</v>
      </c>
      <c r="N187" s="16" t="s">
        <v>207</v>
      </c>
    </row>
    <row r="188" spans="1:14" x14ac:dyDescent="0.3">
      <c r="A188" s="10" t="s">
        <v>204</v>
      </c>
      <c r="B188" s="4">
        <v>44429</v>
      </c>
      <c r="C188" s="5">
        <v>0.40833333333333338</v>
      </c>
      <c r="D188" s="6">
        <v>2352</v>
      </c>
      <c r="E188" s="9">
        <v>0.7</v>
      </c>
      <c r="F188" s="7">
        <v>531</v>
      </c>
      <c r="G188" s="8">
        <f t="shared" si="17"/>
        <v>0.30000000000000004</v>
      </c>
      <c r="H188" s="9">
        <v>0.1</v>
      </c>
      <c r="I188" s="6">
        <f t="shared" si="13"/>
        <v>3</v>
      </c>
      <c r="J188" s="6">
        <f t="shared" si="12"/>
        <v>0</v>
      </c>
      <c r="K188" s="6">
        <f t="shared" si="15"/>
        <v>0</v>
      </c>
      <c r="L188" s="6">
        <f t="shared" si="14"/>
        <v>0</v>
      </c>
      <c r="M188" s="6">
        <f t="shared" si="16"/>
        <v>0</v>
      </c>
    </row>
    <row r="189" spans="1:14" x14ac:dyDescent="0.3">
      <c r="A189" s="10" t="s">
        <v>205</v>
      </c>
      <c r="B189" s="4">
        <v>44429</v>
      </c>
      <c r="C189" s="5">
        <v>0.4284722222222222</v>
      </c>
      <c r="D189" s="6">
        <v>2355</v>
      </c>
      <c r="E189" s="9">
        <v>0.55000000000000004</v>
      </c>
      <c r="F189" s="7">
        <v>542</v>
      </c>
      <c r="G189" s="8">
        <f t="shared" si="17"/>
        <v>0.44999999999999996</v>
      </c>
      <c r="H189" s="9">
        <v>0.2</v>
      </c>
      <c r="I189" s="6">
        <f t="shared" si="13"/>
        <v>3</v>
      </c>
      <c r="J189" s="6">
        <f t="shared" si="12"/>
        <v>0</v>
      </c>
      <c r="K189" s="6">
        <f t="shared" si="15"/>
        <v>0</v>
      </c>
      <c r="L189" s="6">
        <f t="shared" si="14"/>
        <v>0</v>
      </c>
      <c r="M189" s="6">
        <f t="shared" si="16"/>
        <v>0</v>
      </c>
    </row>
    <row r="190" spans="1:14" x14ac:dyDescent="0.3">
      <c r="A190" s="10" t="s">
        <v>206</v>
      </c>
      <c r="B190" s="4">
        <v>44429</v>
      </c>
      <c r="C190" s="5">
        <v>0.4368055555555555</v>
      </c>
      <c r="D190" s="6">
        <v>2358</v>
      </c>
      <c r="E190" s="9">
        <v>0.65</v>
      </c>
      <c r="F190" s="7">
        <v>503</v>
      </c>
      <c r="G190" s="8">
        <f t="shared" si="17"/>
        <v>0.35</v>
      </c>
      <c r="H190" s="9">
        <v>0.1</v>
      </c>
      <c r="I190" s="6">
        <f t="shared" si="13"/>
        <v>3</v>
      </c>
      <c r="J190" s="6">
        <f t="shared" si="12"/>
        <v>0</v>
      </c>
      <c r="K190" s="6">
        <f t="shared" si="15"/>
        <v>0</v>
      </c>
      <c r="L190" s="6">
        <f t="shared" si="14"/>
        <v>0</v>
      </c>
      <c r="M190" s="6">
        <f t="shared" si="16"/>
        <v>0</v>
      </c>
    </row>
    <row r="191" spans="1:14" x14ac:dyDescent="0.3">
      <c r="A191" s="10" t="s">
        <v>210</v>
      </c>
      <c r="B191" s="4">
        <v>44429</v>
      </c>
      <c r="C191" s="5">
        <v>0.45069444444444445</v>
      </c>
      <c r="D191" s="6">
        <v>2361</v>
      </c>
      <c r="E191" s="9">
        <v>0.6</v>
      </c>
      <c r="F191" s="7">
        <v>488</v>
      </c>
      <c r="G191" s="8">
        <f t="shared" si="17"/>
        <v>0.4</v>
      </c>
      <c r="H191" s="9">
        <v>0.2</v>
      </c>
      <c r="I191" s="6">
        <f t="shared" si="13"/>
        <v>3</v>
      </c>
      <c r="J191" s="6">
        <f t="shared" si="12"/>
        <v>0</v>
      </c>
      <c r="K191" s="6">
        <f t="shared" si="15"/>
        <v>0</v>
      </c>
      <c r="L191" s="6">
        <f t="shared" si="14"/>
        <v>0</v>
      </c>
      <c r="M191" s="6">
        <f t="shared" si="16"/>
        <v>0</v>
      </c>
    </row>
    <row r="192" spans="1:14" x14ac:dyDescent="0.3">
      <c r="A192" s="10" t="s">
        <v>212</v>
      </c>
      <c r="B192" s="4">
        <v>44429</v>
      </c>
      <c r="D192" s="6">
        <v>2364</v>
      </c>
      <c r="E192" s="9">
        <v>0.6</v>
      </c>
      <c r="F192" s="7">
        <v>464</v>
      </c>
      <c r="G192" s="8">
        <f t="shared" si="17"/>
        <v>0.4</v>
      </c>
      <c r="H192" s="9">
        <v>0.25</v>
      </c>
      <c r="I192" s="6">
        <f t="shared" si="13"/>
        <v>3</v>
      </c>
      <c r="J192" s="6">
        <f t="shared" si="12"/>
        <v>0</v>
      </c>
      <c r="K192" s="6">
        <f t="shared" si="15"/>
        <v>0</v>
      </c>
      <c r="L192" s="6">
        <f t="shared" si="14"/>
        <v>0</v>
      </c>
      <c r="M192" s="6">
        <f t="shared" si="16"/>
        <v>0</v>
      </c>
    </row>
    <row r="193" spans="1:14" x14ac:dyDescent="0.3">
      <c r="A193" s="10" t="s">
        <v>211</v>
      </c>
      <c r="B193" s="4">
        <v>44429</v>
      </c>
      <c r="D193" s="6">
        <v>2367</v>
      </c>
      <c r="E193" s="9">
        <v>0.55000000000000004</v>
      </c>
      <c r="F193" s="7">
        <v>460</v>
      </c>
      <c r="G193" s="8">
        <f t="shared" si="17"/>
        <v>0.44999999999999996</v>
      </c>
      <c r="H193" s="9">
        <v>0.2</v>
      </c>
      <c r="I193" s="6">
        <f t="shared" si="13"/>
        <v>3</v>
      </c>
      <c r="J193" s="6">
        <f t="shared" si="12"/>
        <v>0</v>
      </c>
      <c r="K193" s="6">
        <f t="shared" si="15"/>
        <v>0</v>
      </c>
      <c r="L193" s="6">
        <f t="shared" si="14"/>
        <v>0</v>
      </c>
      <c r="M193" s="6">
        <f t="shared" si="16"/>
        <v>0</v>
      </c>
    </row>
    <row r="194" spans="1:14" x14ac:dyDescent="0.3">
      <c r="A194" s="10" t="s">
        <v>213</v>
      </c>
      <c r="B194" s="4">
        <v>44429</v>
      </c>
      <c r="D194" s="6">
        <v>2370</v>
      </c>
      <c r="E194" s="9">
        <v>0.6</v>
      </c>
      <c r="F194" s="7">
        <v>418</v>
      </c>
      <c r="G194" s="8">
        <f t="shared" si="17"/>
        <v>0.4</v>
      </c>
      <c r="H194" s="9">
        <v>0.1</v>
      </c>
      <c r="I194" s="6">
        <f t="shared" si="13"/>
        <v>3</v>
      </c>
      <c r="J194" s="6">
        <f t="shared" si="12"/>
        <v>0</v>
      </c>
      <c r="K194" s="6">
        <f t="shared" si="15"/>
        <v>0</v>
      </c>
      <c r="L194" s="6">
        <f t="shared" si="14"/>
        <v>0</v>
      </c>
      <c r="M194" s="6">
        <f t="shared" si="16"/>
        <v>0</v>
      </c>
    </row>
    <row r="195" spans="1:14" x14ac:dyDescent="0.3">
      <c r="A195" s="10" t="s">
        <v>214</v>
      </c>
      <c r="B195" s="4">
        <v>44429</v>
      </c>
      <c r="D195" s="6">
        <v>2373</v>
      </c>
      <c r="E195" s="9">
        <v>0.7</v>
      </c>
      <c r="F195" s="7">
        <v>460</v>
      </c>
      <c r="G195" s="8">
        <f t="shared" si="17"/>
        <v>0.30000000000000004</v>
      </c>
      <c r="H195" s="9">
        <v>0.15</v>
      </c>
      <c r="I195" s="6">
        <f t="shared" si="13"/>
        <v>3</v>
      </c>
      <c r="J195" s="6">
        <f t="shared" si="12"/>
        <v>0</v>
      </c>
      <c r="K195" s="6">
        <f t="shared" si="15"/>
        <v>0</v>
      </c>
      <c r="L195" s="6">
        <f t="shared" si="14"/>
        <v>0</v>
      </c>
      <c r="M195" s="6">
        <f t="shared" si="16"/>
        <v>0</v>
      </c>
    </row>
    <row r="196" spans="1:14" x14ac:dyDescent="0.3">
      <c r="A196" s="10" t="s">
        <v>215</v>
      </c>
      <c r="B196" s="4">
        <v>44429</v>
      </c>
      <c r="D196" s="6">
        <v>2376</v>
      </c>
      <c r="E196" s="9">
        <v>0.55000000000000004</v>
      </c>
      <c r="F196" s="7">
        <v>470</v>
      </c>
      <c r="G196" s="8">
        <f t="shared" si="17"/>
        <v>0.44999999999999996</v>
      </c>
      <c r="H196" s="9">
        <v>0.4</v>
      </c>
      <c r="I196" s="6">
        <f t="shared" si="13"/>
        <v>3</v>
      </c>
      <c r="J196" s="6">
        <f t="shared" ref="J196:J259" si="18">IF(AND(G196&gt;=$G$2,H196&gt;=$H$2),I196,0)</f>
        <v>0</v>
      </c>
      <c r="K196" s="6">
        <f t="shared" si="15"/>
        <v>0</v>
      </c>
      <c r="L196" s="6">
        <f t="shared" si="14"/>
        <v>0</v>
      </c>
      <c r="M196" s="6">
        <f t="shared" si="16"/>
        <v>0</v>
      </c>
    </row>
    <row r="197" spans="1:14" x14ac:dyDescent="0.3">
      <c r="A197" s="10" t="s">
        <v>216</v>
      </c>
      <c r="B197" s="4">
        <v>44429</v>
      </c>
      <c r="D197" s="6">
        <v>2379</v>
      </c>
      <c r="E197" s="9">
        <v>0.35</v>
      </c>
      <c r="F197" s="7">
        <v>513</v>
      </c>
      <c r="G197" s="8">
        <f t="shared" si="17"/>
        <v>0.65</v>
      </c>
      <c r="H197" s="9">
        <v>0.5</v>
      </c>
      <c r="I197" s="6">
        <f t="shared" ref="I197:I260" si="19">IF(D197&lt;&gt;"",D197-D196,"")</f>
        <v>3</v>
      </c>
      <c r="J197" s="6">
        <f t="shared" si="18"/>
        <v>0</v>
      </c>
      <c r="K197" s="6">
        <f t="shared" si="15"/>
        <v>0</v>
      </c>
      <c r="L197" s="6">
        <f t="shared" ref="L197:L260" si="20">IF(AND(G197&gt;=$G$3,H197&gt;=$H$3),I197,0)</f>
        <v>3</v>
      </c>
      <c r="M197" s="6">
        <f t="shared" si="16"/>
        <v>1.9500000000000002</v>
      </c>
    </row>
    <row r="198" spans="1:14" x14ac:dyDescent="0.3">
      <c r="A198" s="10" t="s">
        <v>217</v>
      </c>
      <c r="B198" s="4">
        <v>44429</v>
      </c>
      <c r="D198" s="6">
        <v>2385</v>
      </c>
      <c r="E198" s="9">
        <v>0.3</v>
      </c>
      <c r="F198" s="7">
        <v>609</v>
      </c>
      <c r="G198" s="8">
        <f t="shared" si="17"/>
        <v>0.7</v>
      </c>
      <c r="H198" s="9">
        <v>0.8</v>
      </c>
      <c r="I198" s="6">
        <f t="shared" si="19"/>
        <v>6</v>
      </c>
      <c r="J198" s="6">
        <f t="shared" si="18"/>
        <v>0</v>
      </c>
      <c r="K198" s="6">
        <f t="shared" ref="K198:K261" si="21">IF(J198&gt;0,J198*G198,0)</f>
        <v>0</v>
      </c>
      <c r="L198" s="6">
        <f t="shared" si="20"/>
        <v>6</v>
      </c>
      <c r="M198" s="6">
        <f t="shared" ref="M198:M261" si="22">IF(L198&gt;0,L198*G198,0)</f>
        <v>4.1999999999999993</v>
      </c>
    </row>
    <row r="199" spans="1:14" x14ac:dyDescent="0.3">
      <c r="A199" s="10" t="s">
        <v>218</v>
      </c>
      <c r="B199" s="4">
        <v>44429</v>
      </c>
      <c r="D199" s="6">
        <v>2388</v>
      </c>
      <c r="E199" s="9">
        <v>0.15</v>
      </c>
      <c r="F199" s="7">
        <v>638</v>
      </c>
      <c r="G199" s="8">
        <f t="shared" si="17"/>
        <v>0.85</v>
      </c>
      <c r="H199" s="9">
        <v>1</v>
      </c>
      <c r="I199" s="6">
        <f t="shared" si="19"/>
        <v>3</v>
      </c>
      <c r="J199" s="6">
        <f t="shared" si="18"/>
        <v>3</v>
      </c>
      <c r="K199" s="6">
        <f t="shared" si="21"/>
        <v>2.5499999999999998</v>
      </c>
      <c r="L199" s="6">
        <f t="shared" si="20"/>
        <v>3</v>
      </c>
      <c r="M199" s="6">
        <f t="shared" si="22"/>
        <v>2.5499999999999998</v>
      </c>
    </row>
    <row r="200" spans="1:14" x14ac:dyDescent="0.3">
      <c r="A200" s="10" t="s">
        <v>219</v>
      </c>
      <c r="B200" s="4">
        <v>44429</v>
      </c>
      <c r="D200" s="6">
        <v>2391</v>
      </c>
      <c r="E200" s="9">
        <v>0.15</v>
      </c>
      <c r="F200" s="7">
        <v>639</v>
      </c>
      <c r="G200" s="8">
        <f t="shared" si="17"/>
        <v>0.85</v>
      </c>
      <c r="H200" s="9">
        <v>1</v>
      </c>
      <c r="I200" s="6">
        <f t="shared" si="19"/>
        <v>3</v>
      </c>
      <c r="J200" s="6">
        <f t="shared" si="18"/>
        <v>3</v>
      </c>
      <c r="K200" s="6">
        <f t="shared" si="21"/>
        <v>2.5499999999999998</v>
      </c>
      <c r="L200" s="6">
        <f t="shared" si="20"/>
        <v>3</v>
      </c>
      <c r="M200" s="6">
        <f t="shared" si="22"/>
        <v>2.5499999999999998</v>
      </c>
    </row>
    <row r="201" spans="1:14" x14ac:dyDescent="0.3">
      <c r="A201" s="10" t="s">
        <v>254</v>
      </c>
      <c r="B201" s="4">
        <v>44429</v>
      </c>
      <c r="D201" s="6">
        <v>2394</v>
      </c>
      <c r="E201" s="9">
        <v>0.05</v>
      </c>
      <c r="F201" s="7">
        <v>641</v>
      </c>
      <c r="G201" s="8">
        <f t="shared" si="17"/>
        <v>0.95</v>
      </c>
      <c r="H201" s="9">
        <v>1</v>
      </c>
      <c r="I201" s="6">
        <f t="shared" si="19"/>
        <v>3</v>
      </c>
      <c r="J201" s="6">
        <f t="shared" si="18"/>
        <v>3</v>
      </c>
      <c r="K201" s="6">
        <f t="shared" si="21"/>
        <v>2.8499999999999996</v>
      </c>
      <c r="L201" s="6">
        <f t="shared" si="20"/>
        <v>3</v>
      </c>
      <c r="M201" s="6">
        <f t="shared" si="22"/>
        <v>2.8499999999999996</v>
      </c>
    </row>
    <row r="202" spans="1:14" x14ac:dyDescent="0.3">
      <c r="A202" s="10" t="s">
        <v>220</v>
      </c>
      <c r="B202" s="4">
        <v>44429</v>
      </c>
      <c r="D202" s="6">
        <v>2397</v>
      </c>
      <c r="E202" s="9">
        <v>0.05</v>
      </c>
      <c r="F202" s="7">
        <v>681</v>
      </c>
      <c r="G202" s="8">
        <f t="shared" si="17"/>
        <v>0.95</v>
      </c>
      <c r="H202" s="9">
        <v>1</v>
      </c>
      <c r="I202" s="6">
        <f t="shared" si="19"/>
        <v>3</v>
      </c>
      <c r="J202" s="6">
        <f t="shared" si="18"/>
        <v>3</v>
      </c>
      <c r="K202" s="6">
        <f t="shared" si="21"/>
        <v>2.8499999999999996</v>
      </c>
      <c r="L202" s="6">
        <f t="shared" si="20"/>
        <v>3</v>
      </c>
      <c r="M202" s="6">
        <f t="shared" si="22"/>
        <v>2.8499999999999996</v>
      </c>
    </row>
    <row r="203" spans="1:14" s="36" customFormat="1" x14ac:dyDescent="0.3">
      <c r="A203" s="28" t="s">
        <v>221</v>
      </c>
      <c r="B203" s="29">
        <v>44429</v>
      </c>
      <c r="C203" s="30"/>
      <c r="D203" s="31">
        <v>2400</v>
      </c>
      <c r="E203" s="32">
        <v>0.1</v>
      </c>
      <c r="F203" s="33">
        <v>632</v>
      </c>
      <c r="G203" s="34">
        <f t="shared" si="17"/>
        <v>0.9</v>
      </c>
      <c r="H203" s="32">
        <v>1</v>
      </c>
      <c r="I203" s="31">
        <f t="shared" si="19"/>
        <v>3</v>
      </c>
      <c r="J203" s="31">
        <f t="shared" si="18"/>
        <v>3</v>
      </c>
      <c r="K203" s="31">
        <f t="shared" si="21"/>
        <v>2.7</v>
      </c>
      <c r="L203" s="31">
        <f t="shared" si="20"/>
        <v>3</v>
      </c>
      <c r="M203" s="31">
        <f t="shared" si="22"/>
        <v>2.7</v>
      </c>
      <c r="N203" s="35"/>
    </row>
    <row r="204" spans="1:14" x14ac:dyDescent="0.3">
      <c r="A204" s="10" t="s">
        <v>222</v>
      </c>
      <c r="B204" s="4">
        <v>44429</v>
      </c>
      <c r="D204" s="6">
        <v>2403</v>
      </c>
      <c r="E204" s="9">
        <v>0.1</v>
      </c>
      <c r="F204" s="7">
        <v>609</v>
      </c>
      <c r="G204" s="8">
        <f t="shared" si="17"/>
        <v>0.9</v>
      </c>
      <c r="H204" s="9">
        <v>1</v>
      </c>
      <c r="I204" s="6">
        <f t="shared" si="19"/>
        <v>3</v>
      </c>
      <c r="J204" s="6">
        <f t="shared" si="18"/>
        <v>3</v>
      </c>
      <c r="K204" s="6">
        <f t="shared" si="21"/>
        <v>2.7</v>
      </c>
      <c r="L204" s="6">
        <f t="shared" si="20"/>
        <v>3</v>
      </c>
      <c r="M204" s="6">
        <f t="shared" si="22"/>
        <v>2.7</v>
      </c>
    </row>
    <row r="205" spans="1:14" x14ac:dyDescent="0.3">
      <c r="A205" s="10" t="s">
        <v>223</v>
      </c>
      <c r="B205" s="4">
        <v>44429</v>
      </c>
      <c r="D205" s="6">
        <v>2406</v>
      </c>
      <c r="E205" s="9">
        <v>0.1</v>
      </c>
      <c r="F205" s="7">
        <v>584</v>
      </c>
      <c r="G205" s="8">
        <f t="shared" si="17"/>
        <v>0.9</v>
      </c>
      <c r="H205" s="9">
        <v>0.9</v>
      </c>
      <c r="I205" s="6">
        <f t="shared" si="19"/>
        <v>3</v>
      </c>
      <c r="J205" s="6">
        <f t="shared" si="18"/>
        <v>3</v>
      </c>
      <c r="K205" s="6">
        <f t="shared" si="21"/>
        <v>2.7</v>
      </c>
      <c r="L205" s="6">
        <f t="shared" si="20"/>
        <v>3</v>
      </c>
      <c r="M205" s="6">
        <f t="shared" si="22"/>
        <v>2.7</v>
      </c>
    </row>
    <row r="206" spans="1:14" x14ac:dyDescent="0.3">
      <c r="A206" s="10" t="s">
        <v>224</v>
      </c>
      <c r="B206" s="4">
        <v>44429</v>
      </c>
      <c r="D206" s="6">
        <v>2409</v>
      </c>
      <c r="E206" s="9">
        <v>0.05</v>
      </c>
      <c r="F206" s="7">
        <v>540</v>
      </c>
      <c r="G206" s="8">
        <f t="shared" si="17"/>
        <v>0.95</v>
      </c>
      <c r="H206" s="9">
        <v>0.9</v>
      </c>
      <c r="I206" s="6">
        <f t="shared" si="19"/>
        <v>3</v>
      </c>
      <c r="J206" s="6">
        <f t="shared" si="18"/>
        <v>3</v>
      </c>
      <c r="K206" s="6">
        <f t="shared" si="21"/>
        <v>2.8499999999999996</v>
      </c>
      <c r="L206" s="6">
        <f t="shared" si="20"/>
        <v>3</v>
      </c>
      <c r="M206" s="6">
        <f t="shared" si="22"/>
        <v>2.8499999999999996</v>
      </c>
    </row>
    <row r="207" spans="1:14" x14ac:dyDescent="0.3">
      <c r="A207" s="10" t="s">
        <v>225</v>
      </c>
      <c r="B207" s="4">
        <v>44429</v>
      </c>
      <c r="D207" s="6">
        <v>2412</v>
      </c>
      <c r="E207" s="9">
        <v>0.05</v>
      </c>
      <c r="F207" s="7">
        <v>620</v>
      </c>
      <c r="G207" s="8">
        <f t="shared" si="17"/>
        <v>0.95</v>
      </c>
      <c r="H207" s="9">
        <v>0.9</v>
      </c>
      <c r="I207" s="6">
        <f t="shared" si="19"/>
        <v>3</v>
      </c>
      <c r="J207" s="6">
        <f t="shared" si="18"/>
        <v>3</v>
      </c>
      <c r="K207" s="6">
        <f t="shared" si="21"/>
        <v>2.8499999999999996</v>
      </c>
      <c r="L207" s="6">
        <f t="shared" si="20"/>
        <v>3</v>
      </c>
      <c r="M207" s="6">
        <f t="shared" si="22"/>
        <v>2.8499999999999996</v>
      </c>
    </row>
    <row r="208" spans="1:14" x14ac:dyDescent="0.3">
      <c r="A208" s="10" t="s">
        <v>226</v>
      </c>
      <c r="B208" s="4">
        <v>44429</v>
      </c>
      <c r="D208" s="6">
        <v>2415</v>
      </c>
      <c r="E208" s="9">
        <v>0.05</v>
      </c>
      <c r="F208" s="7">
        <v>728</v>
      </c>
      <c r="G208" s="8">
        <f t="shared" si="17"/>
        <v>0.95</v>
      </c>
      <c r="H208" s="9">
        <v>1</v>
      </c>
      <c r="I208" s="6">
        <f t="shared" si="19"/>
        <v>3</v>
      </c>
      <c r="J208" s="6">
        <f t="shared" si="18"/>
        <v>3</v>
      </c>
      <c r="K208" s="6">
        <f t="shared" si="21"/>
        <v>2.8499999999999996</v>
      </c>
      <c r="L208" s="6">
        <f t="shared" si="20"/>
        <v>3</v>
      </c>
      <c r="M208" s="6">
        <f t="shared" si="22"/>
        <v>2.8499999999999996</v>
      </c>
    </row>
    <row r="209" spans="1:13" x14ac:dyDescent="0.3">
      <c r="A209" s="10" t="s">
        <v>227</v>
      </c>
      <c r="B209" s="4">
        <v>44429</v>
      </c>
      <c r="D209" s="6">
        <v>2420</v>
      </c>
      <c r="E209" s="9">
        <v>0.05</v>
      </c>
      <c r="F209" s="7">
        <v>847</v>
      </c>
      <c r="G209" s="8">
        <f t="shared" si="17"/>
        <v>0.95</v>
      </c>
      <c r="H209" s="9">
        <v>1</v>
      </c>
      <c r="I209" s="6">
        <f t="shared" si="19"/>
        <v>5</v>
      </c>
      <c r="J209" s="6">
        <f t="shared" si="18"/>
        <v>5</v>
      </c>
      <c r="K209" s="6">
        <f t="shared" si="21"/>
        <v>4.75</v>
      </c>
      <c r="L209" s="6">
        <f t="shared" si="20"/>
        <v>5</v>
      </c>
      <c r="M209" s="6">
        <f t="shared" si="22"/>
        <v>4.75</v>
      </c>
    </row>
    <row r="210" spans="1:13" x14ac:dyDescent="0.3">
      <c r="A210" s="10" t="s">
        <v>229</v>
      </c>
      <c r="B210" s="4">
        <v>44429</v>
      </c>
      <c r="D210" s="6">
        <v>2425</v>
      </c>
      <c r="E210" s="9">
        <v>0.05</v>
      </c>
      <c r="F210" s="7">
        <v>796</v>
      </c>
      <c r="G210" s="8">
        <f t="shared" si="17"/>
        <v>0.95</v>
      </c>
      <c r="H210" s="9">
        <v>1</v>
      </c>
      <c r="I210" s="6">
        <f t="shared" si="19"/>
        <v>5</v>
      </c>
      <c r="J210" s="6">
        <f t="shared" si="18"/>
        <v>5</v>
      </c>
      <c r="K210" s="6">
        <f t="shared" si="21"/>
        <v>4.75</v>
      </c>
      <c r="L210" s="6">
        <f t="shared" si="20"/>
        <v>5</v>
      </c>
      <c r="M210" s="6">
        <f t="shared" si="22"/>
        <v>4.75</v>
      </c>
    </row>
    <row r="211" spans="1:13" x14ac:dyDescent="0.3">
      <c r="A211" s="10" t="s">
        <v>228</v>
      </c>
      <c r="B211" s="4">
        <v>44429</v>
      </c>
      <c r="D211" s="6">
        <v>2430</v>
      </c>
      <c r="E211" s="9">
        <v>0.1</v>
      </c>
      <c r="F211" s="7">
        <v>694</v>
      </c>
      <c r="G211" s="8">
        <f t="shared" si="17"/>
        <v>0.9</v>
      </c>
      <c r="H211" s="9">
        <v>1</v>
      </c>
      <c r="I211" s="6">
        <f t="shared" si="19"/>
        <v>5</v>
      </c>
      <c r="J211" s="6">
        <f t="shared" si="18"/>
        <v>5</v>
      </c>
      <c r="K211" s="6">
        <f t="shared" si="21"/>
        <v>4.5</v>
      </c>
      <c r="L211" s="6">
        <f t="shared" si="20"/>
        <v>5</v>
      </c>
      <c r="M211" s="6">
        <f t="shared" si="22"/>
        <v>4.5</v>
      </c>
    </row>
    <row r="212" spans="1:13" x14ac:dyDescent="0.3">
      <c r="A212" s="10" t="s">
        <v>230</v>
      </c>
      <c r="B212" s="4">
        <v>44429</v>
      </c>
      <c r="D212" s="6">
        <v>2435</v>
      </c>
      <c r="E212" s="9">
        <v>0.15</v>
      </c>
      <c r="F212" s="7">
        <v>756</v>
      </c>
      <c r="G212" s="8">
        <f t="shared" si="17"/>
        <v>0.85</v>
      </c>
      <c r="H212" s="9">
        <v>1</v>
      </c>
      <c r="I212" s="6">
        <f t="shared" si="19"/>
        <v>5</v>
      </c>
      <c r="J212" s="6">
        <f t="shared" si="18"/>
        <v>5</v>
      </c>
      <c r="K212" s="6">
        <f t="shared" si="21"/>
        <v>4.25</v>
      </c>
      <c r="L212" s="6">
        <f t="shared" si="20"/>
        <v>5</v>
      </c>
      <c r="M212" s="6">
        <f t="shared" si="22"/>
        <v>4.25</v>
      </c>
    </row>
    <row r="213" spans="1:13" x14ac:dyDescent="0.3">
      <c r="A213" s="10" t="s">
        <v>231</v>
      </c>
      <c r="B213" s="4">
        <v>44429</v>
      </c>
      <c r="D213" s="6">
        <v>2440</v>
      </c>
      <c r="E213" s="9">
        <v>0.15</v>
      </c>
      <c r="F213" s="7">
        <v>684</v>
      </c>
      <c r="G213" s="8">
        <f t="shared" si="17"/>
        <v>0.85</v>
      </c>
      <c r="H213" s="9">
        <v>0.9</v>
      </c>
      <c r="I213" s="6">
        <f t="shared" si="19"/>
        <v>5</v>
      </c>
      <c r="J213" s="6">
        <f t="shared" si="18"/>
        <v>5</v>
      </c>
      <c r="K213" s="6">
        <f t="shared" si="21"/>
        <v>4.25</v>
      </c>
      <c r="L213" s="6">
        <f t="shared" si="20"/>
        <v>5</v>
      </c>
      <c r="M213" s="6">
        <f t="shared" si="22"/>
        <v>4.25</v>
      </c>
    </row>
    <row r="214" spans="1:13" x14ac:dyDescent="0.3">
      <c r="A214" s="10" t="s">
        <v>232</v>
      </c>
      <c r="B214" s="4">
        <v>44429</v>
      </c>
      <c r="D214" s="6">
        <v>2445</v>
      </c>
      <c r="E214" s="9">
        <v>0.1</v>
      </c>
      <c r="F214" s="7">
        <v>869</v>
      </c>
      <c r="G214" s="8">
        <f t="shared" si="17"/>
        <v>0.9</v>
      </c>
      <c r="H214" s="9">
        <v>0.9</v>
      </c>
      <c r="I214" s="6">
        <f t="shared" si="19"/>
        <v>5</v>
      </c>
      <c r="J214" s="6">
        <f t="shared" si="18"/>
        <v>5</v>
      </c>
      <c r="K214" s="6">
        <f t="shared" si="21"/>
        <v>4.5</v>
      </c>
      <c r="L214" s="6">
        <f t="shared" si="20"/>
        <v>5</v>
      </c>
      <c r="M214" s="6">
        <f t="shared" si="22"/>
        <v>4.5</v>
      </c>
    </row>
    <row r="215" spans="1:13" x14ac:dyDescent="0.3">
      <c r="A215" s="10" t="s">
        <v>233</v>
      </c>
      <c r="B215" s="4">
        <v>44429</v>
      </c>
      <c r="D215" s="6">
        <v>2450</v>
      </c>
      <c r="E215" s="9">
        <v>0.15</v>
      </c>
      <c r="F215" s="7">
        <v>861</v>
      </c>
      <c r="G215" s="8">
        <f t="shared" si="17"/>
        <v>0.85</v>
      </c>
      <c r="H215" s="9">
        <v>0.95</v>
      </c>
      <c r="I215" s="6">
        <f t="shared" si="19"/>
        <v>5</v>
      </c>
      <c r="J215" s="6">
        <f t="shared" si="18"/>
        <v>5</v>
      </c>
      <c r="K215" s="6">
        <f t="shared" si="21"/>
        <v>4.25</v>
      </c>
      <c r="L215" s="6">
        <f t="shared" si="20"/>
        <v>5</v>
      </c>
      <c r="M215" s="6">
        <f t="shared" si="22"/>
        <v>4.25</v>
      </c>
    </row>
    <row r="216" spans="1:13" x14ac:dyDescent="0.3">
      <c r="A216" s="10" t="s">
        <v>234</v>
      </c>
      <c r="B216" s="4">
        <v>44429</v>
      </c>
      <c r="D216" s="6">
        <v>2455</v>
      </c>
      <c r="E216" s="9">
        <v>0.1</v>
      </c>
      <c r="F216" s="7">
        <v>1221</v>
      </c>
      <c r="G216" s="8">
        <f t="shared" si="17"/>
        <v>0.9</v>
      </c>
      <c r="H216" s="9">
        <v>0.95</v>
      </c>
      <c r="I216" s="6">
        <f t="shared" si="19"/>
        <v>5</v>
      </c>
      <c r="J216" s="6">
        <f t="shared" si="18"/>
        <v>5</v>
      </c>
      <c r="K216" s="6">
        <f t="shared" si="21"/>
        <v>4.5</v>
      </c>
      <c r="L216" s="6">
        <f t="shared" si="20"/>
        <v>5</v>
      </c>
      <c r="M216" s="6">
        <f t="shared" si="22"/>
        <v>4.5</v>
      </c>
    </row>
    <row r="217" spans="1:13" x14ac:dyDescent="0.3">
      <c r="A217" s="10" t="s">
        <v>253</v>
      </c>
      <c r="B217" s="4">
        <v>44429</v>
      </c>
      <c r="D217" s="6">
        <v>2460</v>
      </c>
      <c r="E217" s="9">
        <v>0.1</v>
      </c>
      <c r="F217" s="7">
        <v>1200</v>
      </c>
      <c r="G217" s="8">
        <f t="shared" si="17"/>
        <v>0.9</v>
      </c>
      <c r="H217" s="9">
        <v>1</v>
      </c>
      <c r="I217" s="6">
        <f t="shared" si="19"/>
        <v>5</v>
      </c>
      <c r="J217" s="6">
        <f t="shared" si="18"/>
        <v>5</v>
      </c>
      <c r="K217" s="6">
        <f t="shared" si="21"/>
        <v>4.5</v>
      </c>
      <c r="L217" s="6">
        <f t="shared" si="20"/>
        <v>5</v>
      </c>
      <c r="M217" s="6">
        <f t="shared" si="22"/>
        <v>4.5</v>
      </c>
    </row>
    <row r="218" spans="1:13" x14ac:dyDescent="0.3">
      <c r="A218" s="10" t="s">
        <v>235</v>
      </c>
      <c r="B218" s="4">
        <v>44429</v>
      </c>
      <c r="D218" s="6">
        <v>2465</v>
      </c>
      <c r="E218" s="9">
        <v>0.1</v>
      </c>
      <c r="F218" s="7">
        <v>726</v>
      </c>
      <c r="G218" s="8">
        <f t="shared" si="17"/>
        <v>0.9</v>
      </c>
      <c r="H218" s="9">
        <v>0.9</v>
      </c>
      <c r="I218" s="6">
        <f t="shared" si="19"/>
        <v>5</v>
      </c>
      <c r="J218" s="6">
        <f t="shared" si="18"/>
        <v>5</v>
      </c>
      <c r="K218" s="6">
        <f t="shared" si="21"/>
        <v>4.5</v>
      </c>
      <c r="L218" s="6">
        <f t="shared" si="20"/>
        <v>5</v>
      </c>
      <c r="M218" s="6">
        <f t="shared" si="22"/>
        <v>4.5</v>
      </c>
    </row>
    <row r="219" spans="1:13" x14ac:dyDescent="0.3">
      <c r="A219" s="10" t="s">
        <v>236</v>
      </c>
      <c r="B219" s="4">
        <v>44429</v>
      </c>
      <c r="D219" s="6">
        <v>2470</v>
      </c>
      <c r="E219" s="9">
        <v>0.1</v>
      </c>
      <c r="F219" s="7">
        <v>743</v>
      </c>
      <c r="G219" s="8">
        <f t="shared" si="17"/>
        <v>0.9</v>
      </c>
      <c r="H219" s="9">
        <v>0.9</v>
      </c>
      <c r="I219" s="6">
        <f t="shared" si="19"/>
        <v>5</v>
      </c>
      <c r="J219" s="6">
        <f t="shared" si="18"/>
        <v>5</v>
      </c>
      <c r="K219" s="6">
        <f t="shared" si="21"/>
        <v>4.5</v>
      </c>
      <c r="L219" s="6">
        <f t="shared" si="20"/>
        <v>5</v>
      </c>
      <c r="M219" s="6">
        <f t="shared" si="22"/>
        <v>4.5</v>
      </c>
    </row>
    <row r="220" spans="1:13" x14ac:dyDescent="0.3">
      <c r="A220" s="10" t="s">
        <v>237</v>
      </c>
      <c r="B220" s="4">
        <v>44429</v>
      </c>
      <c r="D220" s="6">
        <v>2475</v>
      </c>
      <c r="E220" s="9">
        <v>0.05</v>
      </c>
      <c r="F220" s="7">
        <v>827</v>
      </c>
      <c r="G220" s="8">
        <f t="shared" si="17"/>
        <v>0.95</v>
      </c>
      <c r="H220" s="9">
        <v>0.85</v>
      </c>
      <c r="I220" s="6">
        <f t="shared" si="19"/>
        <v>5</v>
      </c>
      <c r="J220" s="6">
        <f t="shared" si="18"/>
        <v>5</v>
      </c>
      <c r="K220" s="6">
        <f t="shared" si="21"/>
        <v>4.75</v>
      </c>
      <c r="L220" s="6">
        <f t="shared" si="20"/>
        <v>5</v>
      </c>
      <c r="M220" s="6">
        <f t="shared" si="22"/>
        <v>4.75</v>
      </c>
    </row>
    <row r="221" spans="1:13" x14ac:dyDescent="0.3">
      <c r="A221" s="10" t="s">
        <v>238</v>
      </c>
      <c r="B221" s="4">
        <v>44429</v>
      </c>
      <c r="D221" s="6">
        <v>2480</v>
      </c>
      <c r="E221" s="9">
        <v>0.05</v>
      </c>
      <c r="F221" s="7">
        <v>685</v>
      </c>
      <c r="G221" s="8">
        <f t="shared" si="17"/>
        <v>0.95</v>
      </c>
      <c r="H221" s="9">
        <v>0.8</v>
      </c>
      <c r="I221" s="6">
        <f t="shared" si="19"/>
        <v>5</v>
      </c>
      <c r="J221" s="6">
        <f t="shared" si="18"/>
        <v>5</v>
      </c>
      <c r="K221" s="6">
        <f t="shared" si="21"/>
        <v>4.75</v>
      </c>
      <c r="L221" s="6">
        <f t="shared" si="20"/>
        <v>5</v>
      </c>
      <c r="M221" s="6">
        <f t="shared" si="22"/>
        <v>4.75</v>
      </c>
    </row>
    <row r="222" spans="1:13" x14ac:dyDescent="0.3">
      <c r="A222" s="10" t="s">
        <v>239</v>
      </c>
      <c r="B222" s="4">
        <v>44429</v>
      </c>
      <c r="D222" s="6">
        <v>2485</v>
      </c>
      <c r="E222" s="9">
        <v>0.05</v>
      </c>
      <c r="F222" s="7">
        <v>675</v>
      </c>
      <c r="G222" s="8">
        <f t="shared" si="17"/>
        <v>0.95</v>
      </c>
      <c r="H222" s="9">
        <v>0.8</v>
      </c>
      <c r="I222" s="6">
        <f t="shared" si="19"/>
        <v>5</v>
      </c>
      <c r="J222" s="6">
        <f t="shared" si="18"/>
        <v>5</v>
      </c>
      <c r="K222" s="6">
        <f t="shared" si="21"/>
        <v>4.75</v>
      </c>
      <c r="L222" s="6">
        <f t="shared" si="20"/>
        <v>5</v>
      </c>
      <c r="M222" s="6">
        <f t="shared" si="22"/>
        <v>4.75</v>
      </c>
    </row>
    <row r="223" spans="1:13" x14ac:dyDescent="0.3">
      <c r="A223" s="10" t="s">
        <v>240</v>
      </c>
      <c r="B223" s="4">
        <v>44429</v>
      </c>
      <c r="D223" s="6">
        <v>2490</v>
      </c>
      <c r="E223" s="9">
        <v>0.05</v>
      </c>
      <c r="F223" s="7">
        <v>960</v>
      </c>
      <c r="G223" s="8">
        <f t="shared" si="17"/>
        <v>0.95</v>
      </c>
      <c r="H223" s="9">
        <v>0.9</v>
      </c>
      <c r="I223" s="6">
        <f t="shared" si="19"/>
        <v>5</v>
      </c>
      <c r="J223" s="6">
        <f t="shared" si="18"/>
        <v>5</v>
      </c>
      <c r="K223" s="6">
        <f t="shared" si="21"/>
        <v>4.75</v>
      </c>
      <c r="L223" s="6">
        <f t="shared" si="20"/>
        <v>5</v>
      </c>
      <c r="M223" s="6">
        <f t="shared" si="22"/>
        <v>4.75</v>
      </c>
    </row>
    <row r="224" spans="1:13" x14ac:dyDescent="0.3">
      <c r="A224" s="10" t="s">
        <v>241</v>
      </c>
      <c r="B224" s="4">
        <v>44429</v>
      </c>
      <c r="D224" s="6">
        <v>2495</v>
      </c>
      <c r="E224" s="9">
        <v>0</v>
      </c>
      <c r="F224" s="7">
        <v>1118</v>
      </c>
      <c r="G224" s="8">
        <f t="shared" si="17"/>
        <v>1</v>
      </c>
      <c r="H224" s="9">
        <v>1</v>
      </c>
      <c r="I224" s="6">
        <f t="shared" si="19"/>
        <v>5</v>
      </c>
      <c r="J224" s="6">
        <f t="shared" si="18"/>
        <v>5</v>
      </c>
      <c r="K224" s="6">
        <f t="shared" si="21"/>
        <v>5</v>
      </c>
      <c r="L224" s="6">
        <f t="shared" si="20"/>
        <v>5</v>
      </c>
      <c r="M224" s="6">
        <f t="shared" si="22"/>
        <v>5</v>
      </c>
    </row>
    <row r="225" spans="1:14" s="36" customFormat="1" x14ac:dyDescent="0.3">
      <c r="A225" s="28" t="s">
        <v>242</v>
      </c>
      <c r="B225" s="29">
        <v>44429</v>
      </c>
      <c r="C225" s="30"/>
      <c r="D225" s="31">
        <v>2500</v>
      </c>
      <c r="E225" s="32">
        <v>0</v>
      </c>
      <c r="F225" s="33">
        <v>1190</v>
      </c>
      <c r="G225" s="34">
        <f t="shared" si="17"/>
        <v>1</v>
      </c>
      <c r="H225" s="32">
        <v>1</v>
      </c>
      <c r="I225" s="31">
        <f t="shared" si="19"/>
        <v>5</v>
      </c>
      <c r="J225" s="31">
        <f t="shared" si="18"/>
        <v>5</v>
      </c>
      <c r="K225" s="31">
        <f t="shared" si="21"/>
        <v>5</v>
      </c>
      <c r="L225" s="31">
        <f t="shared" si="20"/>
        <v>5</v>
      </c>
      <c r="M225" s="31">
        <f t="shared" si="22"/>
        <v>5</v>
      </c>
      <c r="N225" s="35"/>
    </row>
    <row r="226" spans="1:14" x14ac:dyDescent="0.3">
      <c r="A226" s="10" t="s">
        <v>243</v>
      </c>
      <c r="B226" s="4">
        <v>44429</v>
      </c>
      <c r="D226" s="6">
        <v>2502</v>
      </c>
      <c r="E226" s="9">
        <v>0.05</v>
      </c>
      <c r="F226" s="7">
        <v>700</v>
      </c>
      <c r="G226" s="8">
        <f t="shared" si="17"/>
        <v>0.95</v>
      </c>
      <c r="H226" s="9">
        <v>1</v>
      </c>
      <c r="I226" s="6">
        <f t="shared" si="19"/>
        <v>2</v>
      </c>
      <c r="J226" s="6">
        <f t="shared" si="18"/>
        <v>2</v>
      </c>
      <c r="K226" s="6">
        <f t="shared" si="21"/>
        <v>1.9</v>
      </c>
      <c r="L226" s="6">
        <f t="shared" si="20"/>
        <v>2</v>
      </c>
      <c r="M226" s="6">
        <f t="shared" si="22"/>
        <v>1.9</v>
      </c>
    </row>
    <row r="227" spans="1:14" x14ac:dyDescent="0.3">
      <c r="A227" s="10" t="s">
        <v>244</v>
      </c>
      <c r="B227" s="4">
        <v>44429</v>
      </c>
      <c r="D227" s="6">
        <v>2505</v>
      </c>
      <c r="E227" s="9">
        <v>0</v>
      </c>
      <c r="F227" s="7">
        <v>763</v>
      </c>
      <c r="G227" s="8">
        <f t="shared" ref="G227:G288" si="23">100%-E227</f>
        <v>1</v>
      </c>
      <c r="H227" s="9">
        <v>1</v>
      </c>
      <c r="I227" s="6">
        <f t="shared" si="19"/>
        <v>3</v>
      </c>
      <c r="J227" s="6">
        <f t="shared" si="18"/>
        <v>3</v>
      </c>
      <c r="K227" s="6">
        <f t="shared" si="21"/>
        <v>3</v>
      </c>
      <c r="L227" s="6">
        <f t="shared" si="20"/>
        <v>3</v>
      </c>
      <c r="M227" s="6">
        <f t="shared" si="22"/>
        <v>3</v>
      </c>
    </row>
    <row r="228" spans="1:14" x14ac:dyDescent="0.3">
      <c r="A228" s="10" t="s">
        <v>245</v>
      </c>
      <c r="B228" s="4">
        <v>44429</v>
      </c>
      <c r="D228" s="6">
        <v>2508</v>
      </c>
      <c r="E228" s="9">
        <v>0.05</v>
      </c>
      <c r="F228" s="7">
        <v>725</v>
      </c>
      <c r="G228" s="8">
        <f t="shared" si="23"/>
        <v>0.95</v>
      </c>
      <c r="H228" s="9">
        <v>1</v>
      </c>
      <c r="I228" s="6">
        <f t="shared" si="19"/>
        <v>3</v>
      </c>
      <c r="J228" s="6">
        <f t="shared" si="18"/>
        <v>3</v>
      </c>
      <c r="K228" s="6">
        <f t="shared" si="21"/>
        <v>2.8499999999999996</v>
      </c>
      <c r="L228" s="6">
        <f t="shared" si="20"/>
        <v>3</v>
      </c>
      <c r="M228" s="6">
        <f t="shared" si="22"/>
        <v>2.8499999999999996</v>
      </c>
    </row>
    <row r="229" spans="1:14" x14ac:dyDescent="0.3">
      <c r="A229" s="10" t="s">
        <v>246</v>
      </c>
      <c r="B229" s="4">
        <v>44429</v>
      </c>
      <c r="D229" s="6">
        <v>2511</v>
      </c>
      <c r="E229" s="9">
        <v>0.4</v>
      </c>
      <c r="F229" s="7">
        <v>554</v>
      </c>
      <c r="G229" s="8">
        <f t="shared" si="23"/>
        <v>0.6</v>
      </c>
      <c r="H229" s="9">
        <v>0.5</v>
      </c>
      <c r="I229" s="6">
        <f t="shared" si="19"/>
        <v>3</v>
      </c>
      <c r="J229" s="6">
        <f t="shared" si="18"/>
        <v>0</v>
      </c>
      <c r="K229" s="6">
        <f t="shared" si="21"/>
        <v>0</v>
      </c>
      <c r="L229" s="6">
        <f t="shared" si="20"/>
        <v>3</v>
      </c>
      <c r="M229" s="6">
        <f t="shared" si="22"/>
        <v>1.7999999999999998</v>
      </c>
    </row>
    <row r="230" spans="1:14" x14ac:dyDescent="0.3">
      <c r="A230" s="10" t="s">
        <v>247</v>
      </c>
      <c r="B230" s="4">
        <v>44429</v>
      </c>
      <c r="D230" s="6">
        <v>2514</v>
      </c>
      <c r="E230" s="9">
        <v>0.6</v>
      </c>
      <c r="F230" s="7">
        <v>500</v>
      </c>
      <c r="G230" s="8">
        <f t="shared" si="23"/>
        <v>0.4</v>
      </c>
      <c r="H230" s="9">
        <v>0.3</v>
      </c>
      <c r="I230" s="6">
        <f t="shared" si="19"/>
        <v>3</v>
      </c>
      <c r="J230" s="6">
        <f t="shared" si="18"/>
        <v>0</v>
      </c>
      <c r="K230" s="6">
        <f t="shared" si="21"/>
        <v>0</v>
      </c>
      <c r="L230" s="6">
        <f t="shared" si="20"/>
        <v>0</v>
      </c>
      <c r="M230" s="6">
        <f t="shared" si="22"/>
        <v>0</v>
      </c>
    </row>
    <row r="231" spans="1:14" x14ac:dyDescent="0.3">
      <c r="A231" s="10" t="s">
        <v>248</v>
      </c>
      <c r="B231" s="4">
        <v>44429</v>
      </c>
      <c r="D231" s="6">
        <v>2520</v>
      </c>
      <c r="E231" s="9">
        <v>0.6</v>
      </c>
      <c r="F231" s="7">
        <v>480</v>
      </c>
      <c r="G231" s="8">
        <f t="shared" si="23"/>
        <v>0.4</v>
      </c>
      <c r="H231" s="9">
        <v>0.2</v>
      </c>
      <c r="I231" s="6">
        <f t="shared" si="19"/>
        <v>6</v>
      </c>
      <c r="J231" s="6">
        <f t="shared" si="18"/>
        <v>0</v>
      </c>
      <c r="K231" s="6">
        <f t="shared" si="21"/>
        <v>0</v>
      </c>
      <c r="L231" s="6">
        <f t="shared" si="20"/>
        <v>0</v>
      </c>
      <c r="M231" s="6">
        <f t="shared" si="22"/>
        <v>0</v>
      </c>
    </row>
    <row r="232" spans="1:14" x14ac:dyDescent="0.3">
      <c r="A232" s="10" t="s">
        <v>249</v>
      </c>
      <c r="B232" s="4">
        <v>44429</v>
      </c>
      <c r="D232" s="6">
        <v>2525</v>
      </c>
      <c r="E232" s="9">
        <v>0.55000000000000004</v>
      </c>
      <c r="F232" s="7">
        <v>670</v>
      </c>
      <c r="G232" s="8">
        <f t="shared" si="23"/>
        <v>0.44999999999999996</v>
      </c>
      <c r="H232" s="9">
        <v>0.4</v>
      </c>
      <c r="I232" s="6">
        <f t="shared" si="19"/>
        <v>5</v>
      </c>
      <c r="J232" s="6">
        <f t="shared" si="18"/>
        <v>0</v>
      </c>
      <c r="K232" s="6">
        <f t="shared" si="21"/>
        <v>0</v>
      </c>
      <c r="L232" s="6">
        <f t="shared" si="20"/>
        <v>0</v>
      </c>
      <c r="M232" s="6">
        <f t="shared" si="22"/>
        <v>0</v>
      </c>
    </row>
    <row r="233" spans="1:14" x14ac:dyDescent="0.3">
      <c r="A233" s="10" t="s">
        <v>250</v>
      </c>
      <c r="B233" s="4">
        <v>44429</v>
      </c>
      <c r="C233" s="5">
        <v>0.48888888888888887</v>
      </c>
      <c r="D233" s="6">
        <v>2530</v>
      </c>
      <c r="E233" s="9">
        <v>0.4</v>
      </c>
      <c r="F233" s="7">
        <v>715</v>
      </c>
      <c r="G233" s="8">
        <f t="shared" si="23"/>
        <v>0.6</v>
      </c>
      <c r="H233" s="9">
        <v>0.4</v>
      </c>
      <c r="I233" s="6">
        <f t="shared" si="19"/>
        <v>5</v>
      </c>
      <c r="J233" s="6">
        <f t="shared" si="18"/>
        <v>0</v>
      </c>
      <c r="K233" s="6">
        <f t="shared" si="21"/>
        <v>0</v>
      </c>
      <c r="L233" s="6">
        <f t="shared" si="20"/>
        <v>5</v>
      </c>
      <c r="M233" s="6">
        <f t="shared" si="22"/>
        <v>3</v>
      </c>
    </row>
    <row r="234" spans="1:14" x14ac:dyDescent="0.3">
      <c r="A234" s="10" t="s">
        <v>251</v>
      </c>
      <c r="B234" s="4">
        <v>44429</v>
      </c>
      <c r="C234" s="5">
        <v>0.49722222222222223</v>
      </c>
      <c r="D234" s="6">
        <v>2532</v>
      </c>
      <c r="E234" s="9">
        <v>0.2</v>
      </c>
      <c r="F234" s="7">
        <v>623</v>
      </c>
      <c r="G234" s="8">
        <f t="shared" si="23"/>
        <v>0.8</v>
      </c>
      <c r="H234" s="9">
        <v>0.85</v>
      </c>
      <c r="I234" s="6">
        <f t="shared" si="19"/>
        <v>2</v>
      </c>
      <c r="J234" s="6">
        <f t="shared" si="18"/>
        <v>2</v>
      </c>
      <c r="K234" s="6">
        <f t="shared" si="21"/>
        <v>1.6</v>
      </c>
      <c r="L234" s="6">
        <f t="shared" si="20"/>
        <v>2</v>
      </c>
      <c r="M234" s="6">
        <f t="shared" si="22"/>
        <v>1.6</v>
      </c>
    </row>
    <row r="235" spans="1:14" x14ac:dyDescent="0.3">
      <c r="A235" s="10" t="s">
        <v>252</v>
      </c>
      <c r="B235" s="4">
        <v>44430</v>
      </c>
      <c r="C235" s="5">
        <v>8.3333333333333332E-3</v>
      </c>
      <c r="D235" s="6">
        <v>2535</v>
      </c>
      <c r="E235" s="9">
        <v>0.2</v>
      </c>
      <c r="F235" s="7">
        <v>620</v>
      </c>
      <c r="G235" s="8">
        <f t="shared" si="23"/>
        <v>0.8</v>
      </c>
      <c r="H235" s="9">
        <v>0.85</v>
      </c>
      <c r="I235" s="6">
        <f t="shared" si="19"/>
        <v>3</v>
      </c>
      <c r="J235" s="6">
        <f t="shared" si="18"/>
        <v>3</v>
      </c>
      <c r="K235" s="6">
        <f t="shared" si="21"/>
        <v>2.4000000000000004</v>
      </c>
      <c r="L235" s="6">
        <f t="shared" si="20"/>
        <v>3</v>
      </c>
      <c r="M235" s="6">
        <f t="shared" si="22"/>
        <v>2.4000000000000004</v>
      </c>
    </row>
    <row r="236" spans="1:14" x14ac:dyDescent="0.3">
      <c r="A236" s="10" t="s">
        <v>255</v>
      </c>
      <c r="B236" s="4">
        <v>44430</v>
      </c>
      <c r="C236" s="5">
        <v>2.4999999999999998E-2</v>
      </c>
      <c r="D236" s="6">
        <v>2538</v>
      </c>
      <c r="E236" s="9">
        <v>0.1</v>
      </c>
      <c r="F236" s="7">
        <v>618</v>
      </c>
      <c r="G236" s="8">
        <f t="shared" si="23"/>
        <v>0.9</v>
      </c>
      <c r="H236" s="9">
        <v>1</v>
      </c>
      <c r="I236" s="6">
        <f t="shared" si="19"/>
        <v>3</v>
      </c>
      <c r="J236" s="6">
        <f t="shared" si="18"/>
        <v>3</v>
      </c>
      <c r="K236" s="6">
        <f t="shared" si="21"/>
        <v>2.7</v>
      </c>
      <c r="L236" s="6">
        <f t="shared" si="20"/>
        <v>3</v>
      </c>
      <c r="M236" s="6">
        <f t="shared" si="22"/>
        <v>2.7</v>
      </c>
      <c r="N236" s="16" t="s">
        <v>256</v>
      </c>
    </row>
    <row r="237" spans="1:14" x14ac:dyDescent="0.3">
      <c r="A237" s="10" t="s">
        <v>257</v>
      </c>
      <c r="B237" s="4">
        <v>44430</v>
      </c>
      <c r="C237" s="5">
        <v>3.6111111111111115E-2</v>
      </c>
      <c r="D237" s="6">
        <v>2541</v>
      </c>
      <c r="E237" s="9">
        <v>0.1</v>
      </c>
      <c r="F237" s="7">
        <v>615</v>
      </c>
      <c r="G237" s="8">
        <f t="shared" si="23"/>
        <v>0.9</v>
      </c>
      <c r="H237" s="9">
        <v>1</v>
      </c>
      <c r="I237" s="6">
        <f t="shared" si="19"/>
        <v>3</v>
      </c>
      <c r="J237" s="6">
        <f t="shared" si="18"/>
        <v>3</v>
      </c>
      <c r="K237" s="6">
        <f t="shared" si="21"/>
        <v>2.7</v>
      </c>
      <c r="L237" s="6">
        <f t="shared" si="20"/>
        <v>3</v>
      </c>
      <c r="M237" s="6">
        <f t="shared" si="22"/>
        <v>2.7</v>
      </c>
      <c r="N237" s="16" t="s">
        <v>259</v>
      </c>
    </row>
    <row r="238" spans="1:14" x14ac:dyDescent="0.3">
      <c r="A238" s="10" t="s">
        <v>258</v>
      </c>
      <c r="B238" s="4">
        <v>44430</v>
      </c>
      <c r="C238" s="5">
        <v>4.5138888888888888E-2</v>
      </c>
      <c r="D238" s="6">
        <v>2545</v>
      </c>
      <c r="E238" s="9">
        <v>0.1</v>
      </c>
      <c r="F238" s="7">
        <v>1070</v>
      </c>
      <c r="G238" s="8">
        <f t="shared" si="23"/>
        <v>0.9</v>
      </c>
      <c r="H238" s="9">
        <v>1</v>
      </c>
      <c r="I238" s="6">
        <f t="shared" si="19"/>
        <v>4</v>
      </c>
      <c r="J238" s="6">
        <f t="shared" si="18"/>
        <v>4</v>
      </c>
      <c r="K238" s="6">
        <f t="shared" si="21"/>
        <v>3.6</v>
      </c>
      <c r="L238" s="6">
        <f t="shared" si="20"/>
        <v>4</v>
      </c>
      <c r="M238" s="6">
        <f t="shared" si="22"/>
        <v>3.6</v>
      </c>
    </row>
    <row r="239" spans="1:14" x14ac:dyDescent="0.3">
      <c r="A239" s="10" t="s">
        <v>260</v>
      </c>
      <c r="B239" s="4">
        <v>44430</v>
      </c>
      <c r="C239" s="5">
        <v>6.1111111111111116E-2</v>
      </c>
      <c r="D239" s="6">
        <v>2550</v>
      </c>
      <c r="E239" s="9">
        <v>0.05</v>
      </c>
      <c r="F239" s="7">
        <v>1080</v>
      </c>
      <c r="G239" s="8">
        <f t="shared" si="23"/>
        <v>0.95</v>
      </c>
      <c r="H239" s="9">
        <v>1</v>
      </c>
      <c r="I239" s="6">
        <f t="shared" si="19"/>
        <v>5</v>
      </c>
      <c r="J239" s="6">
        <f t="shared" si="18"/>
        <v>5</v>
      </c>
      <c r="K239" s="6">
        <f t="shared" si="21"/>
        <v>4.75</v>
      </c>
      <c r="L239" s="6">
        <f t="shared" si="20"/>
        <v>5</v>
      </c>
      <c r="M239" s="6">
        <f t="shared" si="22"/>
        <v>4.75</v>
      </c>
    </row>
    <row r="240" spans="1:14" x14ac:dyDescent="0.3">
      <c r="A240" s="10" t="s">
        <v>261</v>
      </c>
      <c r="B240" s="4">
        <v>44430</v>
      </c>
      <c r="C240" s="5">
        <v>7.2916666666666671E-2</v>
      </c>
      <c r="D240" s="6">
        <v>2555</v>
      </c>
      <c r="E240" s="9">
        <v>0.05</v>
      </c>
      <c r="F240" s="7">
        <v>1026</v>
      </c>
      <c r="G240" s="8">
        <f t="shared" si="23"/>
        <v>0.95</v>
      </c>
      <c r="H240" s="9">
        <v>1</v>
      </c>
      <c r="I240" s="6">
        <f t="shared" si="19"/>
        <v>5</v>
      </c>
      <c r="J240" s="6">
        <f t="shared" si="18"/>
        <v>5</v>
      </c>
      <c r="K240" s="6">
        <f t="shared" si="21"/>
        <v>4.75</v>
      </c>
      <c r="L240" s="6">
        <f t="shared" si="20"/>
        <v>5</v>
      </c>
      <c r="M240" s="6">
        <f t="shared" si="22"/>
        <v>4.75</v>
      </c>
    </row>
    <row r="241" spans="1:14" x14ac:dyDescent="0.3">
      <c r="A241" s="10" t="s">
        <v>262</v>
      </c>
      <c r="B241" s="4">
        <v>44430</v>
      </c>
      <c r="C241" s="5">
        <v>8.1250000000000003E-2</v>
      </c>
      <c r="D241" s="6">
        <v>2560</v>
      </c>
      <c r="E241" s="9">
        <v>0.05</v>
      </c>
      <c r="F241" s="7">
        <v>710</v>
      </c>
      <c r="G241" s="8">
        <f t="shared" si="23"/>
        <v>0.95</v>
      </c>
      <c r="H241" s="9">
        <v>0.9</v>
      </c>
      <c r="I241" s="6">
        <f t="shared" si="19"/>
        <v>5</v>
      </c>
      <c r="J241" s="6">
        <f t="shared" si="18"/>
        <v>5</v>
      </c>
      <c r="K241" s="6">
        <f t="shared" si="21"/>
        <v>4.75</v>
      </c>
      <c r="L241" s="6">
        <f t="shared" si="20"/>
        <v>5</v>
      </c>
      <c r="M241" s="6">
        <f t="shared" si="22"/>
        <v>4.75</v>
      </c>
      <c r="N241" s="16" t="s">
        <v>263</v>
      </c>
    </row>
    <row r="242" spans="1:14" x14ac:dyDescent="0.3">
      <c r="A242" s="10" t="s">
        <v>264</v>
      </c>
      <c r="B242" s="4">
        <v>44430</v>
      </c>
      <c r="C242" s="5">
        <v>8.819444444444445E-2</v>
      </c>
      <c r="D242" s="6">
        <v>2565</v>
      </c>
      <c r="E242" s="9">
        <v>0.05</v>
      </c>
      <c r="F242" s="7">
        <v>810</v>
      </c>
      <c r="G242" s="8">
        <f t="shared" si="23"/>
        <v>0.95</v>
      </c>
      <c r="H242" s="9">
        <v>0.9</v>
      </c>
      <c r="I242" s="6">
        <f t="shared" si="19"/>
        <v>5</v>
      </c>
      <c r="J242" s="6">
        <f t="shared" si="18"/>
        <v>5</v>
      </c>
      <c r="K242" s="6">
        <f t="shared" si="21"/>
        <v>4.75</v>
      </c>
      <c r="L242" s="6">
        <f t="shared" si="20"/>
        <v>5</v>
      </c>
      <c r="M242" s="6">
        <f t="shared" si="22"/>
        <v>4.75</v>
      </c>
    </row>
    <row r="243" spans="1:14" x14ac:dyDescent="0.3">
      <c r="A243" s="10" t="s">
        <v>265</v>
      </c>
      <c r="B243" s="4">
        <v>44430</v>
      </c>
      <c r="C243" s="5">
        <v>0.10833333333333334</v>
      </c>
      <c r="D243" s="6">
        <v>2570</v>
      </c>
      <c r="E243" s="9">
        <v>0.05</v>
      </c>
      <c r="F243" s="7">
        <v>635</v>
      </c>
      <c r="G243" s="8">
        <f t="shared" si="23"/>
        <v>0.95</v>
      </c>
      <c r="H243" s="9">
        <v>0.9</v>
      </c>
      <c r="I243" s="6">
        <f t="shared" si="19"/>
        <v>5</v>
      </c>
      <c r="J243" s="6">
        <f t="shared" si="18"/>
        <v>5</v>
      </c>
      <c r="K243" s="6">
        <f t="shared" si="21"/>
        <v>4.75</v>
      </c>
      <c r="L243" s="6">
        <f t="shared" si="20"/>
        <v>5</v>
      </c>
      <c r="M243" s="6">
        <f t="shared" si="22"/>
        <v>4.75</v>
      </c>
    </row>
    <row r="244" spans="1:14" x14ac:dyDescent="0.3">
      <c r="A244" s="10" t="s">
        <v>266</v>
      </c>
      <c r="B244" s="4">
        <v>44430</v>
      </c>
      <c r="C244" s="5">
        <v>0.12013888888888889</v>
      </c>
      <c r="D244" s="6">
        <v>2575</v>
      </c>
      <c r="E244" s="9">
        <v>0.1</v>
      </c>
      <c r="F244" s="7">
        <v>590</v>
      </c>
      <c r="G244" s="8">
        <f t="shared" si="23"/>
        <v>0.9</v>
      </c>
      <c r="H244" s="9">
        <v>0.8</v>
      </c>
      <c r="I244" s="6">
        <f t="shared" si="19"/>
        <v>5</v>
      </c>
      <c r="J244" s="6">
        <f t="shared" si="18"/>
        <v>5</v>
      </c>
      <c r="K244" s="6">
        <f t="shared" si="21"/>
        <v>4.5</v>
      </c>
      <c r="L244" s="6">
        <f t="shared" si="20"/>
        <v>5</v>
      </c>
      <c r="M244" s="6">
        <f t="shared" si="22"/>
        <v>4.5</v>
      </c>
    </row>
    <row r="245" spans="1:14" x14ac:dyDescent="0.3">
      <c r="A245" s="10" t="s">
        <v>267</v>
      </c>
      <c r="B245" s="4">
        <v>44430</v>
      </c>
      <c r="C245" s="5">
        <v>0.12013888888888889</v>
      </c>
      <c r="D245" s="6">
        <v>2580</v>
      </c>
      <c r="E245" s="9">
        <v>0.1</v>
      </c>
      <c r="F245" s="7">
        <v>650</v>
      </c>
      <c r="G245" s="8">
        <f t="shared" si="23"/>
        <v>0.9</v>
      </c>
      <c r="H245" s="9">
        <v>0.85</v>
      </c>
      <c r="I245" s="6">
        <f t="shared" si="19"/>
        <v>5</v>
      </c>
      <c r="J245" s="6">
        <f t="shared" si="18"/>
        <v>5</v>
      </c>
      <c r="K245" s="6">
        <f t="shared" si="21"/>
        <v>4.5</v>
      </c>
      <c r="L245" s="6">
        <f t="shared" si="20"/>
        <v>5</v>
      </c>
      <c r="M245" s="6">
        <f t="shared" si="22"/>
        <v>4.5</v>
      </c>
    </row>
    <row r="246" spans="1:14" x14ac:dyDescent="0.3">
      <c r="A246" s="10" t="s">
        <v>269</v>
      </c>
      <c r="B246" s="4">
        <v>44430</v>
      </c>
      <c r="C246" s="5">
        <v>0.14027777777777778</v>
      </c>
      <c r="D246" s="6">
        <v>2585</v>
      </c>
      <c r="E246" s="9">
        <v>0.1</v>
      </c>
      <c r="F246" s="7">
        <v>667</v>
      </c>
      <c r="G246" s="8">
        <f t="shared" si="23"/>
        <v>0.9</v>
      </c>
      <c r="H246" s="9">
        <v>0.9</v>
      </c>
      <c r="I246" s="6">
        <f t="shared" si="19"/>
        <v>5</v>
      </c>
      <c r="J246" s="6">
        <f t="shared" si="18"/>
        <v>5</v>
      </c>
      <c r="K246" s="6">
        <f t="shared" si="21"/>
        <v>4.5</v>
      </c>
      <c r="L246" s="6">
        <f t="shared" si="20"/>
        <v>5</v>
      </c>
      <c r="M246" s="6">
        <f t="shared" si="22"/>
        <v>4.5</v>
      </c>
    </row>
    <row r="247" spans="1:14" x14ac:dyDescent="0.3">
      <c r="A247" s="10" t="s">
        <v>268</v>
      </c>
      <c r="B247" s="4">
        <v>44430</v>
      </c>
      <c r="C247" s="5">
        <v>0.14305555555555557</v>
      </c>
      <c r="D247" s="6">
        <v>2590</v>
      </c>
      <c r="E247" s="9">
        <v>0.15</v>
      </c>
      <c r="F247" s="7">
        <v>933</v>
      </c>
      <c r="G247" s="8">
        <f t="shared" si="23"/>
        <v>0.85</v>
      </c>
      <c r="H247" s="9">
        <v>1</v>
      </c>
      <c r="I247" s="6">
        <f t="shared" si="19"/>
        <v>5</v>
      </c>
      <c r="J247" s="6">
        <f t="shared" si="18"/>
        <v>5</v>
      </c>
      <c r="K247" s="6">
        <f t="shared" si="21"/>
        <v>4.25</v>
      </c>
      <c r="L247" s="6">
        <f t="shared" si="20"/>
        <v>5</v>
      </c>
      <c r="M247" s="6">
        <f t="shared" si="22"/>
        <v>4.25</v>
      </c>
    </row>
    <row r="248" spans="1:14" x14ac:dyDescent="0.3">
      <c r="A248" s="10" t="s">
        <v>270</v>
      </c>
      <c r="B248" s="4">
        <v>44430</v>
      </c>
      <c r="C248" s="5">
        <v>0.16111111111111112</v>
      </c>
      <c r="D248" s="6">
        <v>2595</v>
      </c>
      <c r="E248" s="9">
        <v>0.1</v>
      </c>
      <c r="F248" s="7">
        <v>850</v>
      </c>
      <c r="G248" s="8">
        <f t="shared" si="23"/>
        <v>0.9</v>
      </c>
      <c r="H248" s="9">
        <v>1</v>
      </c>
      <c r="I248" s="6">
        <f t="shared" si="19"/>
        <v>5</v>
      </c>
      <c r="J248" s="6">
        <f t="shared" si="18"/>
        <v>5</v>
      </c>
      <c r="K248" s="6">
        <f t="shared" si="21"/>
        <v>4.5</v>
      </c>
      <c r="L248" s="6">
        <f t="shared" si="20"/>
        <v>5</v>
      </c>
      <c r="M248" s="6">
        <f t="shared" si="22"/>
        <v>4.5</v>
      </c>
      <c r="N248" s="16" t="s">
        <v>271</v>
      </c>
    </row>
    <row r="249" spans="1:14" s="36" customFormat="1" x14ac:dyDescent="0.3">
      <c r="A249" s="28" t="s">
        <v>272</v>
      </c>
      <c r="B249" s="29">
        <v>44430</v>
      </c>
      <c r="C249" s="30">
        <v>0.16180555555555556</v>
      </c>
      <c r="D249" s="31">
        <v>2600</v>
      </c>
      <c r="E249" s="32">
        <v>0.1</v>
      </c>
      <c r="F249" s="33">
        <v>900</v>
      </c>
      <c r="G249" s="34">
        <f t="shared" si="23"/>
        <v>0.9</v>
      </c>
      <c r="H249" s="32">
        <v>1</v>
      </c>
      <c r="I249" s="31">
        <f t="shared" si="19"/>
        <v>5</v>
      </c>
      <c r="J249" s="31">
        <f t="shared" si="18"/>
        <v>5</v>
      </c>
      <c r="K249" s="31">
        <f t="shared" si="21"/>
        <v>4.5</v>
      </c>
      <c r="L249" s="31">
        <f t="shared" si="20"/>
        <v>5</v>
      </c>
      <c r="M249" s="31">
        <f t="shared" si="22"/>
        <v>4.5</v>
      </c>
      <c r="N249" s="35"/>
    </row>
    <row r="250" spans="1:14" x14ac:dyDescent="0.3">
      <c r="A250" s="10" t="s">
        <v>273</v>
      </c>
      <c r="B250" s="4">
        <v>44430</v>
      </c>
      <c r="C250" s="5">
        <v>0.16319444444444445</v>
      </c>
      <c r="D250" s="6">
        <v>2605</v>
      </c>
      <c r="E250" s="9">
        <v>0</v>
      </c>
      <c r="F250" s="7">
        <v>937</v>
      </c>
      <c r="G250" s="8">
        <f t="shared" si="23"/>
        <v>1</v>
      </c>
      <c r="H250" s="9">
        <v>1</v>
      </c>
      <c r="I250" s="6">
        <f t="shared" si="19"/>
        <v>5</v>
      </c>
      <c r="J250" s="6">
        <f t="shared" si="18"/>
        <v>5</v>
      </c>
      <c r="K250" s="6">
        <f t="shared" si="21"/>
        <v>5</v>
      </c>
      <c r="L250" s="6">
        <f t="shared" si="20"/>
        <v>5</v>
      </c>
      <c r="M250" s="6">
        <f t="shared" si="22"/>
        <v>5</v>
      </c>
    </row>
    <row r="251" spans="1:14" x14ac:dyDescent="0.3">
      <c r="A251" s="10" t="s">
        <v>274</v>
      </c>
      <c r="B251" s="4">
        <v>44430</v>
      </c>
      <c r="C251" s="5">
        <v>0.18958333333333333</v>
      </c>
      <c r="D251" s="6">
        <v>2610</v>
      </c>
      <c r="E251" s="9">
        <v>0</v>
      </c>
      <c r="F251" s="7">
        <v>1086</v>
      </c>
      <c r="G251" s="8">
        <f t="shared" si="23"/>
        <v>1</v>
      </c>
      <c r="H251" s="9">
        <v>1</v>
      </c>
      <c r="I251" s="6">
        <f t="shared" si="19"/>
        <v>5</v>
      </c>
      <c r="J251" s="6">
        <f t="shared" si="18"/>
        <v>5</v>
      </c>
      <c r="K251" s="6">
        <f t="shared" si="21"/>
        <v>5</v>
      </c>
      <c r="L251" s="6">
        <f t="shared" si="20"/>
        <v>5</v>
      </c>
      <c r="M251" s="6">
        <f t="shared" si="22"/>
        <v>5</v>
      </c>
    </row>
    <row r="252" spans="1:14" x14ac:dyDescent="0.3">
      <c r="A252" s="10" t="s">
        <v>275</v>
      </c>
      <c r="B252" s="4">
        <v>44430</v>
      </c>
      <c r="C252" s="5">
        <v>0.20208333333333331</v>
      </c>
      <c r="D252" s="6">
        <v>2615</v>
      </c>
      <c r="E252" s="9">
        <v>0.05</v>
      </c>
      <c r="F252" s="7">
        <v>1124</v>
      </c>
      <c r="G252" s="8">
        <f t="shared" si="23"/>
        <v>0.95</v>
      </c>
      <c r="H252" s="9">
        <v>1</v>
      </c>
      <c r="I252" s="6">
        <f t="shared" si="19"/>
        <v>5</v>
      </c>
      <c r="J252" s="6">
        <f t="shared" si="18"/>
        <v>5</v>
      </c>
      <c r="K252" s="6">
        <f t="shared" si="21"/>
        <v>4.75</v>
      </c>
      <c r="L252" s="6">
        <f t="shared" si="20"/>
        <v>5</v>
      </c>
      <c r="M252" s="6">
        <f t="shared" si="22"/>
        <v>4.75</v>
      </c>
    </row>
    <row r="253" spans="1:14" x14ac:dyDescent="0.3">
      <c r="A253" s="10" t="s">
        <v>276</v>
      </c>
      <c r="B253" s="4">
        <v>44430</v>
      </c>
      <c r="C253" s="5">
        <v>0.20208333333333331</v>
      </c>
      <c r="D253" s="6">
        <v>2620</v>
      </c>
      <c r="E253" s="9">
        <v>0.05</v>
      </c>
      <c r="F253" s="7">
        <v>1247</v>
      </c>
      <c r="G253" s="8">
        <f t="shared" si="23"/>
        <v>0.95</v>
      </c>
      <c r="H253" s="9">
        <v>1</v>
      </c>
      <c r="I253" s="6">
        <f t="shared" si="19"/>
        <v>5</v>
      </c>
      <c r="J253" s="6">
        <f t="shared" si="18"/>
        <v>5</v>
      </c>
      <c r="K253" s="6">
        <f t="shared" si="21"/>
        <v>4.75</v>
      </c>
      <c r="L253" s="6">
        <f t="shared" si="20"/>
        <v>5</v>
      </c>
      <c r="M253" s="6">
        <f t="shared" si="22"/>
        <v>4.75</v>
      </c>
    </row>
    <row r="254" spans="1:14" x14ac:dyDescent="0.3">
      <c r="A254" s="10" t="s">
        <v>277</v>
      </c>
      <c r="B254" s="4">
        <v>44430</v>
      </c>
      <c r="C254" s="5">
        <v>0.23680555555555557</v>
      </c>
      <c r="D254" s="6">
        <v>2625</v>
      </c>
      <c r="E254" s="9">
        <v>0.05</v>
      </c>
      <c r="F254" s="7">
        <v>1250</v>
      </c>
      <c r="G254" s="8">
        <f t="shared" si="23"/>
        <v>0.95</v>
      </c>
      <c r="H254" s="9">
        <v>1</v>
      </c>
      <c r="I254" s="6">
        <f t="shared" si="19"/>
        <v>5</v>
      </c>
      <c r="J254" s="6">
        <f t="shared" si="18"/>
        <v>5</v>
      </c>
      <c r="K254" s="6">
        <f t="shared" si="21"/>
        <v>4.75</v>
      </c>
      <c r="L254" s="6">
        <f t="shared" si="20"/>
        <v>5</v>
      </c>
      <c r="M254" s="6">
        <f t="shared" si="22"/>
        <v>4.75</v>
      </c>
      <c r="N254" s="16" t="s">
        <v>278</v>
      </c>
    </row>
    <row r="255" spans="1:14" x14ac:dyDescent="0.3">
      <c r="A255" s="10" t="s">
        <v>279</v>
      </c>
      <c r="B255" s="4">
        <v>44430</v>
      </c>
      <c r="C255" s="5">
        <v>0.25069444444444444</v>
      </c>
      <c r="D255" s="6">
        <v>2630</v>
      </c>
      <c r="E255" s="9">
        <v>0.05</v>
      </c>
      <c r="F255" s="7">
        <v>908</v>
      </c>
      <c r="G255" s="8">
        <f t="shared" si="23"/>
        <v>0.95</v>
      </c>
      <c r="H255" s="9">
        <v>1</v>
      </c>
      <c r="I255" s="6">
        <f t="shared" si="19"/>
        <v>5</v>
      </c>
      <c r="J255" s="6">
        <f t="shared" si="18"/>
        <v>5</v>
      </c>
      <c r="K255" s="6">
        <f t="shared" si="21"/>
        <v>4.75</v>
      </c>
      <c r="L255" s="6">
        <f t="shared" si="20"/>
        <v>5</v>
      </c>
      <c r="M255" s="6">
        <f t="shared" si="22"/>
        <v>4.75</v>
      </c>
    </row>
    <row r="256" spans="1:14" x14ac:dyDescent="0.3">
      <c r="A256" s="10" t="s">
        <v>280</v>
      </c>
      <c r="B256" s="4">
        <v>44430</v>
      </c>
      <c r="C256" s="5">
        <v>0.25347222222222221</v>
      </c>
      <c r="D256" s="6">
        <v>2635</v>
      </c>
      <c r="E256" s="9">
        <v>0.5</v>
      </c>
      <c r="F256" s="7">
        <v>936</v>
      </c>
      <c r="G256" s="8">
        <f t="shared" si="23"/>
        <v>0.5</v>
      </c>
      <c r="H256" s="9">
        <v>0.8</v>
      </c>
      <c r="I256" s="6">
        <f t="shared" si="19"/>
        <v>5</v>
      </c>
      <c r="J256" s="6">
        <f t="shared" si="18"/>
        <v>0</v>
      </c>
      <c r="K256" s="6">
        <f t="shared" si="21"/>
        <v>0</v>
      </c>
      <c r="L256" s="6">
        <f t="shared" si="20"/>
        <v>0</v>
      </c>
      <c r="M256" s="6">
        <f t="shared" si="22"/>
        <v>0</v>
      </c>
    </row>
    <row r="257" spans="1:14" x14ac:dyDescent="0.3">
      <c r="A257" s="10" t="s">
        <v>281</v>
      </c>
      <c r="B257" s="4">
        <v>44430</v>
      </c>
      <c r="C257" s="5">
        <v>0.26180555555555557</v>
      </c>
      <c r="D257" s="6">
        <v>2640</v>
      </c>
      <c r="E257" s="9">
        <v>0.1</v>
      </c>
      <c r="F257" s="7">
        <v>1127</v>
      </c>
      <c r="G257" s="8">
        <f t="shared" si="23"/>
        <v>0.9</v>
      </c>
      <c r="H257" s="9">
        <v>1</v>
      </c>
      <c r="I257" s="6">
        <f t="shared" si="19"/>
        <v>5</v>
      </c>
      <c r="J257" s="6">
        <f t="shared" si="18"/>
        <v>5</v>
      </c>
      <c r="K257" s="6">
        <f t="shared" si="21"/>
        <v>4.5</v>
      </c>
      <c r="L257" s="6">
        <f t="shared" si="20"/>
        <v>5</v>
      </c>
      <c r="M257" s="6">
        <f t="shared" si="22"/>
        <v>4.5</v>
      </c>
    </row>
    <row r="258" spans="1:14" x14ac:dyDescent="0.3">
      <c r="A258" s="10" t="s">
        <v>282</v>
      </c>
      <c r="B258" s="4">
        <v>44430</v>
      </c>
      <c r="C258" s="5">
        <v>0.27638888888888885</v>
      </c>
      <c r="D258" s="6">
        <v>2645</v>
      </c>
      <c r="E258" s="9">
        <v>0.15</v>
      </c>
      <c r="F258" s="7">
        <v>982</v>
      </c>
      <c r="G258" s="8">
        <f t="shared" si="23"/>
        <v>0.85</v>
      </c>
      <c r="H258" s="9">
        <v>0.9</v>
      </c>
      <c r="I258" s="6">
        <f t="shared" si="19"/>
        <v>5</v>
      </c>
      <c r="J258" s="6">
        <f t="shared" si="18"/>
        <v>5</v>
      </c>
      <c r="K258" s="6">
        <f t="shared" si="21"/>
        <v>4.25</v>
      </c>
      <c r="L258" s="6">
        <f t="shared" si="20"/>
        <v>5</v>
      </c>
      <c r="M258" s="6">
        <f t="shared" si="22"/>
        <v>4.25</v>
      </c>
    </row>
    <row r="259" spans="1:14" x14ac:dyDescent="0.3">
      <c r="A259" s="10" t="s">
        <v>283</v>
      </c>
      <c r="B259" s="4">
        <v>44430</v>
      </c>
      <c r="C259" s="5">
        <v>0.29305555555555557</v>
      </c>
      <c r="D259" s="6">
        <v>2650</v>
      </c>
      <c r="E259" s="9">
        <v>0.1</v>
      </c>
      <c r="F259" s="7">
        <v>853</v>
      </c>
      <c r="G259" s="8">
        <f t="shared" si="23"/>
        <v>0.9</v>
      </c>
      <c r="H259" s="9">
        <v>1</v>
      </c>
      <c r="I259" s="6">
        <f t="shared" si="19"/>
        <v>5</v>
      </c>
      <c r="J259" s="6">
        <f t="shared" si="18"/>
        <v>5</v>
      </c>
      <c r="K259" s="6">
        <f t="shared" si="21"/>
        <v>4.5</v>
      </c>
      <c r="L259" s="6">
        <f t="shared" si="20"/>
        <v>5</v>
      </c>
      <c r="M259" s="6">
        <f t="shared" si="22"/>
        <v>4.5</v>
      </c>
    </row>
    <row r="260" spans="1:14" x14ac:dyDescent="0.3">
      <c r="A260" s="10" t="s">
        <v>284</v>
      </c>
      <c r="B260" s="4">
        <v>44430</v>
      </c>
      <c r="C260" s="5">
        <v>0.29375000000000001</v>
      </c>
      <c r="D260" s="6">
        <v>2655</v>
      </c>
      <c r="E260" s="9">
        <v>0.1</v>
      </c>
      <c r="F260" s="7">
        <v>922</v>
      </c>
      <c r="G260" s="8">
        <f t="shared" si="23"/>
        <v>0.9</v>
      </c>
      <c r="H260" s="9">
        <v>1</v>
      </c>
      <c r="I260" s="6">
        <f t="shared" si="19"/>
        <v>5</v>
      </c>
      <c r="J260" s="6">
        <f t="shared" ref="J260:J323" si="24">IF(AND(G260&gt;=$G$2,H260&gt;=$H$2),I260,0)</f>
        <v>5</v>
      </c>
      <c r="K260" s="6">
        <f t="shared" si="21"/>
        <v>4.5</v>
      </c>
      <c r="L260" s="6">
        <f t="shared" si="20"/>
        <v>5</v>
      </c>
      <c r="M260" s="6">
        <f t="shared" si="22"/>
        <v>4.5</v>
      </c>
    </row>
    <row r="261" spans="1:14" x14ac:dyDescent="0.3">
      <c r="A261" s="10" t="s">
        <v>285</v>
      </c>
      <c r="B261" s="4">
        <v>44430</v>
      </c>
      <c r="C261" s="5">
        <v>0.30972222222222223</v>
      </c>
      <c r="D261" s="6">
        <v>2660</v>
      </c>
      <c r="E261" s="9">
        <v>0.05</v>
      </c>
      <c r="F261" s="7">
        <v>796</v>
      </c>
      <c r="G261" s="8">
        <f t="shared" si="23"/>
        <v>0.95</v>
      </c>
      <c r="H261" s="9">
        <v>0.8</v>
      </c>
      <c r="I261" s="6">
        <f t="shared" ref="I261:I324" si="25">IF(D261&lt;&gt;"",D261-D260,"")</f>
        <v>5</v>
      </c>
      <c r="J261" s="6">
        <f t="shared" si="24"/>
        <v>5</v>
      </c>
      <c r="K261" s="6">
        <f t="shared" si="21"/>
        <v>4.75</v>
      </c>
      <c r="L261" s="6">
        <f t="shared" ref="L261:L324" si="26">IF(AND(G261&gt;=$G$3,H261&gt;=$H$3),I261,0)</f>
        <v>5</v>
      </c>
      <c r="M261" s="6">
        <f t="shared" si="22"/>
        <v>4.75</v>
      </c>
      <c r="N261" s="16" t="s">
        <v>286</v>
      </c>
    </row>
    <row r="262" spans="1:14" x14ac:dyDescent="0.3">
      <c r="A262" s="10" t="s">
        <v>287</v>
      </c>
      <c r="B262" s="4">
        <v>44430</v>
      </c>
      <c r="C262" s="5">
        <v>0.3215277777777778</v>
      </c>
      <c r="D262" s="6">
        <v>2665</v>
      </c>
      <c r="E262" s="9">
        <v>0.1</v>
      </c>
      <c r="F262" s="7">
        <v>622</v>
      </c>
      <c r="G262" s="8">
        <f t="shared" si="23"/>
        <v>0.9</v>
      </c>
      <c r="H262" s="9">
        <v>0.9</v>
      </c>
      <c r="I262" s="6">
        <f t="shared" si="25"/>
        <v>5</v>
      </c>
      <c r="J262" s="6">
        <f t="shared" si="24"/>
        <v>5</v>
      </c>
      <c r="K262" s="6">
        <f t="shared" ref="K262:K325" si="27">IF(J262&gt;0,J262*G262,0)</f>
        <v>4.5</v>
      </c>
      <c r="L262" s="6">
        <f t="shared" si="26"/>
        <v>5</v>
      </c>
      <c r="M262" s="6">
        <f t="shared" ref="M262:M325" si="28">IF(L262&gt;0,L262*G262,0)</f>
        <v>4.5</v>
      </c>
    </row>
    <row r="263" spans="1:14" x14ac:dyDescent="0.3">
      <c r="A263" s="10" t="s">
        <v>288</v>
      </c>
      <c r="B263" s="4">
        <v>44430</v>
      </c>
      <c r="C263" s="5">
        <v>0.32916666666666666</v>
      </c>
      <c r="D263" s="6">
        <v>2670</v>
      </c>
      <c r="E263" s="9">
        <v>0.05</v>
      </c>
      <c r="F263" s="7">
        <v>566</v>
      </c>
      <c r="G263" s="8">
        <f t="shared" si="23"/>
        <v>0.95</v>
      </c>
      <c r="H263" s="9">
        <v>0.75</v>
      </c>
      <c r="I263" s="6">
        <f t="shared" si="25"/>
        <v>5</v>
      </c>
      <c r="J263" s="6">
        <f t="shared" si="24"/>
        <v>0</v>
      </c>
      <c r="K263" s="6">
        <f t="shared" si="27"/>
        <v>0</v>
      </c>
      <c r="L263" s="6">
        <f t="shared" si="26"/>
        <v>5</v>
      </c>
      <c r="M263" s="6">
        <f t="shared" si="28"/>
        <v>4.75</v>
      </c>
    </row>
    <row r="264" spans="1:14" x14ac:dyDescent="0.3">
      <c r="A264" s="10" t="s">
        <v>289</v>
      </c>
      <c r="B264" s="4">
        <v>44430</v>
      </c>
      <c r="C264" s="5">
        <v>0.33680555555555558</v>
      </c>
      <c r="D264" s="6">
        <v>2675</v>
      </c>
      <c r="E264" s="9">
        <v>0.1</v>
      </c>
      <c r="F264" s="7">
        <v>715</v>
      </c>
      <c r="G264" s="8">
        <f t="shared" si="23"/>
        <v>0.9</v>
      </c>
      <c r="H264" s="9">
        <v>0.9</v>
      </c>
      <c r="I264" s="6">
        <f t="shared" si="25"/>
        <v>5</v>
      </c>
      <c r="J264" s="6">
        <f t="shared" si="24"/>
        <v>5</v>
      </c>
      <c r="K264" s="6">
        <f t="shared" si="27"/>
        <v>4.5</v>
      </c>
      <c r="L264" s="6">
        <f t="shared" si="26"/>
        <v>5</v>
      </c>
      <c r="M264" s="6">
        <f t="shared" si="28"/>
        <v>4.5</v>
      </c>
    </row>
    <row r="265" spans="1:14" x14ac:dyDescent="0.3">
      <c r="A265" s="10" t="s">
        <v>290</v>
      </c>
      <c r="B265" s="4">
        <v>44430</v>
      </c>
      <c r="C265" s="5">
        <v>0.35486111111111113</v>
      </c>
      <c r="D265" s="6">
        <v>2680</v>
      </c>
      <c r="E265" s="9">
        <v>0.05</v>
      </c>
      <c r="F265" s="7">
        <v>1010</v>
      </c>
      <c r="G265" s="8">
        <f t="shared" si="23"/>
        <v>0.95</v>
      </c>
      <c r="H265" s="9">
        <v>1</v>
      </c>
      <c r="I265" s="6">
        <f t="shared" si="25"/>
        <v>5</v>
      </c>
      <c r="J265" s="6">
        <f t="shared" si="24"/>
        <v>5</v>
      </c>
      <c r="K265" s="6">
        <f t="shared" si="27"/>
        <v>4.75</v>
      </c>
      <c r="L265" s="6">
        <f t="shared" si="26"/>
        <v>5</v>
      </c>
      <c r="M265" s="6">
        <f t="shared" si="28"/>
        <v>4.75</v>
      </c>
    </row>
    <row r="266" spans="1:14" x14ac:dyDescent="0.3">
      <c r="A266" s="10" t="s">
        <v>291</v>
      </c>
      <c r="B266" s="4">
        <v>44430</v>
      </c>
      <c r="C266" s="5">
        <v>0.36944444444444446</v>
      </c>
      <c r="D266" s="6">
        <v>2685</v>
      </c>
      <c r="E266" s="9">
        <v>0.05</v>
      </c>
      <c r="F266" s="7">
        <v>1030</v>
      </c>
      <c r="G266" s="8">
        <f t="shared" si="23"/>
        <v>0.95</v>
      </c>
      <c r="H266" s="9">
        <v>1</v>
      </c>
      <c r="I266" s="6">
        <f t="shared" si="25"/>
        <v>5</v>
      </c>
      <c r="J266" s="6">
        <f t="shared" si="24"/>
        <v>5</v>
      </c>
      <c r="K266" s="6">
        <f t="shared" si="27"/>
        <v>4.75</v>
      </c>
      <c r="L266" s="6">
        <f t="shared" si="26"/>
        <v>5</v>
      </c>
      <c r="M266" s="6">
        <f t="shared" si="28"/>
        <v>4.75</v>
      </c>
    </row>
    <row r="267" spans="1:14" x14ac:dyDescent="0.3">
      <c r="A267" s="10" t="s">
        <v>292</v>
      </c>
      <c r="B267" s="4">
        <v>44430</v>
      </c>
      <c r="C267" s="5">
        <v>0.37222222222222223</v>
      </c>
      <c r="D267" s="6">
        <v>2690</v>
      </c>
      <c r="E267" s="9">
        <v>0.15</v>
      </c>
      <c r="F267" s="7">
        <v>1430</v>
      </c>
      <c r="G267" s="8">
        <f t="shared" si="23"/>
        <v>0.85</v>
      </c>
      <c r="H267" s="9">
        <v>1</v>
      </c>
      <c r="I267" s="6">
        <f t="shared" si="25"/>
        <v>5</v>
      </c>
      <c r="J267" s="6">
        <f t="shared" si="24"/>
        <v>5</v>
      </c>
      <c r="K267" s="6">
        <f t="shared" si="27"/>
        <v>4.25</v>
      </c>
      <c r="L267" s="6">
        <f t="shared" si="26"/>
        <v>5</v>
      </c>
      <c r="M267" s="6">
        <f t="shared" si="28"/>
        <v>4.25</v>
      </c>
    </row>
    <row r="268" spans="1:14" x14ac:dyDescent="0.3">
      <c r="A268" s="10" t="s">
        <v>293</v>
      </c>
      <c r="B268" s="4">
        <v>44430</v>
      </c>
      <c r="C268" s="5">
        <v>0.3840277777777778</v>
      </c>
      <c r="D268" s="6">
        <v>2695</v>
      </c>
      <c r="E268" s="9">
        <v>0.3</v>
      </c>
      <c r="F268" s="7">
        <v>673</v>
      </c>
      <c r="G268" s="8">
        <f t="shared" si="23"/>
        <v>0.7</v>
      </c>
      <c r="H268" s="9">
        <v>0.8</v>
      </c>
      <c r="I268" s="6">
        <f t="shared" si="25"/>
        <v>5</v>
      </c>
      <c r="J268" s="6">
        <f t="shared" si="24"/>
        <v>0</v>
      </c>
      <c r="K268" s="6">
        <f t="shared" si="27"/>
        <v>0</v>
      </c>
      <c r="L268" s="6">
        <f t="shared" si="26"/>
        <v>5</v>
      </c>
      <c r="M268" s="6">
        <f t="shared" si="28"/>
        <v>3.5</v>
      </c>
      <c r="N268" s="16" t="s">
        <v>294</v>
      </c>
    </row>
    <row r="269" spans="1:14" s="36" customFormat="1" x14ac:dyDescent="0.3">
      <c r="A269" s="28" t="s">
        <v>295</v>
      </c>
      <c r="B269" s="29">
        <v>44430</v>
      </c>
      <c r="C269" s="30">
        <v>0.39513888888888887</v>
      </c>
      <c r="D269" s="31">
        <v>2700</v>
      </c>
      <c r="E269" s="32">
        <v>0.5</v>
      </c>
      <c r="F269" s="33">
        <v>484</v>
      </c>
      <c r="G269" s="34">
        <f t="shared" si="23"/>
        <v>0.5</v>
      </c>
      <c r="H269" s="32">
        <v>0.5</v>
      </c>
      <c r="I269" s="31">
        <f t="shared" si="25"/>
        <v>5</v>
      </c>
      <c r="J269" s="31">
        <f t="shared" si="24"/>
        <v>0</v>
      </c>
      <c r="K269" s="31">
        <f t="shared" si="27"/>
        <v>0</v>
      </c>
      <c r="L269" s="31">
        <f t="shared" si="26"/>
        <v>0</v>
      </c>
      <c r="M269" s="31">
        <f t="shared" si="28"/>
        <v>0</v>
      </c>
      <c r="N269" s="35" t="s">
        <v>296</v>
      </c>
    </row>
    <row r="270" spans="1:14" x14ac:dyDescent="0.3">
      <c r="A270" s="10" t="s">
        <v>297</v>
      </c>
      <c r="B270" s="4">
        <v>44430</v>
      </c>
      <c r="C270" s="5">
        <v>0.41111111111111115</v>
      </c>
      <c r="D270" s="6">
        <v>2703</v>
      </c>
      <c r="E270" s="9">
        <v>0.55000000000000004</v>
      </c>
      <c r="F270" s="7">
        <v>496</v>
      </c>
      <c r="G270" s="8">
        <f t="shared" si="23"/>
        <v>0.44999999999999996</v>
      </c>
      <c r="H270" s="9">
        <v>0.2</v>
      </c>
      <c r="I270" s="6">
        <f t="shared" si="25"/>
        <v>3</v>
      </c>
      <c r="J270" s="6">
        <f t="shared" si="24"/>
        <v>0</v>
      </c>
      <c r="K270" s="6">
        <f t="shared" si="27"/>
        <v>0</v>
      </c>
      <c r="L270" s="6">
        <f t="shared" si="26"/>
        <v>0</v>
      </c>
      <c r="M270" s="6">
        <f t="shared" si="28"/>
        <v>0</v>
      </c>
      <c r="N270" s="16" t="s">
        <v>298</v>
      </c>
    </row>
    <row r="271" spans="1:14" x14ac:dyDescent="0.3">
      <c r="A271" s="10" t="s">
        <v>300</v>
      </c>
      <c r="B271" s="4">
        <v>44430</v>
      </c>
      <c r="C271" s="5">
        <v>0.4236111111111111</v>
      </c>
      <c r="D271" s="6">
        <v>2706</v>
      </c>
      <c r="E271" s="9">
        <v>0.45</v>
      </c>
      <c r="F271" s="7">
        <v>492</v>
      </c>
      <c r="G271" s="8">
        <f t="shared" si="23"/>
        <v>0.55000000000000004</v>
      </c>
      <c r="H271" s="9">
        <v>0.2</v>
      </c>
      <c r="I271" s="6">
        <f t="shared" si="25"/>
        <v>3</v>
      </c>
      <c r="J271" s="6">
        <f t="shared" si="24"/>
        <v>0</v>
      </c>
      <c r="K271" s="6">
        <f t="shared" si="27"/>
        <v>0</v>
      </c>
      <c r="L271" s="6">
        <f t="shared" si="26"/>
        <v>3</v>
      </c>
      <c r="M271" s="6">
        <f t="shared" si="28"/>
        <v>1.6500000000000001</v>
      </c>
    </row>
    <row r="272" spans="1:14" x14ac:dyDescent="0.3">
      <c r="A272" s="10" t="s">
        <v>299</v>
      </c>
      <c r="B272" s="4">
        <v>44430</v>
      </c>
      <c r="C272" s="5">
        <v>0.43124999999999997</v>
      </c>
      <c r="D272" s="6">
        <v>2709</v>
      </c>
      <c r="E272" s="9">
        <v>0.5</v>
      </c>
      <c r="F272" s="7">
        <v>496</v>
      </c>
      <c r="G272" s="8">
        <f t="shared" si="23"/>
        <v>0.5</v>
      </c>
      <c r="H272" s="9">
        <v>0.3</v>
      </c>
      <c r="I272" s="6">
        <f t="shared" si="25"/>
        <v>3</v>
      </c>
      <c r="J272" s="6">
        <f t="shared" si="24"/>
        <v>0</v>
      </c>
      <c r="K272" s="6">
        <f t="shared" si="27"/>
        <v>0</v>
      </c>
      <c r="L272" s="6">
        <f t="shared" si="26"/>
        <v>0</v>
      </c>
      <c r="M272" s="6">
        <f t="shared" si="28"/>
        <v>0</v>
      </c>
    </row>
    <row r="273" spans="1:14" x14ac:dyDescent="0.3">
      <c r="A273" s="10" t="s">
        <v>301</v>
      </c>
      <c r="B273" s="4">
        <v>44430</v>
      </c>
      <c r="C273" s="5">
        <v>0.4381944444444445</v>
      </c>
      <c r="D273" s="6">
        <v>2712</v>
      </c>
      <c r="E273" s="9">
        <v>0.45</v>
      </c>
      <c r="F273" s="7">
        <v>485</v>
      </c>
      <c r="G273" s="8">
        <f t="shared" si="23"/>
        <v>0.55000000000000004</v>
      </c>
      <c r="H273" s="9">
        <v>0.4</v>
      </c>
      <c r="I273" s="6">
        <f t="shared" si="25"/>
        <v>3</v>
      </c>
      <c r="J273" s="6">
        <f t="shared" si="24"/>
        <v>0</v>
      </c>
      <c r="K273" s="6">
        <f t="shared" si="27"/>
        <v>0</v>
      </c>
      <c r="L273" s="6">
        <f t="shared" si="26"/>
        <v>3</v>
      </c>
      <c r="M273" s="6">
        <f t="shared" si="28"/>
        <v>1.6500000000000001</v>
      </c>
    </row>
    <row r="274" spans="1:14" x14ac:dyDescent="0.3">
      <c r="A274" s="10" t="s">
        <v>302</v>
      </c>
      <c r="B274" s="4">
        <v>44430</v>
      </c>
      <c r="C274" s="5">
        <v>0.44791666666666669</v>
      </c>
      <c r="D274" s="6">
        <v>2715</v>
      </c>
      <c r="E274" s="9">
        <v>0.45</v>
      </c>
      <c r="F274" s="7">
        <v>470</v>
      </c>
      <c r="G274" s="8">
        <f t="shared" si="23"/>
        <v>0.55000000000000004</v>
      </c>
      <c r="H274" s="9">
        <v>0.45</v>
      </c>
      <c r="I274" s="6">
        <f t="shared" si="25"/>
        <v>3</v>
      </c>
      <c r="J274" s="6">
        <f t="shared" si="24"/>
        <v>0</v>
      </c>
      <c r="K274" s="6">
        <f t="shared" si="27"/>
        <v>0</v>
      </c>
      <c r="L274" s="6">
        <v>0</v>
      </c>
      <c r="M274" s="6">
        <f t="shared" si="28"/>
        <v>0</v>
      </c>
    </row>
    <row r="275" spans="1:14" x14ac:dyDescent="0.3">
      <c r="A275" s="10" t="s">
        <v>303</v>
      </c>
      <c r="B275" s="4">
        <v>44430</v>
      </c>
      <c r="C275" s="5">
        <v>0.47430555555555554</v>
      </c>
      <c r="D275" s="6">
        <v>2720</v>
      </c>
      <c r="E275" s="9">
        <v>0.5</v>
      </c>
      <c r="F275" s="7">
        <v>452</v>
      </c>
      <c r="G275" s="8">
        <f t="shared" si="23"/>
        <v>0.5</v>
      </c>
      <c r="H275" s="9">
        <v>0.4</v>
      </c>
      <c r="I275" s="6">
        <f t="shared" si="25"/>
        <v>5</v>
      </c>
      <c r="J275" s="6">
        <f t="shared" si="24"/>
        <v>0</v>
      </c>
      <c r="K275" s="6">
        <f t="shared" si="27"/>
        <v>0</v>
      </c>
      <c r="L275" s="6">
        <v>0</v>
      </c>
      <c r="M275" s="6">
        <f t="shared" si="28"/>
        <v>0</v>
      </c>
      <c r="N275" s="16" t="s">
        <v>304</v>
      </c>
    </row>
    <row r="276" spans="1:14" x14ac:dyDescent="0.3">
      <c r="A276" s="10" t="s">
        <v>305</v>
      </c>
      <c r="B276" s="4">
        <v>44430</v>
      </c>
      <c r="C276" s="5">
        <v>0.4861111111111111</v>
      </c>
      <c r="D276" s="6">
        <v>2725</v>
      </c>
      <c r="E276" s="9">
        <v>0.6</v>
      </c>
      <c r="F276" s="7">
        <v>450</v>
      </c>
      <c r="G276" s="8">
        <f t="shared" si="23"/>
        <v>0.4</v>
      </c>
      <c r="H276" s="9">
        <v>0.25</v>
      </c>
      <c r="I276" s="6">
        <f t="shared" si="25"/>
        <v>5</v>
      </c>
      <c r="J276" s="6">
        <f t="shared" si="24"/>
        <v>0</v>
      </c>
      <c r="K276" s="6">
        <f t="shared" si="27"/>
        <v>0</v>
      </c>
      <c r="L276" s="6">
        <v>0</v>
      </c>
      <c r="M276" s="6">
        <f t="shared" si="28"/>
        <v>0</v>
      </c>
      <c r="N276" s="16" t="s">
        <v>306</v>
      </c>
    </row>
    <row r="277" spans="1:14" x14ac:dyDescent="0.3">
      <c r="A277" s="10" t="s">
        <v>307</v>
      </c>
      <c r="B277" s="4">
        <v>44430</v>
      </c>
      <c r="C277" s="5">
        <v>0.49444444444444446</v>
      </c>
      <c r="D277" s="6">
        <v>2730</v>
      </c>
      <c r="E277" s="9">
        <v>0.65</v>
      </c>
      <c r="F277" s="7">
        <v>397</v>
      </c>
      <c r="G277" s="8">
        <f t="shared" si="23"/>
        <v>0.35</v>
      </c>
      <c r="H277" s="9">
        <v>0</v>
      </c>
      <c r="I277" s="6">
        <f t="shared" si="25"/>
        <v>5</v>
      </c>
      <c r="J277" s="6">
        <f t="shared" si="24"/>
        <v>0</v>
      </c>
      <c r="K277" s="6">
        <f t="shared" si="27"/>
        <v>0</v>
      </c>
      <c r="L277" s="6">
        <v>0</v>
      </c>
      <c r="M277" s="6">
        <f t="shared" si="28"/>
        <v>0</v>
      </c>
      <c r="N277" s="16" t="s">
        <v>308</v>
      </c>
    </row>
    <row r="278" spans="1:14" x14ac:dyDescent="0.3">
      <c r="A278" s="10" t="s">
        <v>309</v>
      </c>
      <c r="B278" s="4">
        <v>44430</v>
      </c>
      <c r="C278" s="5">
        <v>0.50486111111111109</v>
      </c>
      <c r="D278" s="6">
        <v>2735</v>
      </c>
      <c r="E278" s="9">
        <v>0.6</v>
      </c>
      <c r="F278" s="7">
        <v>379</v>
      </c>
      <c r="G278" s="8">
        <f t="shared" si="23"/>
        <v>0.4</v>
      </c>
      <c r="H278" s="9">
        <v>0</v>
      </c>
      <c r="I278" s="6">
        <f t="shared" si="25"/>
        <v>5</v>
      </c>
      <c r="J278" s="6">
        <f t="shared" si="24"/>
        <v>0</v>
      </c>
      <c r="K278" s="6">
        <f t="shared" si="27"/>
        <v>0</v>
      </c>
      <c r="L278" s="6">
        <v>0</v>
      </c>
      <c r="M278" s="6">
        <f t="shared" si="28"/>
        <v>0</v>
      </c>
    </row>
    <row r="279" spans="1:14" x14ac:dyDescent="0.3">
      <c r="A279" s="10" t="s">
        <v>310</v>
      </c>
      <c r="B279" s="4">
        <v>44430</v>
      </c>
      <c r="C279" s="5">
        <v>0.52361111111111114</v>
      </c>
      <c r="D279" s="6">
        <v>2739</v>
      </c>
      <c r="E279" s="9">
        <v>0.65</v>
      </c>
      <c r="F279" s="7">
        <v>363</v>
      </c>
      <c r="G279" s="8">
        <f t="shared" si="23"/>
        <v>0.35</v>
      </c>
      <c r="H279" s="9">
        <v>0</v>
      </c>
      <c r="I279" s="6">
        <f t="shared" si="25"/>
        <v>4</v>
      </c>
      <c r="J279" s="6">
        <f t="shared" si="24"/>
        <v>0</v>
      </c>
      <c r="K279" s="6">
        <f t="shared" si="27"/>
        <v>0</v>
      </c>
      <c r="L279" s="6">
        <f t="shared" si="26"/>
        <v>0</v>
      </c>
      <c r="M279" s="6">
        <f t="shared" si="28"/>
        <v>0</v>
      </c>
    </row>
    <row r="280" spans="1:14" x14ac:dyDescent="0.3">
      <c r="A280" s="10" t="s">
        <v>311</v>
      </c>
      <c r="B280" s="4">
        <v>44430</v>
      </c>
      <c r="C280" s="5">
        <v>0.53055555555555556</v>
      </c>
      <c r="D280" s="6">
        <v>2742</v>
      </c>
      <c r="E280" s="9">
        <v>0.65</v>
      </c>
      <c r="F280" s="7">
        <v>384</v>
      </c>
      <c r="G280" s="8">
        <f t="shared" si="23"/>
        <v>0.35</v>
      </c>
      <c r="H280" s="9">
        <v>0</v>
      </c>
      <c r="I280" s="6">
        <f t="shared" si="25"/>
        <v>3</v>
      </c>
      <c r="J280" s="6">
        <f t="shared" si="24"/>
        <v>0</v>
      </c>
      <c r="K280" s="6">
        <f t="shared" si="27"/>
        <v>0</v>
      </c>
      <c r="L280" s="6">
        <f t="shared" si="26"/>
        <v>0</v>
      </c>
      <c r="M280" s="6">
        <f t="shared" si="28"/>
        <v>0</v>
      </c>
    </row>
    <row r="281" spans="1:14" x14ac:dyDescent="0.3">
      <c r="A281" s="10" t="s">
        <v>312</v>
      </c>
      <c r="B281" s="4">
        <v>44430</v>
      </c>
      <c r="C281" s="5">
        <v>0.53819444444444442</v>
      </c>
      <c r="D281" s="6">
        <v>2745</v>
      </c>
      <c r="E281" s="9">
        <v>0.6</v>
      </c>
      <c r="F281" s="7">
        <v>367</v>
      </c>
      <c r="G281" s="8">
        <f t="shared" si="23"/>
        <v>0.4</v>
      </c>
      <c r="H281" s="9">
        <v>0</v>
      </c>
      <c r="I281" s="6">
        <f t="shared" si="25"/>
        <v>3</v>
      </c>
      <c r="J281" s="6">
        <f t="shared" si="24"/>
        <v>0</v>
      </c>
      <c r="K281" s="6">
        <f t="shared" si="27"/>
        <v>0</v>
      </c>
      <c r="L281" s="6">
        <f t="shared" si="26"/>
        <v>0</v>
      </c>
      <c r="M281" s="6">
        <f t="shared" si="28"/>
        <v>0</v>
      </c>
    </row>
    <row r="282" spans="1:14" x14ac:dyDescent="0.3">
      <c r="A282" s="10" t="s">
        <v>313</v>
      </c>
      <c r="B282" s="4">
        <v>44430</v>
      </c>
      <c r="C282" s="5">
        <v>0.55555555555555558</v>
      </c>
      <c r="D282" s="6">
        <v>2750</v>
      </c>
      <c r="E282" s="9">
        <v>0.45</v>
      </c>
      <c r="F282" s="7">
        <v>550</v>
      </c>
      <c r="G282" s="8">
        <f t="shared" si="23"/>
        <v>0.55000000000000004</v>
      </c>
      <c r="H282" s="9">
        <v>0.1</v>
      </c>
      <c r="I282" s="6">
        <f t="shared" si="25"/>
        <v>5</v>
      </c>
      <c r="J282" s="6">
        <f t="shared" si="24"/>
        <v>0</v>
      </c>
      <c r="K282" s="6">
        <f t="shared" si="27"/>
        <v>0</v>
      </c>
      <c r="L282" s="6">
        <f t="shared" si="26"/>
        <v>5</v>
      </c>
      <c r="M282" s="6">
        <f t="shared" si="28"/>
        <v>2.75</v>
      </c>
    </row>
    <row r="283" spans="1:14" x14ac:dyDescent="0.3">
      <c r="A283" s="10" t="s">
        <v>314</v>
      </c>
      <c r="B283" s="4">
        <v>44430</v>
      </c>
      <c r="C283" s="5">
        <v>0.57152777777777775</v>
      </c>
      <c r="D283" s="6">
        <v>2755</v>
      </c>
      <c r="E283" s="9">
        <v>0.15</v>
      </c>
      <c r="F283" s="7">
        <v>870</v>
      </c>
      <c r="G283" s="8">
        <f t="shared" si="23"/>
        <v>0.85</v>
      </c>
      <c r="H283" s="9">
        <v>0.75</v>
      </c>
      <c r="I283" s="6">
        <f t="shared" si="25"/>
        <v>5</v>
      </c>
      <c r="J283" s="6">
        <f t="shared" si="24"/>
        <v>0</v>
      </c>
      <c r="K283" s="6">
        <f t="shared" si="27"/>
        <v>0</v>
      </c>
      <c r="L283" s="6">
        <f t="shared" si="26"/>
        <v>5</v>
      </c>
      <c r="M283" s="6">
        <f t="shared" si="28"/>
        <v>4.25</v>
      </c>
    </row>
    <row r="284" spans="1:14" x14ac:dyDescent="0.3">
      <c r="A284" s="10" t="s">
        <v>316</v>
      </c>
      <c r="B284" s="4">
        <v>44430</v>
      </c>
      <c r="C284" s="5">
        <v>0.57500000000000007</v>
      </c>
      <c r="D284" s="6">
        <v>2760</v>
      </c>
      <c r="E284" s="9">
        <v>0.1</v>
      </c>
      <c r="F284" s="7">
        <v>883</v>
      </c>
      <c r="G284" s="8">
        <f t="shared" si="23"/>
        <v>0.9</v>
      </c>
      <c r="H284" s="9">
        <v>1</v>
      </c>
      <c r="I284" s="6">
        <f t="shared" si="25"/>
        <v>5</v>
      </c>
      <c r="J284" s="6">
        <f t="shared" si="24"/>
        <v>5</v>
      </c>
      <c r="K284" s="6">
        <f t="shared" si="27"/>
        <v>4.5</v>
      </c>
      <c r="L284" s="6">
        <f t="shared" si="26"/>
        <v>5</v>
      </c>
      <c r="M284" s="6">
        <f t="shared" si="28"/>
        <v>4.5</v>
      </c>
    </row>
    <row r="285" spans="1:14" x14ac:dyDescent="0.3">
      <c r="A285" s="10" t="s">
        <v>315</v>
      </c>
      <c r="B285" s="4">
        <v>44430</v>
      </c>
      <c r="C285" s="5">
        <v>0.58263888888888882</v>
      </c>
      <c r="D285" s="6">
        <v>2765</v>
      </c>
      <c r="E285" s="9">
        <v>0.05</v>
      </c>
      <c r="F285" s="7">
        <v>992</v>
      </c>
      <c r="G285" s="8">
        <f t="shared" si="23"/>
        <v>0.95</v>
      </c>
      <c r="H285" s="9">
        <v>1</v>
      </c>
      <c r="I285" s="6">
        <f t="shared" si="25"/>
        <v>5</v>
      </c>
      <c r="J285" s="6">
        <f t="shared" si="24"/>
        <v>5</v>
      </c>
      <c r="K285" s="6">
        <f t="shared" si="27"/>
        <v>4.75</v>
      </c>
      <c r="L285" s="6">
        <f t="shared" si="26"/>
        <v>5</v>
      </c>
      <c r="M285" s="6">
        <f t="shared" si="28"/>
        <v>4.75</v>
      </c>
    </row>
    <row r="286" spans="1:14" x14ac:dyDescent="0.3">
      <c r="A286" s="10" t="s">
        <v>317</v>
      </c>
      <c r="B286" s="4">
        <v>44430</v>
      </c>
      <c r="C286" s="5">
        <v>0.6</v>
      </c>
      <c r="D286" s="6">
        <v>2770</v>
      </c>
      <c r="E286" s="9">
        <v>0.05</v>
      </c>
      <c r="F286" s="7">
        <v>1001</v>
      </c>
      <c r="G286" s="8">
        <f t="shared" si="23"/>
        <v>0.95</v>
      </c>
      <c r="H286" s="9">
        <v>1</v>
      </c>
      <c r="I286" s="6">
        <f t="shared" si="25"/>
        <v>5</v>
      </c>
      <c r="J286" s="6">
        <f t="shared" si="24"/>
        <v>5</v>
      </c>
      <c r="K286" s="6">
        <f t="shared" si="27"/>
        <v>4.75</v>
      </c>
      <c r="L286" s="6">
        <f t="shared" si="26"/>
        <v>5</v>
      </c>
      <c r="M286" s="6">
        <f t="shared" si="28"/>
        <v>4.75</v>
      </c>
    </row>
    <row r="287" spans="1:14" x14ac:dyDescent="0.3">
      <c r="A287" s="10" t="s">
        <v>318</v>
      </c>
      <c r="B287" s="4">
        <v>44430</v>
      </c>
      <c r="C287" s="5">
        <v>0.60625000000000007</v>
      </c>
      <c r="D287" s="6">
        <v>2775</v>
      </c>
      <c r="E287" s="9">
        <v>0.15</v>
      </c>
      <c r="F287" s="7">
        <v>937</v>
      </c>
      <c r="G287" s="8">
        <f t="shared" si="23"/>
        <v>0.85</v>
      </c>
      <c r="H287" s="9">
        <v>1</v>
      </c>
      <c r="I287" s="6">
        <f t="shared" si="25"/>
        <v>5</v>
      </c>
      <c r="J287" s="6">
        <f t="shared" si="24"/>
        <v>5</v>
      </c>
      <c r="K287" s="6">
        <f t="shared" si="27"/>
        <v>4.25</v>
      </c>
      <c r="L287" s="6">
        <f t="shared" si="26"/>
        <v>5</v>
      </c>
      <c r="M287" s="6">
        <f t="shared" si="28"/>
        <v>4.25</v>
      </c>
    </row>
    <row r="288" spans="1:14" x14ac:dyDescent="0.3">
      <c r="A288" s="10" t="s">
        <v>319</v>
      </c>
      <c r="B288" s="4">
        <v>44430</v>
      </c>
      <c r="C288" s="5">
        <v>0.62083333333333335</v>
      </c>
      <c r="D288" s="6">
        <v>2780</v>
      </c>
      <c r="E288" s="9">
        <v>0.25</v>
      </c>
      <c r="F288" s="7">
        <v>458</v>
      </c>
      <c r="G288" s="8">
        <f t="shared" si="23"/>
        <v>0.75</v>
      </c>
      <c r="H288" s="9">
        <v>0.5</v>
      </c>
      <c r="I288" s="6">
        <f t="shared" si="25"/>
        <v>5</v>
      </c>
      <c r="J288" s="6">
        <f t="shared" si="24"/>
        <v>0</v>
      </c>
      <c r="K288" s="6">
        <f t="shared" si="27"/>
        <v>0</v>
      </c>
      <c r="L288" s="6">
        <f t="shared" si="26"/>
        <v>5</v>
      </c>
      <c r="M288" s="6">
        <f t="shared" si="28"/>
        <v>3.75</v>
      </c>
    </row>
    <row r="289" spans="1:13" x14ac:dyDescent="0.3">
      <c r="A289" s="10" t="s">
        <v>320</v>
      </c>
      <c r="B289" s="4">
        <v>44430</v>
      </c>
      <c r="C289" s="5">
        <v>0.64513888888888882</v>
      </c>
      <c r="D289" s="6">
        <v>2785</v>
      </c>
      <c r="E289" s="9">
        <v>0.25</v>
      </c>
      <c r="F289" s="7">
        <v>542</v>
      </c>
      <c r="G289" s="8">
        <f t="shared" ref="G289:G352" si="29">100%-E289</f>
        <v>0.75</v>
      </c>
      <c r="H289" s="9">
        <v>0.55000000000000004</v>
      </c>
      <c r="I289" s="6">
        <f t="shared" si="25"/>
        <v>5</v>
      </c>
      <c r="J289" s="6">
        <f t="shared" si="24"/>
        <v>0</v>
      </c>
      <c r="K289" s="6">
        <f t="shared" si="27"/>
        <v>0</v>
      </c>
      <c r="L289" s="6">
        <f t="shared" si="26"/>
        <v>5</v>
      </c>
      <c r="M289" s="6">
        <f t="shared" si="28"/>
        <v>3.75</v>
      </c>
    </row>
    <row r="290" spans="1:13" x14ac:dyDescent="0.3">
      <c r="A290" s="10" t="s">
        <v>321</v>
      </c>
      <c r="B290" s="4">
        <v>44430</v>
      </c>
      <c r="C290" s="5">
        <v>0.64722222222222225</v>
      </c>
      <c r="D290" s="6">
        <v>2790</v>
      </c>
      <c r="E290" s="9">
        <v>0.2</v>
      </c>
      <c r="F290" s="7">
        <v>684</v>
      </c>
      <c r="G290" s="8">
        <f t="shared" si="29"/>
        <v>0.8</v>
      </c>
      <c r="H290" s="9">
        <v>0.6</v>
      </c>
      <c r="I290" s="6">
        <f t="shared" si="25"/>
        <v>5</v>
      </c>
      <c r="J290" s="6">
        <f t="shared" si="24"/>
        <v>0</v>
      </c>
      <c r="K290" s="6">
        <f t="shared" si="27"/>
        <v>0</v>
      </c>
      <c r="L290" s="6">
        <f t="shared" si="26"/>
        <v>5</v>
      </c>
      <c r="M290" s="6">
        <f t="shared" si="28"/>
        <v>4</v>
      </c>
    </row>
    <row r="291" spans="1:13" x14ac:dyDescent="0.3">
      <c r="A291" s="10" t="s">
        <v>322</v>
      </c>
      <c r="B291" s="4">
        <v>44430</v>
      </c>
      <c r="C291" s="5">
        <v>0.65</v>
      </c>
      <c r="D291" s="6">
        <v>2795</v>
      </c>
      <c r="E291" s="9">
        <v>0.15</v>
      </c>
      <c r="F291" s="7">
        <v>780</v>
      </c>
      <c r="G291" s="8">
        <f t="shared" si="29"/>
        <v>0.85</v>
      </c>
      <c r="H291" s="9">
        <v>0.75</v>
      </c>
      <c r="I291" s="6">
        <f t="shared" si="25"/>
        <v>5</v>
      </c>
      <c r="J291" s="6">
        <f t="shared" si="24"/>
        <v>0</v>
      </c>
      <c r="K291" s="6">
        <f t="shared" si="27"/>
        <v>0</v>
      </c>
      <c r="L291" s="6">
        <f t="shared" si="26"/>
        <v>5</v>
      </c>
      <c r="M291" s="6">
        <f t="shared" si="28"/>
        <v>4.25</v>
      </c>
    </row>
    <row r="292" spans="1:13" x14ac:dyDescent="0.3">
      <c r="A292" s="10" t="s">
        <v>325</v>
      </c>
      <c r="B292" s="4">
        <v>44430</v>
      </c>
      <c r="D292" s="6">
        <v>2800</v>
      </c>
      <c r="E292" s="9">
        <v>0.15</v>
      </c>
      <c r="F292" s="7">
        <v>1214</v>
      </c>
      <c r="G292" s="8">
        <f t="shared" si="29"/>
        <v>0.85</v>
      </c>
      <c r="H292" s="9">
        <v>1</v>
      </c>
      <c r="I292" s="6">
        <f t="shared" si="25"/>
        <v>5</v>
      </c>
      <c r="J292" s="6">
        <f t="shared" si="24"/>
        <v>5</v>
      </c>
      <c r="K292" s="6">
        <f t="shared" si="27"/>
        <v>4.25</v>
      </c>
      <c r="L292" s="6">
        <f t="shared" si="26"/>
        <v>5</v>
      </c>
      <c r="M292" s="6">
        <f t="shared" si="28"/>
        <v>4.25</v>
      </c>
    </row>
    <row r="293" spans="1:13" x14ac:dyDescent="0.3">
      <c r="A293" s="10" t="s">
        <v>324</v>
      </c>
      <c r="B293" s="4">
        <v>44430</v>
      </c>
      <c r="D293" s="6">
        <v>2805</v>
      </c>
      <c r="E293" s="9">
        <v>0.05</v>
      </c>
      <c r="F293" s="7">
        <v>1354</v>
      </c>
      <c r="G293" s="8">
        <f t="shared" si="29"/>
        <v>0.95</v>
      </c>
      <c r="H293" s="9">
        <v>1</v>
      </c>
      <c r="I293" s="6">
        <f t="shared" si="25"/>
        <v>5</v>
      </c>
      <c r="J293" s="6">
        <f t="shared" si="24"/>
        <v>5</v>
      </c>
      <c r="K293" s="6">
        <f t="shared" si="27"/>
        <v>4.75</v>
      </c>
      <c r="L293" s="6">
        <f t="shared" si="26"/>
        <v>5</v>
      </c>
      <c r="M293" s="6">
        <f t="shared" si="28"/>
        <v>4.75</v>
      </c>
    </row>
    <row r="294" spans="1:13" x14ac:dyDescent="0.3">
      <c r="A294" s="10" t="s">
        <v>323</v>
      </c>
      <c r="B294" s="4">
        <v>44430</v>
      </c>
      <c r="D294" s="6">
        <v>2810</v>
      </c>
      <c r="E294" s="9">
        <v>0.05</v>
      </c>
      <c r="F294" s="7">
        <v>725</v>
      </c>
      <c r="G294" s="8">
        <f t="shared" si="29"/>
        <v>0.95</v>
      </c>
      <c r="H294" s="9">
        <v>1</v>
      </c>
      <c r="I294" s="6">
        <f t="shared" si="25"/>
        <v>5</v>
      </c>
      <c r="J294" s="6">
        <f t="shared" si="24"/>
        <v>5</v>
      </c>
      <c r="K294" s="6">
        <f t="shared" si="27"/>
        <v>4.75</v>
      </c>
      <c r="L294" s="6">
        <f t="shared" si="26"/>
        <v>5</v>
      </c>
      <c r="M294" s="6">
        <f t="shared" si="28"/>
        <v>4.75</v>
      </c>
    </row>
    <row r="295" spans="1:13" x14ac:dyDescent="0.3">
      <c r="A295" s="10" t="s">
        <v>326</v>
      </c>
      <c r="B295" s="4">
        <v>44430</v>
      </c>
      <c r="D295" s="6">
        <v>2815</v>
      </c>
      <c r="E295" s="9">
        <v>0.05</v>
      </c>
      <c r="F295" s="7">
        <v>731</v>
      </c>
      <c r="G295" s="8">
        <f t="shared" si="29"/>
        <v>0.95</v>
      </c>
      <c r="H295" s="9">
        <v>1</v>
      </c>
      <c r="I295" s="6">
        <f t="shared" si="25"/>
        <v>5</v>
      </c>
      <c r="J295" s="6">
        <f t="shared" si="24"/>
        <v>5</v>
      </c>
      <c r="K295" s="6">
        <f t="shared" si="27"/>
        <v>4.75</v>
      </c>
      <c r="L295" s="6">
        <f t="shared" si="26"/>
        <v>5</v>
      </c>
      <c r="M295" s="6">
        <f t="shared" si="28"/>
        <v>4.75</v>
      </c>
    </row>
    <row r="296" spans="1:13" x14ac:dyDescent="0.3">
      <c r="A296" s="10" t="s">
        <v>328</v>
      </c>
      <c r="B296" s="4">
        <v>44430</v>
      </c>
      <c r="D296" s="6">
        <v>2820</v>
      </c>
      <c r="E296" s="9">
        <v>0.05</v>
      </c>
      <c r="F296" s="7">
        <v>971</v>
      </c>
      <c r="G296" s="8">
        <f t="shared" si="29"/>
        <v>0.95</v>
      </c>
      <c r="H296" s="9">
        <v>1</v>
      </c>
      <c r="I296" s="6">
        <f t="shared" si="25"/>
        <v>5</v>
      </c>
      <c r="J296" s="6">
        <f t="shared" si="24"/>
        <v>5</v>
      </c>
      <c r="K296" s="6">
        <f t="shared" si="27"/>
        <v>4.75</v>
      </c>
      <c r="L296" s="6">
        <f t="shared" si="26"/>
        <v>5</v>
      </c>
      <c r="M296" s="6">
        <f t="shared" si="28"/>
        <v>4.75</v>
      </c>
    </row>
    <row r="297" spans="1:13" x14ac:dyDescent="0.3">
      <c r="A297" s="10" t="s">
        <v>327</v>
      </c>
      <c r="B297" s="4">
        <v>44430</v>
      </c>
      <c r="D297" s="6">
        <v>2825</v>
      </c>
      <c r="E297" s="9">
        <v>0.05</v>
      </c>
      <c r="F297" s="7">
        <v>810</v>
      </c>
      <c r="G297" s="8">
        <f t="shared" si="29"/>
        <v>0.95</v>
      </c>
      <c r="H297" s="9">
        <v>1</v>
      </c>
      <c r="I297" s="6">
        <f t="shared" si="25"/>
        <v>5</v>
      </c>
      <c r="J297" s="6">
        <f t="shared" si="24"/>
        <v>5</v>
      </c>
      <c r="K297" s="6">
        <f t="shared" si="27"/>
        <v>4.75</v>
      </c>
      <c r="L297" s="6">
        <f t="shared" si="26"/>
        <v>5</v>
      </c>
      <c r="M297" s="6">
        <f t="shared" si="28"/>
        <v>4.75</v>
      </c>
    </row>
    <row r="298" spans="1:13" x14ac:dyDescent="0.3">
      <c r="A298" s="10" t="s">
        <v>329</v>
      </c>
      <c r="B298" s="4">
        <v>44430</v>
      </c>
      <c r="D298" s="6">
        <v>2830</v>
      </c>
      <c r="E298" s="9">
        <v>0.05</v>
      </c>
      <c r="F298" s="7">
        <v>847</v>
      </c>
      <c r="G298" s="8">
        <f t="shared" si="29"/>
        <v>0.95</v>
      </c>
      <c r="H298" s="9">
        <v>1</v>
      </c>
      <c r="I298" s="6">
        <f t="shared" si="25"/>
        <v>5</v>
      </c>
      <c r="J298" s="6">
        <f t="shared" si="24"/>
        <v>5</v>
      </c>
      <c r="K298" s="6">
        <f t="shared" si="27"/>
        <v>4.75</v>
      </c>
      <c r="L298" s="6">
        <f t="shared" si="26"/>
        <v>5</v>
      </c>
      <c r="M298" s="6">
        <f t="shared" si="28"/>
        <v>4.75</v>
      </c>
    </row>
    <row r="299" spans="1:13" x14ac:dyDescent="0.3">
      <c r="A299" s="10" t="s">
        <v>330</v>
      </c>
      <c r="B299" s="4">
        <v>44430</v>
      </c>
      <c r="D299" s="6">
        <v>2835</v>
      </c>
      <c r="E299" s="9">
        <v>0</v>
      </c>
      <c r="F299" s="7">
        <v>850</v>
      </c>
      <c r="G299" s="8">
        <f t="shared" si="29"/>
        <v>1</v>
      </c>
      <c r="H299" s="9">
        <v>1</v>
      </c>
      <c r="I299" s="6">
        <f t="shared" si="25"/>
        <v>5</v>
      </c>
      <c r="J299" s="6">
        <f t="shared" si="24"/>
        <v>5</v>
      </c>
      <c r="K299" s="6">
        <f t="shared" si="27"/>
        <v>5</v>
      </c>
      <c r="L299" s="6">
        <f t="shared" si="26"/>
        <v>5</v>
      </c>
      <c r="M299" s="6">
        <f t="shared" si="28"/>
        <v>5</v>
      </c>
    </row>
    <row r="300" spans="1:13" x14ac:dyDescent="0.3">
      <c r="A300" s="10" t="s">
        <v>331</v>
      </c>
      <c r="B300" s="4">
        <v>44430</v>
      </c>
      <c r="D300" s="6">
        <v>2840</v>
      </c>
      <c r="E300" s="9">
        <v>0</v>
      </c>
      <c r="F300" s="7">
        <v>724</v>
      </c>
      <c r="G300" s="8">
        <f t="shared" si="29"/>
        <v>1</v>
      </c>
      <c r="H300" s="9">
        <v>1</v>
      </c>
      <c r="I300" s="6">
        <f t="shared" si="25"/>
        <v>5</v>
      </c>
      <c r="J300" s="6">
        <f t="shared" si="24"/>
        <v>5</v>
      </c>
      <c r="K300" s="6">
        <f t="shared" si="27"/>
        <v>5</v>
      </c>
      <c r="L300" s="6">
        <f t="shared" si="26"/>
        <v>5</v>
      </c>
      <c r="M300" s="6">
        <f t="shared" si="28"/>
        <v>5</v>
      </c>
    </row>
    <row r="301" spans="1:13" x14ac:dyDescent="0.3">
      <c r="A301" s="10" t="s">
        <v>332</v>
      </c>
      <c r="B301" s="4">
        <v>44430</v>
      </c>
      <c r="D301" s="6">
        <v>2845</v>
      </c>
      <c r="E301" s="9">
        <v>0</v>
      </c>
      <c r="F301" s="7">
        <v>705</v>
      </c>
      <c r="G301" s="8">
        <f t="shared" si="29"/>
        <v>1</v>
      </c>
      <c r="H301" s="9">
        <v>1</v>
      </c>
      <c r="I301" s="6">
        <f t="shared" si="25"/>
        <v>5</v>
      </c>
      <c r="J301" s="6">
        <f t="shared" si="24"/>
        <v>5</v>
      </c>
      <c r="K301" s="6">
        <f t="shared" si="27"/>
        <v>5</v>
      </c>
      <c r="L301" s="6">
        <f t="shared" si="26"/>
        <v>5</v>
      </c>
      <c r="M301" s="6">
        <f t="shared" si="28"/>
        <v>5</v>
      </c>
    </row>
    <row r="302" spans="1:13" x14ac:dyDescent="0.3">
      <c r="A302" s="10" t="s">
        <v>333</v>
      </c>
      <c r="B302" s="4">
        <v>44430</v>
      </c>
      <c r="D302" s="6">
        <v>2850</v>
      </c>
      <c r="E302" s="9">
        <v>0.1</v>
      </c>
      <c r="F302" s="7">
        <v>555</v>
      </c>
      <c r="G302" s="8">
        <f t="shared" si="29"/>
        <v>0.9</v>
      </c>
      <c r="H302" s="9">
        <v>1</v>
      </c>
      <c r="I302" s="6">
        <f t="shared" si="25"/>
        <v>5</v>
      </c>
      <c r="J302" s="6">
        <f t="shared" si="24"/>
        <v>5</v>
      </c>
      <c r="K302" s="6">
        <f t="shared" si="27"/>
        <v>4.5</v>
      </c>
      <c r="L302" s="6">
        <f t="shared" si="26"/>
        <v>5</v>
      </c>
      <c r="M302" s="6">
        <f t="shared" si="28"/>
        <v>4.5</v>
      </c>
    </row>
    <row r="303" spans="1:13" x14ac:dyDescent="0.3">
      <c r="A303" s="10" t="s">
        <v>334</v>
      </c>
      <c r="B303" s="4">
        <v>44430</v>
      </c>
      <c r="D303" s="6">
        <v>2855</v>
      </c>
      <c r="E303" s="9">
        <v>0.1</v>
      </c>
      <c r="F303" s="7">
        <v>561</v>
      </c>
      <c r="G303" s="8">
        <f t="shared" si="29"/>
        <v>0.9</v>
      </c>
      <c r="H303" s="9">
        <v>1</v>
      </c>
      <c r="I303" s="6">
        <f t="shared" si="25"/>
        <v>5</v>
      </c>
      <c r="J303" s="6">
        <f t="shared" si="24"/>
        <v>5</v>
      </c>
      <c r="K303" s="6">
        <f t="shared" si="27"/>
        <v>4.5</v>
      </c>
      <c r="L303" s="6">
        <f t="shared" si="26"/>
        <v>5</v>
      </c>
      <c r="M303" s="6">
        <f t="shared" si="28"/>
        <v>4.5</v>
      </c>
    </row>
    <row r="304" spans="1:13" x14ac:dyDescent="0.3">
      <c r="A304" s="10" t="s">
        <v>335</v>
      </c>
      <c r="B304" s="4">
        <v>44430</v>
      </c>
      <c r="D304" s="6">
        <v>2860</v>
      </c>
      <c r="E304" s="9">
        <v>0.1</v>
      </c>
      <c r="F304" s="7">
        <v>655</v>
      </c>
      <c r="G304" s="8">
        <f t="shared" si="29"/>
        <v>0.9</v>
      </c>
      <c r="H304" s="9">
        <v>1</v>
      </c>
      <c r="I304" s="6">
        <f t="shared" si="25"/>
        <v>5</v>
      </c>
      <c r="J304" s="6">
        <f t="shared" si="24"/>
        <v>5</v>
      </c>
      <c r="K304" s="6">
        <f t="shared" si="27"/>
        <v>4.5</v>
      </c>
      <c r="L304" s="6">
        <f t="shared" si="26"/>
        <v>5</v>
      </c>
      <c r="M304" s="6">
        <f t="shared" si="28"/>
        <v>4.5</v>
      </c>
    </row>
    <row r="305" spans="1:16" x14ac:dyDescent="0.3">
      <c r="A305" s="10" t="s">
        <v>336</v>
      </c>
      <c r="B305" s="4">
        <v>44430</v>
      </c>
      <c r="D305" s="6">
        <v>2865</v>
      </c>
      <c r="E305" s="9">
        <v>0.1</v>
      </c>
      <c r="F305" s="7">
        <v>612</v>
      </c>
      <c r="G305" s="8">
        <f t="shared" si="29"/>
        <v>0.9</v>
      </c>
      <c r="H305" s="9">
        <v>0.9</v>
      </c>
      <c r="I305" s="6">
        <f t="shared" si="25"/>
        <v>5</v>
      </c>
      <c r="J305" s="6">
        <f t="shared" si="24"/>
        <v>5</v>
      </c>
      <c r="K305" s="6">
        <f t="shared" si="27"/>
        <v>4.5</v>
      </c>
      <c r="L305" s="6">
        <f t="shared" si="26"/>
        <v>5</v>
      </c>
      <c r="M305" s="6">
        <f t="shared" si="28"/>
        <v>4.5</v>
      </c>
    </row>
    <row r="306" spans="1:16" x14ac:dyDescent="0.3">
      <c r="A306" s="10" t="s">
        <v>337</v>
      </c>
      <c r="B306" s="4">
        <v>44430</v>
      </c>
      <c r="D306" s="6">
        <v>2870</v>
      </c>
      <c r="E306" s="9">
        <v>0.15</v>
      </c>
      <c r="F306" s="7">
        <v>410</v>
      </c>
      <c r="G306" s="8">
        <f t="shared" si="29"/>
        <v>0.85</v>
      </c>
      <c r="H306" s="9">
        <v>0.8</v>
      </c>
      <c r="I306" s="6">
        <f t="shared" si="25"/>
        <v>5</v>
      </c>
      <c r="J306" s="6">
        <f t="shared" si="24"/>
        <v>5</v>
      </c>
      <c r="K306" s="6">
        <f t="shared" si="27"/>
        <v>4.25</v>
      </c>
      <c r="L306" s="6">
        <f t="shared" si="26"/>
        <v>5</v>
      </c>
      <c r="M306" s="6">
        <f t="shared" si="28"/>
        <v>4.25</v>
      </c>
    </row>
    <row r="307" spans="1:16" x14ac:dyDescent="0.3">
      <c r="A307" s="10" t="s">
        <v>338</v>
      </c>
      <c r="B307" s="4">
        <v>44430</v>
      </c>
      <c r="D307" s="6">
        <v>2875</v>
      </c>
      <c r="E307" s="9">
        <v>0.15</v>
      </c>
      <c r="F307" s="7">
        <v>360</v>
      </c>
      <c r="G307" s="8">
        <f t="shared" si="29"/>
        <v>0.85</v>
      </c>
      <c r="H307" s="9">
        <v>0.85</v>
      </c>
      <c r="I307" s="6">
        <f t="shared" si="25"/>
        <v>5</v>
      </c>
      <c r="J307" s="6">
        <f t="shared" si="24"/>
        <v>5</v>
      </c>
      <c r="K307" s="6">
        <f t="shared" si="27"/>
        <v>4.25</v>
      </c>
      <c r="L307" s="6">
        <f t="shared" si="26"/>
        <v>5</v>
      </c>
      <c r="M307" s="6">
        <f t="shared" si="28"/>
        <v>4.25</v>
      </c>
    </row>
    <row r="308" spans="1:16" x14ac:dyDescent="0.3">
      <c r="A308" s="10" t="s">
        <v>339</v>
      </c>
      <c r="B308" s="4">
        <v>44430</v>
      </c>
      <c r="D308" s="6">
        <v>2880</v>
      </c>
      <c r="E308" s="9">
        <v>0.15</v>
      </c>
      <c r="F308" s="7">
        <v>430</v>
      </c>
      <c r="G308" s="8">
        <f t="shared" si="29"/>
        <v>0.85</v>
      </c>
      <c r="H308" s="9">
        <v>1</v>
      </c>
      <c r="I308" s="6">
        <f t="shared" si="25"/>
        <v>5</v>
      </c>
      <c r="J308" s="6">
        <f t="shared" si="24"/>
        <v>5</v>
      </c>
      <c r="K308" s="6">
        <f t="shared" si="27"/>
        <v>4.25</v>
      </c>
      <c r="L308" s="6">
        <f t="shared" si="26"/>
        <v>5</v>
      </c>
      <c r="M308" s="6">
        <f t="shared" si="28"/>
        <v>4.25</v>
      </c>
    </row>
    <row r="309" spans="1:16" x14ac:dyDescent="0.3">
      <c r="A309" s="10" t="s">
        <v>340</v>
      </c>
      <c r="B309" s="4">
        <v>44430</v>
      </c>
      <c r="D309" s="6">
        <v>2885</v>
      </c>
      <c r="E309" s="9">
        <v>0.1</v>
      </c>
      <c r="F309" s="7">
        <v>400</v>
      </c>
      <c r="G309" s="8">
        <f t="shared" si="29"/>
        <v>0.9</v>
      </c>
      <c r="H309" s="9">
        <v>1</v>
      </c>
      <c r="I309" s="6">
        <f t="shared" si="25"/>
        <v>5</v>
      </c>
      <c r="J309" s="6">
        <f t="shared" si="24"/>
        <v>5</v>
      </c>
      <c r="K309" s="6">
        <f t="shared" si="27"/>
        <v>4.5</v>
      </c>
      <c r="L309" s="6">
        <f t="shared" si="26"/>
        <v>5</v>
      </c>
      <c r="M309" s="6">
        <f t="shared" si="28"/>
        <v>4.5</v>
      </c>
    </row>
    <row r="310" spans="1:16" x14ac:dyDescent="0.3">
      <c r="A310" s="10" t="s">
        <v>341</v>
      </c>
      <c r="B310" s="4">
        <v>44430</v>
      </c>
      <c r="D310" s="6">
        <v>2890</v>
      </c>
      <c r="E310" s="9">
        <v>0.1</v>
      </c>
      <c r="F310" s="7">
        <v>375</v>
      </c>
      <c r="G310" s="8">
        <f t="shared" si="29"/>
        <v>0.9</v>
      </c>
      <c r="H310" s="9">
        <v>1</v>
      </c>
      <c r="I310" s="6">
        <f t="shared" si="25"/>
        <v>5</v>
      </c>
      <c r="J310" s="6">
        <f t="shared" si="24"/>
        <v>5</v>
      </c>
      <c r="K310" s="6">
        <f t="shared" si="27"/>
        <v>4.5</v>
      </c>
      <c r="L310" s="6">
        <f t="shared" si="26"/>
        <v>5</v>
      </c>
      <c r="M310" s="6">
        <f t="shared" si="28"/>
        <v>4.5</v>
      </c>
    </row>
    <row r="311" spans="1:16" x14ac:dyDescent="0.3">
      <c r="A311" s="10" t="s">
        <v>348</v>
      </c>
      <c r="B311" s="4">
        <v>44430</v>
      </c>
      <c r="D311" s="6">
        <v>2895</v>
      </c>
      <c r="E311" s="9">
        <v>0.05</v>
      </c>
      <c r="F311" s="7">
        <v>640</v>
      </c>
      <c r="G311" s="8">
        <f t="shared" si="29"/>
        <v>0.95</v>
      </c>
      <c r="H311" s="9">
        <v>1</v>
      </c>
      <c r="I311" s="6">
        <f t="shared" si="25"/>
        <v>5</v>
      </c>
      <c r="J311" s="6">
        <f t="shared" si="24"/>
        <v>5</v>
      </c>
      <c r="K311" s="6">
        <f t="shared" si="27"/>
        <v>4.75</v>
      </c>
      <c r="L311" s="6">
        <f t="shared" si="26"/>
        <v>5</v>
      </c>
      <c r="M311" s="6">
        <f t="shared" si="28"/>
        <v>4.75</v>
      </c>
    </row>
    <row r="312" spans="1:16" x14ac:dyDescent="0.3">
      <c r="A312" s="10" t="s">
        <v>342</v>
      </c>
      <c r="B312" s="4">
        <v>44430</v>
      </c>
      <c r="D312" s="6">
        <v>2900</v>
      </c>
      <c r="E312" s="9">
        <v>0.05</v>
      </c>
      <c r="F312" s="7">
        <v>860</v>
      </c>
      <c r="G312" s="8">
        <f t="shared" si="29"/>
        <v>0.95</v>
      </c>
      <c r="H312" s="9">
        <v>1</v>
      </c>
      <c r="I312" s="6">
        <f t="shared" si="25"/>
        <v>5</v>
      </c>
      <c r="J312" s="6">
        <f t="shared" si="24"/>
        <v>5</v>
      </c>
      <c r="K312" s="6">
        <f t="shared" si="27"/>
        <v>4.75</v>
      </c>
      <c r="L312" s="6">
        <f t="shared" si="26"/>
        <v>5</v>
      </c>
      <c r="M312" s="6">
        <f t="shared" si="28"/>
        <v>4.75</v>
      </c>
    </row>
    <row r="313" spans="1:16" x14ac:dyDescent="0.3">
      <c r="A313" s="10" t="s">
        <v>343</v>
      </c>
      <c r="B313" s="4">
        <v>44430</v>
      </c>
      <c r="D313" s="6">
        <v>2905</v>
      </c>
      <c r="E313" s="9">
        <v>0</v>
      </c>
      <c r="F313" s="7">
        <v>767</v>
      </c>
      <c r="G313" s="8">
        <f t="shared" si="29"/>
        <v>1</v>
      </c>
      <c r="H313" s="9">
        <v>1</v>
      </c>
      <c r="I313" s="6">
        <f t="shared" si="25"/>
        <v>5</v>
      </c>
      <c r="J313" s="6">
        <f t="shared" si="24"/>
        <v>5</v>
      </c>
      <c r="K313" s="6">
        <f t="shared" si="27"/>
        <v>5</v>
      </c>
      <c r="L313" s="6">
        <f t="shared" si="26"/>
        <v>5</v>
      </c>
      <c r="M313" s="6">
        <f t="shared" si="28"/>
        <v>5</v>
      </c>
    </row>
    <row r="314" spans="1:16" x14ac:dyDescent="0.3">
      <c r="A314" s="10" t="s">
        <v>344</v>
      </c>
      <c r="B314" s="4">
        <v>44430</v>
      </c>
      <c r="D314" s="6">
        <v>2910</v>
      </c>
      <c r="E314" s="9">
        <v>0</v>
      </c>
      <c r="F314" s="7">
        <v>720</v>
      </c>
      <c r="G314" s="8">
        <f t="shared" si="29"/>
        <v>1</v>
      </c>
      <c r="H314" s="9">
        <v>1</v>
      </c>
      <c r="I314" s="6">
        <f t="shared" si="25"/>
        <v>5</v>
      </c>
      <c r="J314" s="6">
        <f t="shared" si="24"/>
        <v>5</v>
      </c>
      <c r="K314" s="6">
        <f t="shared" si="27"/>
        <v>5</v>
      </c>
      <c r="L314" s="6">
        <f t="shared" si="26"/>
        <v>5</v>
      </c>
      <c r="M314" s="6">
        <f t="shared" si="28"/>
        <v>5</v>
      </c>
    </row>
    <row r="315" spans="1:16" x14ac:dyDescent="0.3">
      <c r="A315" s="10" t="s">
        <v>345</v>
      </c>
      <c r="B315" s="4">
        <v>44430</v>
      </c>
      <c r="D315" s="6">
        <v>2915</v>
      </c>
      <c r="E315" s="9">
        <v>0</v>
      </c>
      <c r="F315" s="7">
        <v>667</v>
      </c>
      <c r="G315" s="8">
        <f t="shared" si="29"/>
        <v>1</v>
      </c>
      <c r="H315" s="9">
        <v>1</v>
      </c>
      <c r="I315" s="6">
        <f t="shared" si="25"/>
        <v>5</v>
      </c>
      <c r="J315" s="6">
        <f t="shared" si="24"/>
        <v>5</v>
      </c>
      <c r="K315" s="6">
        <f t="shared" si="27"/>
        <v>5</v>
      </c>
      <c r="L315" s="6">
        <f t="shared" si="26"/>
        <v>5</v>
      </c>
      <c r="M315" s="6">
        <f t="shared" si="28"/>
        <v>5</v>
      </c>
    </row>
    <row r="316" spans="1:16" x14ac:dyDescent="0.3">
      <c r="A316" s="10" t="s">
        <v>346</v>
      </c>
      <c r="B316" s="4">
        <v>44430</v>
      </c>
      <c r="D316" s="6">
        <v>2920</v>
      </c>
      <c r="E316" s="9">
        <v>0</v>
      </c>
      <c r="F316" s="7">
        <v>540</v>
      </c>
      <c r="G316" s="8">
        <f t="shared" si="29"/>
        <v>1</v>
      </c>
      <c r="H316" s="9">
        <v>1</v>
      </c>
      <c r="I316" s="6">
        <f t="shared" si="25"/>
        <v>5</v>
      </c>
      <c r="J316" s="6">
        <f t="shared" si="24"/>
        <v>5</v>
      </c>
      <c r="K316" s="6">
        <f t="shared" si="27"/>
        <v>5</v>
      </c>
      <c r="L316" s="6">
        <f t="shared" si="26"/>
        <v>5</v>
      </c>
      <c r="M316" s="6">
        <f t="shared" si="28"/>
        <v>5</v>
      </c>
    </row>
    <row r="317" spans="1:16" x14ac:dyDescent="0.3">
      <c r="A317" s="10" t="s">
        <v>349</v>
      </c>
      <c r="B317" s="4">
        <v>44430</v>
      </c>
      <c r="D317" s="6">
        <v>2925</v>
      </c>
      <c r="E317" s="9">
        <v>0.05</v>
      </c>
      <c r="F317" s="7">
        <v>480</v>
      </c>
      <c r="G317" s="8">
        <f t="shared" si="29"/>
        <v>0.95</v>
      </c>
      <c r="H317" s="9">
        <v>1</v>
      </c>
      <c r="I317" s="6">
        <f t="shared" si="25"/>
        <v>5</v>
      </c>
      <c r="J317" s="6">
        <f t="shared" si="24"/>
        <v>5</v>
      </c>
      <c r="K317" s="6">
        <f t="shared" si="27"/>
        <v>4.75</v>
      </c>
      <c r="L317" s="6">
        <f t="shared" si="26"/>
        <v>5</v>
      </c>
      <c r="M317" s="6">
        <f t="shared" si="28"/>
        <v>4.75</v>
      </c>
      <c r="P317" s="37"/>
    </row>
    <row r="318" spans="1:16" x14ac:dyDescent="0.3">
      <c r="A318" s="10" t="s">
        <v>350</v>
      </c>
      <c r="B318" s="4">
        <v>44430</v>
      </c>
      <c r="D318" s="6">
        <v>2930</v>
      </c>
      <c r="E318" s="9">
        <v>0.05</v>
      </c>
      <c r="F318" s="7">
        <v>920</v>
      </c>
      <c r="G318" s="8">
        <f t="shared" si="29"/>
        <v>0.95</v>
      </c>
      <c r="H318" s="9">
        <v>1</v>
      </c>
      <c r="I318" s="6">
        <f t="shared" si="25"/>
        <v>5</v>
      </c>
      <c r="J318" s="6">
        <f t="shared" si="24"/>
        <v>5</v>
      </c>
      <c r="K318" s="6">
        <f t="shared" si="27"/>
        <v>4.75</v>
      </c>
      <c r="L318" s="6">
        <f t="shared" si="26"/>
        <v>5</v>
      </c>
      <c r="M318" s="6">
        <f t="shared" si="28"/>
        <v>4.75</v>
      </c>
    </row>
    <row r="319" spans="1:16" x14ac:dyDescent="0.3">
      <c r="A319" s="10" t="s">
        <v>347</v>
      </c>
      <c r="B319" s="4">
        <v>44430</v>
      </c>
      <c r="D319" s="6">
        <v>2935</v>
      </c>
      <c r="E319" s="9">
        <v>0</v>
      </c>
      <c r="F319" s="7">
        <v>928</v>
      </c>
      <c r="G319" s="8">
        <f t="shared" si="29"/>
        <v>1</v>
      </c>
      <c r="H319" s="9">
        <v>1</v>
      </c>
      <c r="I319" s="6">
        <f t="shared" si="25"/>
        <v>5</v>
      </c>
      <c r="J319" s="6">
        <f t="shared" si="24"/>
        <v>5</v>
      </c>
      <c r="K319" s="6">
        <f t="shared" si="27"/>
        <v>5</v>
      </c>
      <c r="L319" s="6">
        <f t="shared" si="26"/>
        <v>5</v>
      </c>
      <c r="M319" s="6">
        <f t="shared" si="28"/>
        <v>5</v>
      </c>
    </row>
    <row r="320" spans="1:16" x14ac:dyDescent="0.3">
      <c r="A320" s="10" t="s">
        <v>351</v>
      </c>
      <c r="B320" s="4">
        <v>44430</v>
      </c>
      <c r="D320" s="6">
        <v>2940</v>
      </c>
      <c r="E320" s="9">
        <v>0</v>
      </c>
      <c r="F320" s="7">
        <v>1035</v>
      </c>
      <c r="G320" s="8">
        <f t="shared" si="29"/>
        <v>1</v>
      </c>
      <c r="H320" s="9">
        <v>1</v>
      </c>
      <c r="I320" s="6">
        <f t="shared" si="25"/>
        <v>5</v>
      </c>
      <c r="J320" s="6">
        <f t="shared" si="24"/>
        <v>5</v>
      </c>
      <c r="K320" s="6">
        <f t="shared" si="27"/>
        <v>5</v>
      </c>
      <c r="L320" s="6">
        <f t="shared" si="26"/>
        <v>5</v>
      </c>
      <c r="M320" s="6">
        <f t="shared" si="28"/>
        <v>5</v>
      </c>
      <c r="P320">
        <f>P4*R4</f>
        <v>973.5450000000003</v>
      </c>
    </row>
    <row r="321" spans="1:13" x14ac:dyDescent="0.3">
      <c r="A321" s="10" t="s">
        <v>352</v>
      </c>
      <c r="B321" s="4">
        <v>44430</v>
      </c>
      <c r="D321" s="6">
        <v>2945</v>
      </c>
      <c r="E321" s="9">
        <v>0</v>
      </c>
      <c r="F321" s="7">
        <v>915</v>
      </c>
      <c r="G321" s="8">
        <f t="shared" si="29"/>
        <v>1</v>
      </c>
      <c r="H321" s="9">
        <v>1</v>
      </c>
      <c r="I321" s="6">
        <f t="shared" si="25"/>
        <v>5</v>
      </c>
      <c r="J321" s="6">
        <f t="shared" si="24"/>
        <v>5</v>
      </c>
      <c r="K321" s="6">
        <f t="shared" si="27"/>
        <v>5</v>
      </c>
      <c r="L321" s="6">
        <f t="shared" si="26"/>
        <v>5</v>
      </c>
      <c r="M321" s="6">
        <f t="shared" si="28"/>
        <v>5</v>
      </c>
    </row>
    <row r="322" spans="1:13" x14ac:dyDescent="0.3">
      <c r="A322" s="10" t="s">
        <v>353</v>
      </c>
      <c r="B322" s="38">
        <v>44431</v>
      </c>
      <c r="D322" s="6">
        <v>2950</v>
      </c>
      <c r="E322" s="9">
        <v>0</v>
      </c>
      <c r="F322" s="7">
        <v>920</v>
      </c>
      <c r="G322" s="8">
        <f t="shared" si="29"/>
        <v>1</v>
      </c>
      <c r="H322" s="9">
        <v>1</v>
      </c>
      <c r="I322" s="6">
        <f t="shared" si="25"/>
        <v>5</v>
      </c>
      <c r="J322" s="6">
        <f t="shared" si="24"/>
        <v>5</v>
      </c>
      <c r="K322" s="6">
        <f t="shared" si="27"/>
        <v>5</v>
      </c>
      <c r="L322" s="6">
        <f t="shared" si="26"/>
        <v>5</v>
      </c>
      <c r="M322" s="6">
        <f t="shared" si="28"/>
        <v>5</v>
      </c>
    </row>
    <row r="323" spans="1:13" x14ac:dyDescent="0.3">
      <c r="A323" s="10" t="s">
        <v>354</v>
      </c>
      <c r="B323" s="38">
        <v>44431</v>
      </c>
      <c r="D323" s="6">
        <v>2955</v>
      </c>
      <c r="E323" s="9">
        <v>0</v>
      </c>
      <c r="F323" s="7">
        <v>1186</v>
      </c>
      <c r="G323" s="8">
        <f t="shared" si="29"/>
        <v>1</v>
      </c>
      <c r="H323" s="9">
        <v>1</v>
      </c>
      <c r="I323" s="6">
        <f t="shared" si="25"/>
        <v>5</v>
      </c>
      <c r="J323" s="6">
        <f t="shared" si="24"/>
        <v>5</v>
      </c>
      <c r="K323" s="6">
        <f t="shared" si="27"/>
        <v>5</v>
      </c>
      <c r="L323" s="6">
        <f t="shared" si="26"/>
        <v>5</v>
      </c>
      <c r="M323" s="6">
        <f t="shared" si="28"/>
        <v>5</v>
      </c>
    </row>
    <row r="324" spans="1:13" x14ac:dyDescent="0.3">
      <c r="A324" s="10" t="s">
        <v>355</v>
      </c>
      <c r="B324" s="38">
        <v>44431</v>
      </c>
      <c r="D324" s="6">
        <v>2960</v>
      </c>
      <c r="E324" s="9">
        <v>0</v>
      </c>
      <c r="F324" s="7">
        <v>1075</v>
      </c>
      <c r="G324" s="8">
        <f t="shared" si="29"/>
        <v>1</v>
      </c>
      <c r="H324" s="9">
        <v>1</v>
      </c>
      <c r="I324" s="6">
        <f t="shared" si="25"/>
        <v>5</v>
      </c>
      <c r="J324" s="6">
        <f t="shared" ref="J324:J387" si="30">IF(AND(G324&gt;=$G$2,H324&gt;=$H$2),I324,0)</f>
        <v>5</v>
      </c>
      <c r="K324" s="6">
        <f t="shared" si="27"/>
        <v>5</v>
      </c>
      <c r="L324" s="6">
        <f t="shared" si="26"/>
        <v>5</v>
      </c>
      <c r="M324" s="6">
        <f t="shared" si="28"/>
        <v>5</v>
      </c>
    </row>
    <row r="325" spans="1:13" x14ac:dyDescent="0.3">
      <c r="A325" s="10" t="s">
        <v>356</v>
      </c>
      <c r="B325" s="38">
        <v>44431</v>
      </c>
      <c r="D325" s="6">
        <v>2965</v>
      </c>
      <c r="E325" s="9">
        <v>0.1</v>
      </c>
      <c r="F325" s="7">
        <v>915</v>
      </c>
      <c r="G325" s="8">
        <f t="shared" si="29"/>
        <v>0.9</v>
      </c>
      <c r="H325" s="9">
        <v>1</v>
      </c>
      <c r="I325" s="6">
        <f t="shared" ref="I325:I388" si="31">IF(D325&lt;&gt;"",D325-D324,"")</f>
        <v>5</v>
      </c>
      <c r="J325" s="6">
        <f t="shared" si="30"/>
        <v>5</v>
      </c>
      <c r="K325" s="6">
        <f t="shared" si="27"/>
        <v>4.5</v>
      </c>
      <c r="L325" s="6">
        <f t="shared" ref="L325:L388" si="32">IF(AND(G325&gt;=$G$3,H325&gt;=$H$3),I325,0)</f>
        <v>5</v>
      </c>
      <c r="M325" s="6">
        <f t="shared" si="28"/>
        <v>4.5</v>
      </c>
    </row>
    <row r="326" spans="1:13" x14ac:dyDescent="0.3">
      <c r="A326" s="10" t="s">
        <v>357</v>
      </c>
      <c r="B326" s="38">
        <v>44431</v>
      </c>
      <c r="D326" s="6">
        <v>2970</v>
      </c>
      <c r="E326" s="9">
        <v>0.05</v>
      </c>
      <c r="F326" s="7">
        <v>996</v>
      </c>
      <c r="G326" s="8">
        <f t="shared" si="29"/>
        <v>0.95</v>
      </c>
      <c r="H326" s="9">
        <v>1</v>
      </c>
      <c r="I326" s="6">
        <f t="shared" si="31"/>
        <v>5</v>
      </c>
      <c r="J326" s="6">
        <f t="shared" si="30"/>
        <v>5</v>
      </c>
      <c r="K326" s="6">
        <f t="shared" ref="K326:K389" si="33">IF(J326&gt;0,J326*G326,0)</f>
        <v>4.75</v>
      </c>
      <c r="L326" s="6">
        <f t="shared" si="32"/>
        <v>5</v>
      </c>
      <c r="M326" s="6">
        <f t="shared" ref="M326:M389" si="34">IF(L326&gt;0,L326*G326,0)</f>
        <v>4.75</v>
      </c>
    </row>
    <row r="327" spans="1:13" x14ac:dyDescent="0.3">
      <c r="A327" s="10" t="s">
        <v>358</v>
      </c>
      <c r="B327" s="38">
        <v>44431</v>
      </c>
      <c r="D327" s="6">
        <v>2975</v>
      </c>
      <c r="E327" s="9">
        <v>0.05</v>
      </c>
      <c r="F327" s="7">
        <v>927</v>
      </c>
      <c r="G327" s="8">
        <f t="shared" si="29"/>
        <v>0.95</v>
      </c>
      <c r="H327" s="9">
        <v>1</v>
      </c>
      <c r="I327" s="6">
        <f t="shared" si="31"/>
        <v>5</v>
      </c>
      <c r="J327" s="6">
        <f t="shared" si="30"/>
        <v>5</v>
      </c>
      <c r="K327" s="6">
        <f t="shared" si="33"/>
        <v>4.75</v>
      </c>
      <c r="L327" s="6">
        <f t="shared" si="32"/>
        <v>5</v>
      </c>
      <c r="M327" s="6">
        <f t="shared" si="34"/>
        <v>4.75</v>
      </c>
    </row>
    <row r="328" spans="1:13" x14ac:dyDescent="0.3">
      <c r="A328" s="10" t="s">
        <v>359</v>
      </c>
      <c r="B328" s="38">
        <v>44431</v>
      </c>
      <c r="D328" s="6">
        <v>2980</v>
      </c>
      <c r="E328" s="9">
        <v>0</v>
      </c>
      <c r="F328" s="7">
        <v>910</v>
      </c>
      <c r="G328" s="8">
        <f t="shared" si="29"/>
        <v>1</v>
      </c>
      <c r="H328" s="9">
        <v>1</v>
      </c>
      <c r="I328" s="6">
        <f t="shared" si="31"/>
        <v>5</v>
      </c>
      <c r="J328" s="6">
        <f t="shared" si="30"/>
        <v>5</v>
      </c>
      <c r="K328" s="6">
        <f t="shared" si="33"/>
        <v>5</v>
      </c>
      <c r="L328" s="6">
        <f t="shared" si="32"/>
        <v>5</v>
      </c>
      <c r="M328" s="6">
        <f t="shared" si="34"/>
        <v>5</v>
      </c>
    </row>
    <row r="329" spans="1:13" x14ac:dyDescent="0.3">
      <c r="A329" s="10" t="s">
        <v>360</v>
      </c>
      <c r="B329" s="38">
        <v>44431</v>
      </c>
      <c r="D329" s="6">
        <v>2985</v>
      </c>
      <c r="E329" s="9">
        <v>0</v>
      </c>
      <c r="F329" s="7">
        <v>1080</v>
      </c>
      <c r="G329" s="8">
        <f t="shared" si="29"/>
        <v>1</v>
      </c>
      <c r="H329" s="9">
        <v>1</v>
      </c>
      <c r="I329" s="6">
        <f t="shared" si="31"/>
        <v>5</v>
      </c>
      <c r="J329" s="6">
        <f t="shared" si="30"/>
        <v>5</v>
      </c>
      <c r="K329" s="6">
        <f t="shared" si="33"/>
        <v>5</v>
      </c>
      <c r="L329" s="6">
        <f t="shared" si="32"/>
        <v>5</v>
      </c>
      <c r="M329" s="6">
        <f t="shared" si="34"/>
        <v>5</v>
      </c>
    </row>
    <row r="330" spans="1:13" x14ac:dyDescent="0.3">
      <c r="A330" s="10" t="s">
        <v>361</v>
      </c>
      <c r="B330" s="38">
        <v>44431</v>
      </c>
      <c r="D330" s="6">
        <v>2990</v>
      </c>
      <c r="E330" s="9">
        <v>0</v>
      </c>
      <c r="F330" s="7">
        <v>1064</v>
      </c>
      <c r="G330" s="8">
        <f t="shared" si="29"/>
        <v>1</v>
      </c>
      <c r="H330" s="9">
        <v>1</v>
      </c>
      <c r="I330" s="6">
        <f t="shared" si="31"/>
        <v>5</v>
      </c>
      <c r="J330" s="6">
        <f t="shared" si="30"/>
        <v>5</v>
      </c>
      <c r="K330" s="6">
        <f t="shared" si="33"/>
        <v>5</v>
      </c>
      <c r="L330" s="6">
        <f t="shared" si="32"/>
        <v>5</v>
      </c>
      <c r="M330" s="6">
        <f t="shared" si="34"/>
        <v>5</v>
      </c>
    </row>
    <row r="331" spans="1:13" x14ac:dyDescent="0.3">
      <c r="A331" s="10" t="s">
        <v>362</v>
      </c>
      <c r="B331" s="38">
        <v>44431</v>
      </c>
      <c r="D331" s="6">
        <v>2995</v>
      </c>
      <c r="E331" s="9">
        <v>0</v>
      </c>
      <c r="F331" s="7">
        <v>772</v>
      </c>
      <c r="G331" s="8">
        <f t="shared" si="29"/>
        <v>1</v>
      </c>
      <c r="H331" s="9">
        <v>1</v>
      </c>
      <c r="I331" s="6">
        <f t="shared" si="31"/>
        <v>5</v>
      </c>
      <c r="J331" s="6">
        <f t="shared" si="30"/>
        <v>5</v>
      </c>
      <c r="K331" s="6">
        <f t="shared" si="33"/>
        <v>5</v>
      </c>
      <c r="L331" s="6">
        <f t="shared" si="32"/>
        <v>5</v>
      </c>
      <c r="M331" s="6">
        <f t="shared" si="34"/>
        <v>5</v>
      </c>
    </row>
    <row r="332" spans="1:13" x14ac:dyDescent="0.3">
      <c r="A332" s="10" t="s">
        <v>363</v>
      </c>
      <c r="B332" s="38">
        <v>44431</v>
      </c>
      <c r="D332" s="6">
        <v>3000</v>
      </c>
      <c r="E332" s="9">
        <v>0.05</v>
      </c>
      <c r="F332" s="7">
        <v>690</v>
      </c>
      <c r="G332" s="8">
        <f t="shared" si="29"/>
        <v>0.95</v>
      </c>
      <c r="H332" s="9">
        <v>1</v>
      </c>
      <c r="I332" s="6">
        <f t="shared" si="31"/>
        <v>5</v>
      </c>
      <c r="J332" s="6">
        <f t="shared" si="30"/>
        <v>5</v>
      </c>
      <c r="K332" s="6">
        <f t="shared" si="33"/>
        <v>4.75</v>
      </c>
      <c r="L332" s="6">
        <f t="shared" si="32"/>
        <v>5</v>
      </c>
      <c r="M332" s="6">
        <f t="shared" si="34"/>
        <v>4.75</v>
      </c>
    </row>
    <row r="333" spans="1:13" x14ac:dyDescent="0.3">
      <c r="B333" s="38"/>
      <c r="G333" s="8">
        <f t="shared" si="29"/>
        <v>1</v>
      </c>
      <c r="I333" s="6" t="str">
        <f t="shared" si="31"/>
        <v/>
      </c>
      <c r="J333" s="6">
        <f t="shared" si="30"/>
        <v>0</v>
      </c>
      <c r="K333" s="6">
        <f t="shared" si="33"/>
        <v>0</v>
      </c>
      <c r="L333" s="6">
        <f t="shared" si="32"/>
        <v>0</v>
      </c>
      <c r="M333" s="6">
        <f t="shared" si="34"/>
        <v>0</v>
      </c>
    </row>
    <row r="334" spans="1:13" x14ac:dyDescent="0.3">
      <c r="G334" s="8">
        <f t="shared" si="29"/>
        <v>1</v>
      </c>
      <c r="I334" s="6" t="str">
        <f t="shared" si="31"/>
        <v/>
      </c>
      <c r="J334" s="6">
        <f t="shared" si="30"/>
        <v>0</v>
      </c>
      <c r="K334" s="6">
        <f t="shared" si="33"/>
        <v>0</v>
      </c>
      <c r="L334" s="6">
        <f t="shared" si="32"/>
        <v>0</v>
      </c>
      <c r="M334" s="6">
        <f t="shared" si="34"/>
        <v>0</v>
      </c>
    </row>
    <row r="335" spans="1:13" x14ac:dyDescent="0.3">
      <c r="G335" s="8">
        <f t="shared" si="29"/>
        <v>1</v>
      </c>
      <c r="I335" s="6" t="str">
        <f t="shared" si="31"/>
        <v/>
      </c>
      <c r="J335" s="6">
        <f t="shared" si="30"/>
        <v>0</v>
      </c>
      <c r="K335" s="6">
        <f t="shared" si="33"/>
        <v>0</v>
      </c>
      <c r="L335" s="6">
        <f t="shared" si="32"/>
        <v>0</v>
      </c>
      <c r="M335" s="6">
        <f t="shared" si="34"/>
        <v>0</v>
      </c>
    </row>
    <row r="336" spans="1:13" x14ac:dyDescent="0.3">
      <c r="G336" s="8">
        <f t="shared" si="29"/>
        <v>1</v>
      </c>
      <c r="I336" s="6" t="str">
        <f t="shared" si="31"/>
        <v/>
      </c>
      <c r="J336" s="6">
        <f t="shared" si="30"/>
        <v>0</v>
      </c>
      <c r="K336" s="6">
        <f t="shared" si="33"/>
        <v>0</v>
      </c>
      <c r="L336" s="6">
        <f t="shared" si="32"/>
        <v>0</v>
      </c>
      <c r="M336" s="6">
        <f t="shared" si="34"/>
        <v>0</v>
      </c>
    </row>
    <row r="337" spans="7:13" x14ac:dyDescent="0.3">
      <c r="G337" s="8">
        <f t="shared" si="29"/>
        <v>1</v>
      </c>
      <c r="I337" s="6" t="str">
        <f t="shared" si="31"/>
        <v/>
      </c>
      <c r="J337" s="6">
        <f t="shared" si="30"/>
        <v>0</v>
      </c>
      <c r="K337" s="6">
        <f t="shared" si="33"/>
        <v>0</v>
      </c>
      <c r="L337" s="6">
        <f t="shared" si="32"/>
        <v>0</v>
      </c>
      <c r="M337" s="6">
        <f t="shared" si="34"/>
        <v>0</v>
      </c>
    </row>
    <row r="338" spans="7:13" x14ac:dyDescent="0.3">
      <c r="G338" s="8">
        <f t="shared" si="29"/>
        <v>1</v>
      </c>
      <c r="I338" s="6" t="str">
        <f t="shared" si="31"/>
        <v/>
      </c>
      <c r="J338" s="6">
        <f t="shared" si="30"/>
        <v>0</v>
      </c>
      <c r="K338" s="6">
        <f t="shared" si="33"/>
        <v>0</v>
      </c>
      <c r="L338" s="6">
        <f t="shared" si="32"/>
        <v>0</v>
      </c>
      <c r="M338" s="6">
        <f t="shared" si="34"/>
        <v>0</v>
      </c>
    </row>
    <row r="339" spans="7:13" x14ac:dyDescent="0.3">
      <c r="G339" s="8">
        <f t="shared" si="29"/>
        <v>1</v>
      </c>
      <c r="I339" s="6" t="str">
        <f t="shared" si="31"/>
        <v/>
      </c>
      <c r="J339" s="6">
        <f t="shared" si="30"/>
        <v>0</v>
      </c>
      <c r="K339" s="6">
        <f t="shared" si="33"/>
        <v>0</v>
      </c>
      <c r="L339" s="6">
        <f t="shared" si="32"/>
        <v>0</v>
      </c>
      <c r="M339" s="6">
        <f t="shared" si="34"/>
        <v>0</v>
      </c>
    </row>
    <row r="340" spans="7:13" x14ac:dyDescent="0.3">
      <c r="G340" s="8">
        <f t="shared" si="29"/>
        <v>1</v>
      </c>
      <c r="I340" s="6" t="str">
        <f t="shared" si="31"/>
        <v/>
      </c>
      <c r="J340" s="6">
        <f t="shared" si="30"/>
        <v>0</v>
      </c>
      <c r="K340" s="6">
        <f t="shared" si="33"/>
        <v>0</v>
      </c>
      <c r="L340" s="6">
        <f t="shared" si="32"/>
        <v>0</v>
      </c>
      <c r="M340" s="6">
        <f t="shared" si="34"/>
        <v>0</v>
      </c>
    </row>
    <row r="341" spans="7:13" x14ac:dyDescent="0.3">
      <c r="G341" s="8">
        <f t="shared" si="29"/>
        <v>1</v>
      </c>
      <c r="I341" s="6" t="str">
        <f t="shared" si="31"/>
        <v/>
      </c>
      <c r="J341" s="6">
        <f t="shared" si="30"/>
        <v>0</v>
      </c>
      <c r="K341" s="6">
        <f t="shared" si="33"/>
        <v>0</v>
      </c>
      <c r="L341" s="6">
        <f t="shared" si="32"/>
        <v>0</v>
      </c>
      <c r="M341" s="6">
        <f t="shared" si="34"/>
        <v>0</v>
      </c>
    </row>
    <row r="342" spans="7:13" x14ac:dyDescent="0.3">
      <c r="G342" s="8">
        <f t="shared" si="29"/>
        <v>1</v>
      </c>
      <c r="I342" s="6" t="str">
        <f t="shared" si="31"/>
        <v/>
      </c>
      <c r="J342" s="6">
        <f t="shared" si="30"/>
        <v>0</v>
      </c>
      <c r="K342" s="6">
        <f t="shared" si="33"/>
        <v>0</v>
      </c>
      <c r="L342" s="6">
        <f t="shared" si="32"/>
        <v>0</v>
      </c>
      <c r="M342" s="6">
        <f t="shared" si="34"/>
        <v>0</v>
      </c>
    </row>
    <row r="343" spans="7:13" x14ac:dyDescent="0.3">
      <c r="G343" s="8">
        <f t="shared" si="29"/>
        <v>1</v>
      </c>
      <c r="I343" s="6" t="str">
        <f t="shared" si="31"/>
        <v/>
      </c>
      <c r="J343" s="6">
        <f t="shared" si="30"/>
        <v>0</v>
      </c>
      <c r="K343" s="6">
        <f t="shared" si="33"/>
        <v>0</v>
      </c>
      <c r="L343" s="6">
        <f t="shared" si="32"/>
        <v>0</v>
      </c>
      <c r="M343" s="6">
        <f t="shared" si="34"/>
        <v>0</v>
      </c>
    </row>
    <row r="344" spans="7:13" x14ac:dyDescent="0.3">
      <c r="G344" s="8">
        <f t="shared" si="29"/>
        <v>1</v>
      </c>
      <c r="I344" s="6" t="str">
        <f t="shared" si="31"/>
        <v/>
      </c>
      <c r="J344" s="6">
        <f t="shared" si="30"/>
        <v>0</v>
      </c>
      <c r="K344" s="6">
        <f t="shared" si="33"/>
        <v>0</v>
      </c>
      <c r="L344" s="6">
        <f t="shared" si="32"/>
        <v>0</v>
      </c>
      <c r="M344" s="6">
        <f t="shared" si="34"/>
        <v>0</v>
      </c>
    </row>
    <row r="345" spans="7:13" x14ac:dyDescent="0.3">
      <c r="G345" s="8">
        <f t="shared" si="29"/>
        <v>1</v>
      </c>
      <c r="I345" s="6" t="str">
        <f t="shared" si="31"/>
        <v/>
      </c>
      <c r="J345" s="6">
        <f t="shared" si="30"/>
        <v>0</v>
      </c>
      <c r="K345" s="6">
        <f t="shared" si="33"/>
        <v>0</v>
      </c>
      <c r="L345" s="6">
        <f t="shared" si="32"/>
        <v>0</v>
      </c>
      <c r="M345" s="6">
        <f t="shared" si="34"/>
        <v>0</v>
      </c>
    </row>
    <row r="346" spans="7:13" x14ac:dyDescent="0.3">
      <c r="G346" s="8">
        <f t="shared" si="29"/>
        <v>1</v>
      </c>
      <c r="I346" s="6" t="str">
        <f t="shared" si="31"/>
        <v/>
      </c>
      <c r="J346" s="6">
        <f t="shared" si="30"/>
        <v>0</v>
      </c>
      <c r="K346" s="6">
        <f t="shared" si="33"/>
        <v>0</v>
      </c>
      <c r="L346" s="6">
        <f t="shared" si="32"/>
        <v>0</v>
      </c>
      <c r="M346" s="6">
        <f t="shared" si="34"/>
        <v>0</v>
      </c>
    </row>
    <row r="347" spans="7:13" x14ac:dyDescent="0.3">
      <c r="G347" s="8">
        <f t="shared" si="29"/>
        <v>1</v>
      </c>
      <c r="I347" s="6" t="str">
        <f t="shared" si="31"/>
        <v/>
      </c>
      <c r="J347" s="6">
        <f t="shared" si="30"/>
        <v>0</v>
      </c>
      <c r="K347" s="6">
        <f t="shared" si="33"/>
        <v>0</v>
      </c>
      <c r="L347" s="6">
        <f t="shared" si="32"/>
        <v>0</v>
      </c>
      <c r="M347" s="6">
        <f t="shared" si="34"/>
        <v>0</v>
      </c>
    </row>
    <row r="348" spans="7:13" x14ac:dyDescent="0.3">
      <c r="G348" s="8">
        <f t="shared" si="29"/>
        <v>1</v>
      </c>
      <c r="I348" s="6" t="str">
        <f t="shared" si="31"/>
        <v/>
      </c>
      <c r="J348" s="6">
        <f t="shared" si="30"/>
        <v>0</v>
      </c>
      <c r="K348" s="6">
        <f t="shared" si="33"/>
        <v>0</v>
      </c>
      <c r="L348" s="6">
        <f t="shared" si="32"/>
        <v>0</v>
      </c>
      <c r="M348" s="6">
        <f t="shared" si="34"/>
        <v>0</v>
      </c>
    </row>
    <row r="349" spans="7:13" x14ac:dyDescent="0.3">
      <c r="G349" s="8">
        <f t="shared" si="29"/>
        <v>1</v>
      </c>
      <c r="I349" s="6" t="str">
        <f t="shared" si="31"/>
        <v/>
      </c>
      <c r="J349" s="6">
        <f t="shared" si="30"/>
        <v>0</v>
      </c>
      <c r="K349" s="6">
        <f t="shared" si="33"/>
        <v>0</v>
      </c>
      <c r="L349" s="6">
        <f t="shared" si="32"/>
        <v>0</v>
      </c>
      <c r="M349" s="6">
        <f t="shared" si="34"/>
        <v>0</v>
      </c>
    </row>
    <row r="350" spans="7:13" x14ac:dyDescent="0.3">
      <c r="G350" s="8">
        <f t="shared" si="29"/>
        <v>1</v>
      </c>
      <c r="I350" s="6" t="str">
        <f t="shared" si="31"/>
        <v/>
      </c>
      <c r="J350" s="6">
        <f t="shared" si="30"/>
        <v>0</v>
      </c>
      <c r="K350" s="6">
        <f t="shared" si="33"/>
        <v>0</v>
      </c>
      <c r="L350" s="6">
        <f t="shared" si="32"/>
        <v>0</v>
      </c>
      <c r="M350" s="6">
        <f t="shared" si="34"/>
        <v>0</v>
      </c>
    </row>
    <row r="351" spans="7:13" x14ac:dyDescent="0.3">
      <c r="G351" s="8">
        <f t="shared" si="29"/>
        <v>1</v>
      </c>
      <c r="I351" s="6" t="str">
        <f t="shared" si="31"/>
        <v/>
      </c>
      <c r="J351" s="6">
        <f t="shared" si="30"/>
        <v>0</v>
      </c>
      <c r="K351" s="6">
        <f t="shared" si="33"/>
        <v>0</v>
      </c>
      <c r="L351" s="6">
        <f t="shared" si="32"/>
        <v>0</v>
      </c>
      <c r="M351" s="6">
        <f t="shared" si="34"/>
        <v>0</v>
      </c>
    </row>
    <row r="352" spans="7:13" x14ac:dyDescent="0.3">
      <c r="G352" s="8">
        <f t="shared" si="29"/>
        <v>1</v>
      </c>
      <c r="I352" s="6" t="str">
        <f t="shared" si="31"/>
        <v/>
      </c>
      <c r="J352" s="6">
        <f t="shared" si="30"/>
        <v>0</v>
      </c>
      <c r="K352" s="6">
        <f t="shared" si="33"/>
        <v>0</v>
      </c>
      <c r="L352" s="6">
        <f t="shared" si="32"/>
        <v>0</v>
      </c>
      <c r="M352" s="6">
        <f t="shared" si="34"/>
        <v>0</v>
      </c>
    </row>
    <row r="353" spans="7:13" x14ac:dyDescent="0.3">
      <c r="G353" s="8">
        <f t="shared" ref="G353:G416" si="35">100%-E353</f>
        <v>1</v>
      </c>
      <c r="I353" s="6" t="str">
        <f t="shared" si="31"/>
        <v/>
      </c>
      <c r="J353" s="6">
        <f t="shared" si="30"/>
        <v>0</v>
      </c>
      <c r="K353" s="6">
        <f t="shared" si="33"/>
        <v>0</v>
      </c>
      <c r="L353" s="6">
        <f t="shared" si="32"/>
        <v>0</v>
      </c>
      <c r="M353" s="6">
        <f t="shared" si="34"/>
        <v>0</v>
      </c>
    </row>
    <row r="354" spans="7:13" x14ac:dyDescent="0.3">
      <c r="G354" s="8">
        <f t="shared" si="35"/>
        <v>1</v>
      </c>
      <c r="I354" s="6" t="str">
        <f t="shared" si="31"/>
        <v/>
      </c>
      <c r="J354" s="6">
        <f t="shared" si="30"/>
        <v>0</v>
      </c>
      <c r="K354" s="6">
        <f t="shared" si="33"/>
        <v>0</v>
      </c>
      <c r="L354" s="6">
        <f t="shared" si="32"/>
        <v>0</v>
      </c>
      <c r="M354" s="6">
        <f t="shared" si="34"/>
        <v>0</v>
      </c>
    </row>
    <row r="355" spans="7:13" x14ac:dyDescent="0.3">
      <c r="G355" s="8">
        <f t="shared" si="35"/>
        <v>1</v>
      </c>
      <c r="I355" s="6" t="str">
        <f t="shared" si="31"/>
        <v/>
      </c>
      <c r="J355" s="6">
        <f t="shared" si="30"/>
        <v>0</v>
      </c>
      <c r="K355" s="6">
        <f t="shared" si="33"/>
        <v>0</v>
      </c>
      <c r="L355" s="6">
        <f t="shared" si="32"/>
        <v>0</v>
      </c>
      <c r="M355" s="6">
        <f t="shared" si="34"/>
        <v>0</v>
      </c>
    </row>
    <row r="356" spans="7:13" x14ac:dyDescent="0.3">
      <c r="G356" s="8">
        <f t="shared" si="35"/>
        <v>1</v>
      </c>
      <c r="I356" s="6" t="str">
        <f t="shared" si="31"/>
        <v/>
      </c>
      <c r="J356" s="6">
        <f t="shared" si="30"/>
        <v>0</v>
      </c>
      <c r="K356" s="6">
        <f t="shared" si="33"/>
        <v>0</v>
      </c>
      <c r="L356" s="6">
        <f t="shared" si="32"/>
        <v>0</v>
      </c>
      <c r="M356" s="6">
        <f t="shared" si="34"/>
        <v>0</v>
      </c>
    </row>
    <row r="357" spans="7:13" x14ac:dyDescent="0.3">
      <c r="G357" s="8">
        <f t="shared" si="35"/>
        <v>1</v>
      </c>
      <c r="I357" s="6" t="str">
        <f t="shared" si="31"/>
        <v/>
      </c>
      <c r="J357" s="6">
        <f t="shared" si="30"/>
        <v>0</v>
      </c>
      <c r="K357" s="6">
        <f t="shared" si="33"/>
        <v>0</v>
      </c>
      <c r="L357" s="6">
        <f t="shared" si="32"/>
        <v>0</v>
      </c>
      <c r="M357" s="6">
        <f t="shared" si="34"/>
        <v>0</v>
      </c>
    </row>
    <row r="358" spans="7:13" x14ac:dyDescent="0.3">
      <c r="G358" s="8">
        <f t="shared" si="35"/>
        <v>1</v>
      </c>
      <c r="I358" s="6" t="str">
        <f t="shared" si="31"/>
        <v/>
      </c>
      <c r="J358" s="6">
        <f t="shared" si="30"/>
        <v>0</v>
      </c>
      <c r="K358" s="6">
        <f t="shared" si="33"/>
        <v>0</v>
      </c>
      <c r="L358" s="6">
        <f t="shared" si="32"/>
        <v>0</v>
      </c>
      <c r="M358" s="6">
        <f t="shared" si="34"/>
        <v>0</v>
      </c>
    </row>
    <row r="359" spans="7:13" x14ac:dyDescent="0.3">
      <c r="G359" s="8">
        <f t="shared" si="35"/>
        <v>1</v>
      </c>
      <c r="I359" s="6" t="str">
        <f t="shared" si="31"/>
        <v/>
      </c>
      <c r="J359" s="6">
        <f t="shared" si="30"/>
        <v>0</v>
      </c>
      <c r="K359" s="6">
        <f t="shared" si="33"/>
        <v>0</v>
      </c>
      <c r="L359" s="6">
        <f t="shared" si="32"/>
        <v>0</v>
      </c>
      <c r="M359" s="6">
        <f t="shared" si="34"/>
        <v>0</v>
      </c>
    </row>
    <row r="360" spans="7:13" x14ac:dyDescent="0.3">
      <c r="G360" s="8">
        <f t="shared" si="35"/>
        <v>1</v>
      </c>
      <c r="I360" s="6" t="str">
        <f t="shared" si="31"/>
        <v/>
      </c>
      <c r="J360" s="6">
        <f t="shared" si="30"/>
        <v>0</v>
      </c>
      <c r="K360" s="6">
        <f t="shared" si="33"/>
        <v>0</v>
      </c>
      <c r="L360" s="6">
        <f t="shared" si="32"/>
        <v>0</v>
      </c>
      <c r="M360" s="6">
        <f t="shared" si="34"/>
        <v>0</v>
      </c>
    </row>
    <row r="361" spans="7:13" x14ac:dyDescent="0.3">
      <c r="G361" s="8">
        <f t="shared" si="35"/>
        <v>1</v>
      </c>
      <c r="I361" s="6" t="str">
        <f t="shared" si="31"/>
        <v/>
      </c>
      <c r="J361" s="6">
        <f t="shared" si="30"/>
        <v>0</v>
      </c>
      <c r="K361" s="6">
        <f t="shared" si="33"/>
        <v>0</v>
      </c>
      <c r="L361" s="6">
        <f t="shared" si="32"/>
        <v>0</v>
      </c>
      <c r="M361" s="6">
        <f t="shared" si="34"/>
        <v>0</v>
      </c>
    </row>
    <row r="362" spans="7:13" x14ac:dyDescent="0.3">
      <c r="G362" s="8">
        <f t="shared" si="35"/>
        <v>1</v>
      </c>
      <c r="I362" s="6" t="str">
        <f t="shared" si="31"/>
        <v/>
      </c>
      <c r="J362" s="6">
        <f t="shared" si="30"/>
        <v>0</v>
      </c>
      <c r="K362" s="6">
        <f t="shared" si="33"/>
        <v>0</v>
      </c>
      <c r="L362" s="6">
        <f t="shared" si="32"/>
        <v>0</v>
      </c>
      <c r="M362" s="6">
        <f t="shared" si="34"/>
        <v>0</v>
      </c>
    </row>
    <row r="363" spans="7:13" x14ac:dyDescent="0.3">
      <c r="G363" s="8">
        <f t="shared" si="35"/>
        <v>1</v>
      </c>
      <c r="I363" s="6" t="str">
        <f t="shared" si="31"/>
        <v/>
      </c>
      <c r="J363" s="6">
        <f t="shared" si="30"/>
        <v>0</v>
      </c>
      <c r="K363" s="6">
        <f t="shared" si="33"/>
        <v>0</v>
      </c>
      <c r="L363" s="6">
        <f t="shared" si="32"/>
        <v>0</v>
      </c>
      <c r="M363" s="6">
        <f t="shared" si="34"/>
        <v>0</v>
      </c>
    </row>
    <row r="364" spans="7:13" x14ac:dyDescent="0.3">
      <c r="G364" s="8">
        <f t="shared" si="35"/>
        <v>1</v>
      </c>
      <c r="I364" s="6" t="str">
        <f t="shared" si="31"/>
        <v/>
      </c>
      <c r="J364" s="6">
        <f t="shared" si="30"/>
        <v>0</v>
      </c>
      <c r="K364" s="6">
        <f t="shared" si="33"/>
        <v>0</v>
      </c>
      <c r="L364" s="6">
        <f t="shared" si="32"/>
        <v>0</v>
      </c>
      <c r="M364" s="6">
        <f t="shared" si="34"/>
        <v>0</v>
      </c>
    </row>
    <row r="365" spans="7:13" x14ac:dyDescent="0.3">
      <c r="G365" s="8">
        <f t="shared" si="35"/>
        <v>1</v>
      </c>
      <c r="I365" s="6" t="str">
        <f t="shared" si="31"/>
        <v/>
      </c>
      <c r="J365" s="6">
        <f t="shared" si="30"/>
        <v>0</v>
      </c>
      <c r="K365" s="6">
        <f t="shared" si="33"/>
        <v>0</v>
      </c>
      <c r="L365" s="6">
        <f t="shared" si="32"/>
        <v>0</v>
      </c>
      <c r="M365" s="6">
        <f t="shared" si="34"/>
        <v>0</v>
      </c>
    </row>
    <row r="366" spans="7:13" x14ac:dyDescent="0.3">
      <c r="G366" s="8">
        <f t="shared" si="35"/>
        <v>1</v>
      </c>
      <c r="I366" s="6" t="str">
        <f t="shared" si="31"/>
        <v/>
      </c>
      <c r="J366" s="6">
        <f t="shared" si="30"/>
        <v>0</v>
      </c>
      <c r="K366" s="6">
        <f t="shared" si="33"/>
        <v>0</v>
      </c>
      <c r="L366" s="6">
        <f t="shared" si="32"/>
        <v>0</v>
      </c>
      <c r="M366" s="6">
        <f t="shared" si="34"/>
        <v>0</v>
      </c>
    </row>
    <row r="367" spans="7:13" x14ac:dyDescent="0.3">
      <c r="G367" s="8">
        <f t="shared" si="35"/>
        <v>1</v>
      </c>
      <c r="I367" s="6" t="str">
        <f t="shared" si="31"/>
        <v/>
      </c>
      <c r="J367" s="6">
        <f t="shared" si="30"/>
        <v>0</v>
      </c>
      <c r="K367" s="6">
        <f t="shared" si="33"/>
        <v>0</v>
      </c>
      <c r="L367" s="6">
        <f t="shared" si="32"/>
        <v>0</v>
      </c>
      <c r="M367" s="6">
        <f t="shared" si="34"/>
        <v>0</v>
      </c>
    </row>
    <row r="368" spans="7:13" x14ac:dyDescent="0.3">
      <c r="G368" s="8">
        <f t="shared" si="35"/>
        <v>1</v>
      </c>
      <c r="I368" s="6" t="str">
        <f t="shared" si="31"/>
        <v/>
      </c>
      <c r="J368" s="6">
        <f t="shared" si="30"/>
        <v>0</v>
      </c>
      <c r="K368" s="6">
        <f t="shared" si="33"/>
        <v>0</v>
      </c>
      <c r="L368" s="6">
        <f t="shared" si="32"/>
        <v>0</v>
      </c>
      <c r="M368" s="6">
        <f t="shared" si="34"/>
        <v>0</v>
      </c>
    </row>
    <row r="369" spans="7:13" x14ac:dyDescent="0.3">
      <c r="G369" s="8">
        <f t="shared" si="35"/>
        <v>1</v>
      </c>
      <c r="I369" s="6" t="str">
        <f t="shared" si="31"/>
        <v/>
      </c>
      <c r="J369" s="6">
        <f t="shared" si="30"/>
        <v>0</v>
      </c>
      <c r="K369" s="6">
        <f t="shared" si="33"/>
        <v>0</v>
      </c>
      <c r="L369" s="6">
        <f t="shared" si="32"/>
        <v>0</v>
      </c>
      <c r="M369" s="6">
        <f t="shared" si="34"/>
        <v>0</v>
      </c>
    </row>
    <row r="370" spans="7:13" x14ac:dyDescent="0.3">
      <c r="G370" s="8">
        <f t="shared" si="35"/>
        <v>1</v>
      </c>
      <c r="I370" s="6" t="str">
        <f t="shared" si="31"/>
        <v/>
      </c>
      <c r="J370" s="6">
        <f t="shared" si="30"/>
        <v>0</v>
      </c>
      <c r="K370" s="6">
        <f t="shared" si="33"/>
        <v>0</v>
      </c>
      <c r="L370" s="6">
        <f t="shared" si="32"/>
        <v>0</v>
      </c>
      <c r="M370" s="6">
        <f t="shared" si="34"/>
        <v>0</v>
      </c>
    </row>
    <row r="371" spans="7:13" x14ac:dyDescent="0.3">
      <c r="G371" s="8">
        <f t="shared" si="35"/>
        <v>1</v>
      </c>
      <c r="I371" s="6" t="str">
        <f t="shared" si="31"/>
        <v/>
      </c>
      <c r="J371" s="6">
        <f t="shared" si="30"/>
        <v>0</v>
      </c>
      <c r="K371" s="6">
        <f t="shared" si="33"/>
        <v>0</v>
      </c>
      <c r="L371" s="6">
        <f t="shared" si="32"/>
        <v>0</v>
      </c>
      <c r="M371" s="6">
        <f t="shared" si="34"/>
        <v>0</v>
      </c>
    </row>
    <row r="372" spans="7:13" x14ac:dyDescent="0.3">
      <c r="G372" s="8">
        <f t="shared" si="35"/>
        <v>1</v>
      </c>
      <c r="I372" s="6" t="str">
        <f t="shared" si="31"/>
        <v/>
      </c>
      <c r="J372" s="6">
        <f t="shared" si="30"/>
        <v>0</v>
      </c>
      <c r="K372" s="6">
        <f t="shared" si="33"/>
        <v>0</v>
      </c>
      <c r="L372" s="6">
        <f t="shared" si="32"/>
        <v>0</v>
      </c>
      <c r="M372" s="6">
        <f t="shared" si="34"/>
        <v>0</v>
      </c>
    </row>
    <row r="373" spans="7:13" x14ac:dyDescent="0.3">
      <c r="G373" s="8">
        <f t="shared" si="35"/>
        <v>1</v>
      </c>
      <c r="I373" s="6" t="str">
        <f t="shared" si="31"/>
        <v/>
      </c>
      <c r="J373" s="6">
        <f t="shared" si="30"/>
        <v>0</v>
      </c>
      <c r="K373" s="6">
        <f t="shared" si="33"/>
        <v>0</v>
      </c>
      <c r="L373" s="6">
        <f t="shared" si="32"/>
        <v>0</v>
      </c>
      <c r="M373" s="6">
        <f t="shared" si="34"/>
        <v>0</v>
      </c>
    </row>
    <row r="374" spans="7:13" x14ac:dyDescent="0.3">
      <c r="G374" s="8">
        <f t="shared" si="35"/>
        <v>1</v>
      </c>
      <c r="I374" s="6" t="str">
        <f t="shared" si="31"/>
        <v/>
      </c>
      <c r="J374" s="6">
        <f t="shared" si="30"/>
        <v>0</v>
      </c>
      <c r="K374" s="6">
        <f t="shared" si="33"/>
        <v>0</v>
      </c>
      <c r="L374" s="6">
        <f t="shared" si="32"/>
        <v>0</v>
      </c>
      <c r="M374" s="6">
        <f t="shared" si="34"/>
        <v>0</v>
      </c>
    </row>
    <row r="375" spans="7:13" x14ac:dyDescent="0.3">
      <c r="G375" s="8">
        <f t="shared" si="35"/>
        <v>1</v>
      </c>
      <c r="I375" s="6" t="str">
        <f t="shared" si="31"/>
        <v/>
      </c>
      <c r="J375" s="6">
        <f t="shared" si="30"/>
        <v>0</v>
      </c>
      <c r="K375" s="6">
        <f t="shared" si="33"/>
        <v>0</v>
      </c>
      <c r="L375" s="6">
        <f t="shared" si="32"/>
        <v>0</v>
      </c>
      <c r="M375" s="6">
        <f t="shared" si="34"/>
        <v>0</v>
      </c>
    </row>
    <row r="376" spans="7:13" x14ac:dyDescent="0.3">
      <c r="G376" s="8">
        <f t="shared" si="35"/>
        <v>1</v>
      </c>
      <c r="I376" s="6" t="str">
        <f t="shared" si="31"/>
        <v/>
      </c>
      <c r="J376" s="6">
        <f t="shared" si="30"/>
        <v>0</v>
      </c>
      <c r="K376" s="6">
        <f t="shared" si="33"/>
        <v>0</v>
      </c>
      <c r="L376" s="6">
        <f t="shared" si="32"/>
        <v>0</v>
      </c>
      <c r="M376" s="6">
        <f t="shared" si="34"/>
        <v>0</v>
      </c>
    </row>
    <row r="377" spans="7:13" x14ac:dyDescent="0.3">
      <c r="G377" s="8">
        <f t="shared" si="35"/>
        <v>1</v>
      </c>
      <c r="I377" s="6" t="str">
        <f t="shared" si="31"/>
        <v/>
      </c>
      <c r="J377" s="6">
        <f t="shared" si="30"/>
        <v>0</v>
      </c>
      <c r="K377" s="6">
        <f t="shared" si="33"/>
        <v>0</v>
      </c>
      <c r="L377" s="6">
        <f t="shared" si="32"/>
        <v>0</v>
      </c>
      <c r="M377" s="6">
        <f t="shared" si="34"/>
        <v>0</v>
      </c>
    </row>
    <row r="378" spans="7:13" x14ac:dyDescent="0.3">
      <c r="G378" s="8">
        <f t="shared" si="35"/>
        <v>1</v>
      </c>
      <c r="I378" s="6" t="str">
        <f t="shared" si="31"/>
        <v/>
      </c>
      <c r="J378" s="6">
        <f t="shared" si="30"/>
        <v>0</v>
      </c>
      <c r="K378" s="6">
        <f t="shared" si="33"/>
        <v>0</v>
      </c>
      <c r="L378" s="6">
        <f t="shared" si="32"/>
        <v>0</v>
      </c>
      <c r="M378" s="6">
        <f t="shared" si="34"/>
        <v>0</v>
      </c>
    </row>
    <row r="379" spans="7:13" x14ac:dyDescent="0.3">
      <c r="G379" s="8">
        <f t="shared" si="35"/>
        <v>1</v>
      </c>
      <c r="I379" s="6" t="str">
        <f t="shared" si="31"/>
        <v/>
      </c>
      <c r="J379" s="6">
        <f t="shared" si="30"/>
        <v>0</v>
      </c>
      <c r="K379" s="6">
        <f t="shared" si="33"/>
        <v>0</v>
      </c>
      <c r="L379" s="6">
        <f t="shared" si="32"/>
        <v>0</v>
      </c>
      <c r="M379" s="6">
        <f t="shared" si="34"/>
        <v>0</v>
      </c>
    </row>
    <row r="380" spans="7:13" x14ac:dyDescent="0.3">
      <c r="G380" s="8">
        <f t="shared" si="35"/>
        <v>1</v>
      </c>
      <c r="I380" s="6" t="str">
        <f t="shared" si="31"/>
        <v/>
      </c>
      <c r="J380" s="6">
        <f t="shared" si="30"/>
        <v>0</v>
      </c>
      <c r="K380" s="6">
        <f t="shared" si="33"/>
        <v>0</v>
      </c>
      <c r="L380" s="6">
        <f t="shared" si="32"/>
        <v>0</v>
      </c>
      <c r="M380" s="6">
        <f t="shared" si="34"/>
        <v>0</v>
      </c>
    </row>
    <row r="381" spans="7:13" x14ac:dyDescent="0.3">
      <c r="G381" s="8">
        <f t="shared" si="35"/>
        <v>1</v>
      </c>
      <c r="I381" s="6" t="str">
        <f t="shared" si="31"/>
        <v/>
      </c>
      <c r="J381" s="6">
        <f t="shared" si="30"/>
        <v>0</v>
      </c>
      <c r="K381" s="6">
        <f t="shared" si="33"/>
        <v>0</v>
      </c>
      <c r="L381" s="6">
        <f t="shared" si="32"/>
        <v>0</v>
      </c>
      <c r="M381" s="6">
        <f t="shared" si="34"/>
        <v>0</v>
      </c>
    </row>
    <row r="382" spans="7:13" x14ac:dyDescent="0.3">
      <c r="G382" s="8">
        <f t="shared" si="35"/>
        <v>1</v>
      </c>
      <c r="I382" s="6" t="str">
        <f t="shared" si="31"/>
        <v/>
      </c>
      <c r="J382" s="6">
        <f t="shared" si="30"/>
        <v>0</v>
      </c>
      <c r="K382" s="6">
        <f t="shared" si="33"/>
        <v>0</v>
      </c>
      <c r="L382" s="6">
        <f t="shared" si="32"/>
        <v>0</v>
      </c>
      <c r="M382" s="6">
        <f t="shared" si="34"/>
        <v>0</v>
      </c>
    </row>
    <row r="383" spans="7:13" x14ac:dyDescent="0.3">
      <c r="G383" s="8">
        <f t="shared" si="35"/>
        <v>1</v>
      </c>
      <c r="I383" s="6" t="str">
        <f t="shared" si="31"/>
        <v/>
      </c>
      <c r="J383" s="6">
        <f t="shared" si="30"/>
        <v>0</v>
      </c>
      <c r="K383" s="6">
        <f t="shared" si="33"/>
        <v>0</v>
      </c>
      <c r="L383" s="6">
        <f t="shared" si="32"/>
        <v>0</v>
      </c>
      <c r="M383" s="6">
        <f t="shared" si="34"/>
        <v>0</v>
      </c>
    </row>
    <row r="384" spans="7:13" x14ac:dyDescent="0.3">
      <c r="G384" s="8">
        <f t="shared" si="35"/>
        <v>1</v>
      </c>
      <c r="I384" s="6" t="str">
        <f t="shared" si="31"/>
        <v/>
      </c>
      <c r="J384" s="6">
        <f t="shared" si="30"/>
        <v>0</v>
      </c>
      <c r="K384" s="6">
        <f t="shared" si="33"/>
        <v>0</v>
      </c>
      <c r="L384" s="6">
        <f t="shared" si="32"/>
        <v>0</v>
      </c>
      <c r="M384" s="6">
        <f t="shared" si="34"/>
        <v>0</v>
      </c>
    </row>
    <row r="385" spans="7:13" x14ac:dyDescent="0.3">
      <c r="G385" s="8">
        <f t="shared" si="35"/>
        <v>1</v>
      </c>
      <c r="I385" s="6" t="str">
        <f t="shared" si="31"/>
        <v/>
      </c>
      <c r="J385" s="6">
        <f t="shared" si="30"/>
        <v>0</v>
      </c>
      <c r="K385" s="6">
        <f t="shared" si="33"/>
        <v>0</v>
      </c>
      <c r="L385" s="6">
        <f t="shared" si="32"/>
        <v>0</v>
      </c>
      <c r="M385" s="6">
        <f t="shared" si="34"/>
        <v>0</v>
      </c>
    </row>
    <row r="386" spans="7:13" x14ac:dyDescent="0.3">
      <c r="G386" s="8">
        <f t="shared" si="35"/>
        <v>1</v>
      </c>
      <c r="I386" s="6" t="str">
        <f t="shared" si="31"/>
        <v/>
      </c>
      <c r="J386" s="6">
        <f t="shared" si="30"/>
        <v>0</v>
      </c>
      <c r="K386" s="6">
        <f t="shared" si="33"/>
        <v>0</v>
      </c>
      <c r="L386" s="6">
        <f t="shared" si="32"/>
        <v>0</v>
      </c>
      <c r="M386" s="6">
        <f t="shared" si="34"/>
        <v>0</v>
      </c>
    </row>
    <row r="387" spans="7:13" x14ac:dyDescent="0.3">
      <c r="G387" s="8">
        <f t="shared" si="35"/>
        <v>1</v>
      </c>
      <c r="I387" s="6" t="str">
        <f t="shared" si="31"/>
        <v/>
      </c>
      <c r="J387" s="6">
        <f t="shared" si="30"/>
        <v>0</v>
      </c>
      <c r="K387" s="6">
        <f t="shared" si="33"/>
        <v>0</v>
      </c>
      <c r="L387" s="6">
        <f t="shared" si="32"/>
        <v>0</v>
      </c>
      <c r="M387" s="6">
        <f t="shared" si="34"/>
        <v>0</v>
      </c>
    </row>
    <row r="388" spans="7:13" x14ac:dyDescent="0.3">
      <c r="G388" s="8">
        <f t="shared" si="35"/>
        <v>1</v>
      </c>
      <c r="I388" s="6" t="str">
        <f t="shared" si="31"/>
        <v/>
      </c>
      <c r="J388" s="6">
        <f t="shared" ref="J388:J418" si="36">IF(AND(G388&gt;=$G$2,H388&gt;=$H$2),I388,0)</f>
        <v>0</v>
      </c>
      <c r="K388" s="6">
        <f t="shared" si="33"/>
        <v>0</v>
      </c>
      <c r="L388" s="6">
        <f t="shared" si="32"/>
        <v>0</v>
      </c>
      <c r="M388" s="6">
        <f t="shared" si="34"/>
        <v>0</v>
      </c>
    </row>
    <row r="389" spans="7:13" x14ac:dyDescent="0.3">
      <c r="G389" s="8">
        <f t="shared" si="35"/>
        <v>1</v>
      </c>
      <c r="I389" s="6" t="str">
        <f t="shared" ref="I389:I418" si="37">IF(D389&lt;&gt;"",D389-D388,"")</f>
        <v/>
      </c>
      <c r="J389" s="6">
        <f t="shared" si="36"/>
        <v>0</v>
      </c>
      <c r="K389" s="6">
        <f t="shared" si="33"/>
        <v>0</v>
      </c>
      <c r="L389" s="6">
        <f t="shared" ref="L389:L418" si="38">IF(AND(G389&gt;=$G$3,H389&gt;=$H$3),I389,0)</f>
        <v>0</v>
      </c>
      <c r="M389" s="6">
        <f t="shared" si="34"/>
        <v>0</v>
      </c>
    </row>
    <row r="390" spans="7:13" x14ac:dyDescent="0.3">
      <c r="G390" s="8">
        <f t="shared" si="35"/>
        <v>1</v>
      </c>
      <c r="I390" s="6" t="str">
        <f t="shared" si="37"/>
        <v/>
      </c>
      <c r="J390" s="6">
        <f t="shared" si="36"/>
        <v>0</v>
      </c>
      <c r="K390" s="6">
        <f t="shared" ref="K390:K418" si="39">IF(J390&gt;0,J390*G390,0)</f>
        <v>0</v>
      </c>
      <c r="L390" s="6">
        <f t="shared" si="38"/>
        <v>0</v>
      </c>
      <c r="M390" s="6">
        <f t="shared" ref="M390:M418" si="40">IF(L390&gt;0,L390*G390,0)</f>
        <v>0</v>
      </c>
    </row>
    <row r="391" spans="7:13" x14ac:dyDescent="0.3">
      <c r="G391" s="8">
        <f t="shared" si="35"/>
        <v>1</v>
      </c>
      <c r="I391" s="6" t="str">
        <f t="shared" si="37"/>
        <v/>
      </c>
      <c r="J391" s="6">
        <f t="shared" si="36"/>
        <v>0</v>
      </c>
      <c r="K391" s="6">
        <f t="shared" si="39"/>
        <v>0</v>
      </c>
      <c r="L391" s="6">
        <f t="shared" si="38"/>
        <v>0</v>
      </c>
      <c r="M391" s="6">
        <f t="shared" si="40"/>
        <v>0</v>
      </c>
    </row>
    <row r="392" spans="7:13" x14ac:dyDescent="0.3">
      <c r="G392" s="8">
        <f t="shared" si="35"/>
        <v>1</v>
      </c>
      <c r="I392" s="6" t="str">
        <f t="shared" si="37"/>
        <v/>
      </c>
      <c r="J392" s="6">
        <f t="shared" si="36"/>
        <v>0</v>
      </c>
      <c r="K392" s="6">
        <f t="shared" si="39"/>
        <v>0</v>
      </c>
      <c r="L392" s="6">
        <f t="shared" si="38"/>
        <v>0</v>
      </c>
      <c r="M392" s="6">
        <f t="shared" si="40"/>
        <v>0</v>
      </c>
    </row>
    <row r="393" spans="7:13" x14ac:dyDescent="0.3">
      <c r="G393" s="8">
        <f t="shared" si="35"/>
        <v>1</v>
      </c>
      <c r="I393" s="6" t="str">
        <f t="shared" si="37"/>
        <v/>
      </c>
      <c r="J393" s="6">
        <f t="shared" si="36"/>
        <v>0</v>
      </c>
      <c r="K393" s="6">
        <f t="shared" si="39"/>
        <v>0</v>
      </c>
      <c r="L393" s="6">
        <f t="shared" si="38"/>
        <v>0</v>
      </c>
      <c r="M393" s="6">
        <f t="shared" si="40"/>
        <v>0</v>
      </c>
    </row>
    <row r="394" spans="7:13" x14ac:dyDescent="0.3">
      <c r="G394" s="8">
        <f t="shared" si="35"/>
        <v>1</v>
      </c>
      <c r="I394" s="6" t="str">
        <f t="shared" si="37"/>
        <v/>
      </c>
      <c r="J394" s="6">
        <f t="shared" si="36"/>
        <v>0</v>
      </c>
      <c r="K394" s="6">
        <f t="shared" si="39"/>
        <v>0</v>
      </c>
      <c r="L394" s="6">
        <f t="shared" si="38"/>
        <v>0</v>
      </c>
      <c r="M394" s="6">
        <f t="shared" si="40"/>
        <v>0</v>
      </c>
    </row>
    <row r="395" spans="7:13" x14ac:dyDescent="0.3">
      <c r="G395" s="8">
        <f t="shared" si="35"/>
        <v>1</v>
      </c>
      <c r="I395" s="6" t="str">
        <f t="shared" si="37"/>
        <v/>
      </c>
      <c r="J395" s="6">
        <f t="shared" si="36"/>
        <v>0</v>
      </c>
      <c r="K395" s="6">
        <f t="shared" si="39"/>
        <v>0</v>
      </c>
      <c r="L395" s="6">
        <f t="shared" si="38"/>
        <v>0</v>
      </c>
      <c r="M395" s="6">
        <f t="shared" si="40"/>
        <v>0</v>
      </c>
    </row>
    <row r="396" spans="7:13" x14ac:dyDescent="0.3">
      <c r="G396" s="8">
        <f t="shared" si="35"/>
        <v>1</v>
      </c>
      <c r="I396" s="6" t="str">
        <f t="shared" si="37"/>
        <v/>
      </c>
      <c r="J396" s="6">
        <f t="shared" si="36"/>
        <v>0</v>
      </c>
      <c r="K396" s="6">
        <f t="shared" si="39"/>
        <v>0</v>
      </c>
      <c r="L396" s="6">
        <f t="shared" si="38"/>
        <v>0</v>
      </c>
      <c r="M396" s="6">
        <f t="shared" si="40"/>
        <v>0</v>
      </c>
    </row>
    <row r="397" spans="7:13" x14ac:dyDescent="0.3">
      <c r="G397" s="8">
        <f t="shared" si="35"/>
        <v>1</v>
      </c>
      <c r="I397" s="6" t="str">
        <f t="shared" si="37"/>
        <v/>
      </c>
      <c r="J397" s="6">
        <f t="shared" si="36"/>
        <v>0</v>
      </c>
      <c r="K397" s="6">
        <f t="shared" si="39"/>
        <v>0</v>
      </c>
      <c r="L397" s="6">
        <f t="shared" si="38"/>
        <v>0</v>
      </c>
      <c r="M397" s="6">
        <f t="shared" si="40"/>
        <v>0</v>
      </c>
    </row>
    <row r="398" spans="7:13" x14ac:dyDescent="0.3">
      <c r="G398" s="8">
        <f t="shared" si="35"/>
        <v>1</v>
      </c>
      <c r="I398" s="6" t="str">
        <f t="shared" si="37"/>
        <v/>
      </c>
      <c r="J398" s="6">
        <f t="shared" si="36"/>
        <v>0</v>
      </c>
      <c r="K398" s="6">
        <f t="shared" si="39"/>
        <v>0</v>
      </c>
      <c r="L398" s="6">
        <f t="shared" si="38"/>
        <v>0</v>
      </c>
      <c r="M398" s="6">
        <f t="shared" si="40"/>
        <v>0</v>
      </c>
    </row>
    <row r="399" spans="7:13" x14ac:dyDescent="0.3">
      <c r="G399" s="8">
        <f t="shared" si="35"/>
        <v>1</v>
      </c>
      <c r="I399" s="6" t="str">
        <f t="shared" si="37"/>
        <v/>
      </c>
      <c r="J399" s="6">
        <f t="shared" si="36"/>
        <v>0</v>
      </c>
      <c r="K399" s="6">
        <f t="shared" si="39"/>
        <v>0</v>
      </c>
      <c r="L399" s="6">
        <f t="shared" si="38"/>
        <v>0</v>
      </c>
      <c r="M399" s="6">
        <f t="shared" si="40"/>
        <v>0</v>
      </c>
    </row>
    <row r="400" spans="7:13" x14ac:dyDescent="0.3">
      <c r="G400" s="8">
        <f t="shared" si="35"/>
        <v>1</v>
      </c>
      <c r="I400" s="6" t="str">
        <f t="shared" si="37"/>
        <v/>
      </c>
      <c r="J400" s="6">
        <f t="shared" si="36"/>
        <v>0</v>
      </c>
      <c r="K400" s="6">
        <f t="shared" si="39"/>
        <v>0</v>
      </c>
      <c r="L400" s="6">
        <f t="shared" si="38"/>
        <v>0</v>
      </c>
      <c r="M400" s="6">
        <f t="shared" si="40"/>
        <v>0</v>
      </c>
    </row>
    <row r="401" spans="7:13" x14ac:dyDescent="0.3">
      <c r="G401" s="8">
        <f t="shared" si="35"/>
        <v>1</v>
      </c>
      <c r="I401" s="6" t="str">
        <f t="shared" si="37"/>
        <v/>
      </c>
      <c r="J401" s="6">
        <f t="shared" si="36"/>
        <v>0</v>
      </c>
      <c r="K401" s="6">
        <f t="shared" si="39"/>
        <v>0</v>
      </c>
      <c r="L401" s="6">
        <f t="shared" si="38"/>
        <v>0</v>
      </c>
      <c r="M401" s="6">
        <f t="shared" si="40"/>
        <v>0</v>
      </c>
    </row>
    <row r="402" spans="7:13" x14ac:dyDescent="0.3">
      <c r="G402" s="8">
        <f t="shared" si="35"/>
        <v>1</v>
      </c>
      <c r="I402" s="6" t="str">
        <f t="shared" si="37"/>
        <v/>
      </c>
      <c r="J402" s="6">
        <f t="shared" si="36"/>
        <v>0</v>
      </c>
      <c r="K402" s="6">
        <f t="shared" si="39"/>
        <v>0</v>
      </c>
      <c r="L402" s="6">
        <f t="shared" si="38"/>
        <v>0</v>
      </c>
      <c r="M402" s="6">
        <f t="shared" si="40"/>
        <v>0</v>
      </c>
    </row>
    <row r="403" spans="7:13" x14ac:dyDescent="0.3">
      <c r="G403" s="8">
        <f t="shared" si="35"/>
        <v>1</v>
      </c>
      <c r="I403" s="6" t="str">
        <f t="shared" si="37"/>
        <v/>
      </c>
      <c r="J403" s="6">
        <f t="shared" si="36"/>
        <v>0</v>
      </c>
      <c r="K403" s="6">
        <f t="shared" si="39"/>
        <v>0</v>
      </c>
      <c r="L403" s="6">
        <f t="shared" si="38"/>
        <v>0</v>
      </c>
      <c r="M403" s="6">
        <f t="shared" si="40"/>
        <v>0</v>
      </c>
    </row>
    <row r="404" spans="7:13" x14ac:dyDescent="0.3">
      <c r="G404" s="8">
        <f t="shared" si="35"/>
        <v>1</v>
      </c>
      <c r="I404" s="6" t="str">
        <f t="shared" si="37"/>
        <v/>
      </c>
      <c r="J404" s="6">
        <f t="shared" si="36"/>
        <v>0</v>
      </c>
      <c r="K404" s="6">
        <f t="shared" si="39"/>
        <v>0</v>
      </c>
      <c r="L404" s="6">
        <f t="shared" si="38"/>
        <v>0</v>
      </c>
      <c r="M404" s="6">
        <f t="shared" si="40"/>
        <v>0</v>
      </c>
    </row>
    <row r="405" spans="7:13" x14ac:dyDescent="0.3">
      <c r="G405" s="8">
        <f t="shared" si="35"/>
        <v>1</v>
      </c>
      <c r="I405" s="6" t="str">
        <f t="shared" si="37"/>
        <v/>
      </c>
      <c r="J405" s="6">
        <f t="shared" si="36"/>
        <v>0</v>
      </c>
      <c r="K405" s="6">
        <f t="shared" si="39"/>
        <v>0</v>
      </c>
      <c r="L405" s="6">
        <f t="shared" si="38"/>
        <v>0</v>
      </c>
      <c r="M405" s="6">
        <f t="shared" si="40"/>
        <v>0</v>
      </c>
    </row>
    <row r="406" spans="7:13" x14ac:dyDescent="0.3">
      <c r="G406" s="8">
        <f t="shared" si="35"/>
        <v>1</v>
      </c>
      <c r="I406" s="6" t="str">
        <f t="shared" si="37"/>
        <v/>
      </c>
      <c r="J406" s="6">
        <f t="shared" si="36"/>
        <v>0</v>
      </c>
      <c r="K406" s="6">
        <f t="shared" si="39"/>
        <v>0</v>
      </c>
      <c r="L406" s="6">
        <f t="shared" si="38"/>
        <v>0</v>
      </c>
      <c r="M406" s="6">
        <f t="shared" si="40"/>
        <v>0</v>
      </c>
    </row>
    <row r="407" spans="7:13" x14ac:dyDescent="0.3">
      <c r="G407" s="8">
        <f t="shared" si="35"/>
        <v>1</v>
      </c>
      <c r="I407" s="6" t="str">
        <f t="shared" si="37"/>
        <v/>
      </c>
      <c r="J407" s="6">
        <f t="shared" si="36"/>
        <v>0</v>
      </c>
      <c r="K407" s="6">
        <f t="shared" si="39"/>
        <v>0</v>
      </c>
      <c r="L407" s="6">
        <f t="shared" si="38"/>
        <v>0</v>
      </c>
      <c r="M407" s="6">
        <f t="shared" si="40"/>
        <v>0</v>
      </c>
    </row>
    <row r="408" spans="7:13" x14ac:dyDescent="0.3">
      <c r="G408" s="8">
        <f t="shared" si="35"/>
        <v>1</v>
      </c>
      <c r="I408" s="6" t="str">
        <f t="shared" si="37"/>
        <v/>
      </c>
      <c r="J408" s="6">
        <f t="shared" si="36"/>
        <v>0</v>
      </c>
      <c r="K408" s="6">
        <f t="shared" si="39"/>
        <v>0</v>
      </c>
      <c r="L408" s="6">
        <f t="shared" si="38"/>
        <v>0</v>
      </c>
      <c r="M408" s="6">
        <f t="shared" si="40"/>
        <v>0</v>
      </c>
    </row>
    <row r="409" spans="7:13" x14ac:dyDescent="0.3">
      <c r="G409" s="8">
        <f t="shared" si="35"/>
        <v>1</v>
      </c>
      <c r="I409" s="6" t="str">
        <f t="shared" si="37"/>
        <v/>
      </c>
      <c r="J409" s="6">
        <f t="shared" si="36"/>
        <v>0</v>
      </c>
      <c r="K409" s="6">
        <f t="shared" si="39"/>
        <v>0</v>
      </c>
      <c r="L409" s="6">
        <f t="shared" si="38"/>
        <v>0</v>
      </c>
      <c r="M409" s="6">
        <f t="shared" si="40"/>
        <v>0</v>
      </c>
    </row>
    <row r="410" spans="7:13" x14ac:dyDescent="0.3">
      <c r="G410" s="8">
        <f t="shared" si="35"/>
        <v>1</v>
      </c>
      <c r="I410" s="6" t="str">
        <f t="shared" si="37"/>
        <v/>
      </c>
      <c r="J410" s="6">
        <f t="shared" si="36"/>
        <v>0</v>
      </c>
      <c r="K410" s="6">
        <f t="shared" si="39"/>
        <v>0</v>
      </c>
      <c r="L410" s="6">
        <f t="shared" si="38"/>
        <v>0</v>
      </c>
      <c r="M410" s="6">
        <f t="shared" si="40"/>
        <v>0</v>
      </c>
    </row>
    <row r="411" spans="7:13" x14ac:dyDescent="0.3">
      <c r="G411" s="8">
        <f t="shared" si="35"/>
        <v>1</v>
      </c>
      <c r="I411" s="6" t="str">
        <f t="shared" si="37"/>
        <v/>
      </c>
      <c r="J411" s="6">
        <f t="shared" si="36"/>
        <v>0</v>
      </c>
      <c r="K411" s="6">
        <f t="shared" si="39"/>
        <v>0</v>
      </c>
      <c r="L411" s="6">
        <f t="shared" si="38"/>
        <v>0</v>
      </c>
      <c r="M411" s="6">
        <f t="shared" si="40"/>
        <v>0</v>
      </c>
    </row>
    <row r="412" spans="7:13" x14ac:dyDescent="0.3">
      <c r="G412" s="8">
        <f t="shared" si="35"/>
        <v>1</v>
      </c>
      <c r="I412" s="6" t="str">
        <f t="shared" si="37"/>
        <v/>
      </c>
      <c r="J412" s="6">
        <f t="shared" si="36"/>
        <v>0</v>
      </c>
      <c r="K412" s="6">
        <f t="shared" si="39"/>
        <v>0</v>
      </c>
      <c r="L412" s="6">
        <f t="shared" si="38"/>
        <v>0</v>
      </c>
      <c r="M412" s="6">
        <f t="shared" si="40"/>
        <v>0</v>
      </c>
    </row>
    <row r="413" spans="7:13" x14ac:dyDescent="0.3">
      <c r="G413" s="8">
        <f t="shared" si="35"/>
        <v>1</v>
      </c>
      <c r="I413" s="6" t="str">
        <f t="shared" si="37"/>
        <v/>
      </c>
      <c r="J413" s="6">
        <f t="shared" si="36"/>
        <v>0</v>
      </c>
      <c r="K413" s="6">
        <f t="shared" si="39"/>
        <v>0</v>
      </c>
      <c r="L413" s="6">
        <f t="shared" si="38"/>
        <v>0</v>
      </c>
      <c r="M413" s="6">
        <f t="shared" si="40"/>
        <v>0</v>
      </c>
    </row>
    <row r="414" spans="7:13" x14ac:dyDescent="0.3">
      <c r="G414" s="8">
        <f t="shared" si="35"/>
        <v>1</v>
      </c>
      <c r="I414" s="6" t="str">
        <f t="shared" si="37"/>
        <v/>
      </c>
      <c r="J414" s="6">
        <f t="shared" si="36"/>
        <v>0</v>
      </c>
      <c r="K414" s="6">
        <f t="shared" si="39"/>
        <v>0</v>
      </c>
      <c r="L414" s="6">
        <f t="shared" si="38"/>
        <v>0</v>
      </c>
      <c r="M414" s="6">
        <f t="shared" si="40"/>
        <v>0</v>
      </c>
    </row>
    <row r="415" spans="7:13" x14ac:dyDescent="0.3">
      <c r="G415" s="8">
        <f t="shared" si="35"/>
        <v>1</v>
      </c>
      <c r="I415" s="6" t="str">
        <f t="shared" si="37"/>
        <v/>
      </c>
      <c r="J415" s="6">
        <f t="shared" si="36"/>
        <v>0</v>
      </c>
      <c r="K415" s="6">
        <f t="shared" si="39"/>
        <v>0</v>
      </c>
      <c r="L415" s="6">
        <f t="shared" si="38"/>
        <v>0</v>
      </c>
      <c r="M415" s="6">
        <f t="shared" si="40"/>
        <v>0</v>
      </c>
    </row>
    <row r="416" spans="7:13" x14ac:dyDescent="0.3">
      <c r="G416" s="8">
        <f t="shared" si="35"/>
        <v>1</v>
      </c>
      <c r="I416" s="6" t="str">
        <f t="shared" si="37"/>
        <v/>
      </c>
      <c r="J416" s="6">
        <f t="shared" si="36"/>
        <v>0</v>
      </c>
      <c r="K416" s="6">
        <f t="shared" si="39"/>
        <v>0</v>
      </c>
      <c r="L416" s="6">
        <f t="shared" si="38"/>
        <v>0</v>
      </c>
      <c r="M416" s="6">
        <f t="shared" si="40"/>
        <v>0</v>
      </c>
    </row>
    <row r="417" spans="7:13" x14ac:dyDescent="0.3">
      <c r="G417" s="8">
        <f t="shared" ref="G417:G418" si="41">100%-E417</f>
        <v>1</v>
      </c>
      <c r="I417" s="6" t="str">
        <f t="shared" si="37"/>
        <v/>
      </c>
      <c r="J417" s="6">
        <f t="shared" si="36"/>
        <v>0</v>
      </c>
      <c r="K417" s="6">
        <f t="shared" si="39"/>
        <v>0</v>
      </c>
      <c r="L417" s="6">
        <f t="shared" si="38"/>
        <v>0</v>
      </c>
      <c r="M417" s="6">
        <f t="shared" si="40"/>
        <v>0</v>
      </c>
    </row>
    <row r="418" spans="7:13" x14ac:dyDescent="0.3">
      <c r="G418" s="8">
        <f t="shared" si="41"/>
        <v>1</v>
      </c>
      <c r="I418" s="6" t="str">
        <f t="shared" si="37"/>
        <v/>
      </c>
      <c r="J418" s="6">
        <f t="shared" si="36"/>
        <v>0</v>
      </c>
      <c r="K418" s="6">
        <f t="shared" si="39"/>
        <v>0</v>
      </c>
      <c r="L418" s="6">
        <f t="shared" si="38"/>
        <v>0</v>
      </c>
      <c r="M418" s="6">
        <f t="shared" si="40"/>
        <v>0</v>
      </c>
    </row>
  </sheetData>
  <autoFilter ref="A4:L4" xr:uid="{00000000-0009-0000-0000-000000000000}"/>
  <mergeCells count="2">
    <mergeCell ref="A3:F3"/>
    <mergeCell ref="A2:F2"/>
  </mergeCells>
  <conditionalFormatting sqref="I5:I41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lcf76f155ced4ddcb4097134ff3c332f xmlns="525c6e3c-d2e9-4aaf-b2c8-6be610c2f5fd">
      <Terms xmlns="http://schemas.microsoft.com/office/infopath/2007/PartnerControls"/>
    </lcf76f155ced4ddcb4097134ff3c332f>
    <Notes xmlns="525c6e3c-d2e9-4aaf-b2c8-6be610c2f5f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ells" ma:contentTypeID="0x0101001C8DC63784625146A8C3F77FF199B5060037ABD654E5D16049961EF4672C4405A6" ma:contentTypeVersion="78" ma:contentTypeDescription="Wells content type." ma:contentTypeScope="" ma:versionID="98e414f565003be0f648c410d2ed4805">
  <xsd:schema xmlns:xsd="http://www.w3.org/2001/XMLSchema" xmlns:xs="http://www.w3.org/2001/XMLSchema" xmlns:p="http://schemas.microsoft.com/office/2006/metadata/properties" xmlns:ns1="http://schemas.microsoft.com/sharepoint/v3" xmlns:ns2="3ec20332-472b-4cfd-8ca3-e248b35e6bee" xmlns:ns3="13b91043-23a0-446e-a23a-2664ac019172" xmlns:ns4="20c8b25f-fb11-42f5-ab45-7e1ed04a003d" xmlns:ns5="c4de8975-a9e2-4032-8275-674640ba9e13" targetNamespace="http://schemas.microsoft.com/office/2006/metadata/properties" ma:root="true" ma:fieldsID="12b21ed2f26adaa79e5d55392688f673" ns1:_="" ns2:_="" ns3:_="" ns4:_="" ns5:_="">
    <xsd:import namespace="http://schemas.microsoft.com/sharepoint/v3"/>
    <xsd:import namespace="3ec20332-472b-4cfd-8ca3-e248b35e6bee"/>
    <xsd:import namespace="13b91043-23a0-446e-a23a-2664ac019172"/>
    <xsd:import namespace="20c8b25f-fb11-42f5-ab45-7e1ed04a003d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WellName" minOccurs="0"/>
                <xsd:element ref="ns3:Wells_Product" minOccurs="0"/>
                <xsd:element ref="ns3:CWN" minOccurs="0"/>
                <xsd:element ref="ns4:NewCWN" minOccurs="0"/>
                <xsd:element ref="ns2:WIS2DocLib" minOccurs="0"/>
                <xsd:element ref="ns2:CreatedByOriginal" minOccurs="0"/>
                <xsd:element ref="ns3:WIS_x0020_Document_x0020_Type" minOccurs="0"/>
                <xsd:element ref="ns3:WIS_x0020_Category" minOccurs="0"/>
                <xsd:element ref="ns1:URL" minOccurs="0"/>
                <xsd:element ref="ns2:ModifiedByOriginal" minOccurs="0"/>
                <xsd:element ref="ns3:CWN_x003a_Original_x0020_Permit" minOccurs="0"/>
                <xsd:element ref="ns3:CWN_x003a_Current_x0020_Operator" minOccurs="0"/>
                <xsd:element ref="ns3:CWN_x003a_State" minOccurs="0"/>
                <xsd:element ref="ns3:CWN_x003a_Original_x0020_Operator" minOccurs="0"/>
                <xsd:element ref="ns3:CWN_x003a_Basin" minOccurs="0"/>
                <xsd:element ref="ns3:CWN_x003a_Datum_x0020_Elevation_x0020__x0028_m_x0029_" minOccurs="0"/>
                <xsd:element ref="ns3:CWN_x003a_Drillers_x0020_Total_x0020_Depth_x0020__x0028_m_x0029_" minOccurs="0"/>
                <xsd:element ref="ns3:CWN_x003a_DbMap_x0020_UWI" minOccurs="0"/>
                <xsd:element ref="ns3:CWN_x003a_Surface_x0020_Latitude" minOccurs="0"/>
                <xsd:element ref="ns3:CWN_x003a_Government_x0020_ID" minOccurs="0"/>
                <xsd:element ref="ns3:CWN_x003a_Rig_x0020_Release_x0020_Date" minOccurs="0"/>
                <xsd:element ref="ns3:CWN_x003a_Joint_x0020_Venture_x0020_Name" minOccurs="0"/>
                <xsd:element ref="ns3:CWN_x003a_Country" minOccurs="0"/>
                <xsd:element ref="ns3:CWN_x003a_Geographic_x0020_CRS" minOccurs="0"/>
                <xsd:element ref="ns3:CWN_x003a_Ground_x0020_Elevation_x0020__x0028_m_x0029_" minOccurs="0"/>
                <xsd:element ref="ns3:CWN_x003a_Current_x0020_Permit" minOccurs="0"/>
                <xsd:element ref="ns3:CWN_x003a_Profile_x0020_Type" minOccurs="0"/>
                <xsd:element ref="ns3:CWN_x003a_Max_x0020_True_x0020_Vertical_x0020_Depth_x0020__x0028_m_x0029_" minOccurs="0"/>
                <xsd:element ref="ns3:CWN_x003a_Joint_x0020_Venture_x0020_Code" minOccurs="0"/>
                <xsd:element ref="ns3:CWN_x003a_Environment_x0020_Type" minOccurs="0"/>
                <xsd:element ref="ns3:CWN_x003a_Current_x0020_Status" minOccurs="0"/>
                <xsd:element ref="ns3:CWN_x003a_KB_x002f_RT_x0020_Height_x0020__x0028_m_x0029_" minOccurs="0"/>
                <xsd:element ref="ns3:CWN_x003a_Surface_x0020_Longitude" minOccurs="0"/>
                <xsd:element ref="ns3:CWN_x003a_Well_x0020_Intent" minOccurs="0"/>
                <xsd:element ref="ns3:CWN_x003a_Field" minOccurs="0"/>
                <xsd:element ref="ns3:CWN_x003a_Current_x0020_Class" minOccurs="0"/>
                <xsd:element ref="ns3:CWN_x003a_Elevation_x0020_Reference_x0020_Datum" minOccurs="0"/>
                <xsd:element ref="ns4:TmpFromDocLib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3:SharedWithUsers" minOccurs="0"/>
                <xsd:element ref="ns3:SharedWithDetail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  <xsd:element ref="ns4:test" minOccurs="0"/>
                <xsd:element ref="ns4:CopyNewCWNToCWN" minOccurs="0"/>
                <xsd:element ref="ns4:lcf76f155ced4ddcb4097134ff3c332f" minOccurs="0"/>
                <xsd:element ref="ns5:TaxCatchAll" minOccurs="0"/>
                <xsd:element ref="ns4:MediaServiceObjectDetectorVersions" minOccurs="0"/>
                <xsd:element ref="ns4:MediaServiceSearchProperties" minOccurs="0"/>
                <xsd:element ref="ns4:MediaServiceBillingMetadata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10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c20332-472b-4cfd-8ca3-e248b35e6bee" elementFormDefault="qualified">
    <xsd:import namespace="http://schemas.microsoft.com/office/2006/documentManagement/types"/>
    <xsd:import namespace="http://schemas.microsoft.com/office/infopath/2007/PartnerControls"/>
    <xsd:element name="WellName" ma:index="2" nillable="true" ma:displayName="WellName" ma:indexed="true" ma:internalName="WellName" ma:readOnly="false">
      <xsd:simpleType>
        <xsd:restriction base="dms:Text">
          <xsd:maxLength value="255"/>
        </xsd:restriction>
      </xsd:simpleType>
    </xsd:element>
    <xsd:element name="WIS2DocLib" ma:index="6" nillable="true" ma:displayName="WIS2DocLib" ma:hidden="true" ma:internalName="WIS2DocLib" ma:readOnly="false">
      <xsd:simpleType>
        <xsd:restriction base="dms:Text">
          <xsd:maxLength value="255"/>
        </xsd:restriction>
      </xsd:simpleType>
    </xsd:element>
    <xsd:element name="CreatedByOriginal" ma:index="7" nillable="true" ma:displayName="CreatedByOriginal" ma:description="original user created the document" ma:hidden="true" ma:indexed="true" ma:internalName="CreatedByOriginal" ma:readOnly="false">
      <xsd:simpleType>
        <xsd:restriction base="dms:Text">
          <xsd:maxLength value="255"/>
        </xsd:restriction>
      </xsd:simpleType>
    </xsd:element>
    <xsd:element name="ModifiedByOriginal" ma:index="11" nillable="true" ma:displayName="ModifiedByOriginal" ma:description="Original user who modified the document last" ma:hidden="true" ma:indexed="true" ma:internalName="ModifiedByOriginal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91043-23a0-446e-a23a-2664ac019172" elementFormDefault="qualified">
    <xsd:import namespace="http://schemas.microsoft.com/office/2006/documentManagement/types"/>
    <xsd:import namespace="http://schemas.microsoft.com/office/infopath/2007/PartnerControls"/>
    <xsd:element name="Wells_Product" ma:index="3" nillable="true" ma:displayName="Wells_Product" ma:indexed="true" ma:list="{82b3496c-54e4-4ebb-9374-0620a1fa66b0}" ma:internalName="Wells_Product" ma:readOnly="false" ma:showField="Title" ma:web="13b91043-23a0-446e-a23a-2664ac019172">
      <xsd:simpleType>
        <xsd:restriction base="dms:Lookup"/>
      </xsd:simpleType>
    </xsd:element>
    <xsd:element name="CWN" ma:index="4" nillable="true" ma:displayName="CWN" ma:indexed="true" ma:list="{5fc55f19-4f6a-49e4-935a-5a4f5da0e5df}" ma:internalName="CWN" ma:readOnly="false" ma:showField="Well_x0020_CWN" ma:web="13b91043-23a0-446e-a23a-2664ac019172">
      <xsd:simpleType>
        <xsd:restriction base="dms:Lookup"/>
      </xsd:simpleType>
    </xsd:element>
    <xsd:element name="WIS_x0020_Document_x0020_Type" ma:index="8" nillable="true" ma:displayName="WIS Document Type" ma:hidden="true" ma:indexed="true" ma:internalName="WIS_x0020_Document_x0020_Type" ma:readOnly="false">
      <xsd:simpleType>
        <xsd:restriction base="dms:Text">
          <xsd:maxLength value="255"/>
        </xsd:restriction>
      </xsd:simpleType>
    </xsd:element>
    <xsd:element name="WIS_x0020_Category" ma:index="9" nillable="true" ma:displayName="WIS Category" ma:hidden="true" ma:indexed="true" ma:internalName="WIS_x0020_Category" ma:readOnly="false">
      <xsd:simpleType>
        <xsd:restriction base="dms:Text">
          <xsd:maxLength value="255"/>
        </xsd:restriction>
      </xsd:simpleType>
    </xsd:element>
    <xsd:element name="CWN_x003a_Original_x0020_Permit" ma:index="14" nillable="true" ma:displayName="Original Permit" ma:hidden="true" ma:list="{5fc55f19-4f6a-49e4-935a-5a4f5da0e5df}" ma:internalName="CWN_x003A_Original_x0020_Permit" ma:readOnly="true" ma:showField="Original_x0020_Permit" ma:web="13b91043-23a0-446e-a23a-2664ac019172">
      <xsd:simpleType>
        <xsd:restriction base="dms:Lookup"/>
      </xsd:simpleType>
    </xsd:element>
    <xsd:element name="CWN_x003a_Current_x0020_Operator" ma:index="15" nillable="true" ma:displayName="Current Operator" ma:hidden="true" ma:list="{5fc55f19-4f6a-49e4-935a-5a4f5da0e5df}" ma:internalName="CWN_x003A_Current_x0020_Operator" ma:readOnly="true" ma:showField="Current_x0020_Operator" ma:web="13b91043-23a0-446e-a23a-2664ac019172">
      <xsd:simpleType>
        <xsd:restriction base="dms:Lookup"/>
      </xsd:simpleType>
    </xsd:element>
    <xsd:element name="CWN_x003a_State" ma:index="16" nillable="true" ma:displayName="State" ma:hidden="true" ma:list="{5fc55f19-4f6a-49e4-935a-5a4f5da0e5df}" ma:internalName="CWN_x003A_State" ma:readOnly="true" ma:showField="State" ma:web="13b91043-23a0-446e-a23a-2664ac019172">
      <xsd:simpleType>
        <xsd:restriction base="dms:Lookup"/>
      </xsd:simpleType>
    </xsd:element>
    <xsd:element name="CWN_x003a_Original_x0020_Operator" ma:index="17" nillable="true" ma:displayName="Original Operator" ma:hidden="true" ma:list="{5fc55f19-4f6a-49e4-935a-5a4f5da0e5df}" ma:internalName="CWN_x003A_Original_x0020_Operator" ma:readOnly="true" ma:showField="Original_x0020_Operator" ma:web="13b91043-23a0-446e-a23a-2664ac019172">
      <xsd:simpleType>
        <xsd:restriction base="dms:Lookup"/>
      </xsd:simpleType>
    </xsd:element>
    <xsd:element name="CWN_x003a_Basin" ma:index="18" nillable="true" ma:displayName="Basin" ma:hidden="true" ma:list="{5fc55f19-4f6a-49e4-935a-5a4f5da0e5df}" ma:internalName="CWN_x003A_Basin" ma:readOnly="true" ma:showField="Basin" ma:web="13b91043-23a0-446e-a23a-2664ac019172">
      <xsd:simpleType>
        <xsd:restriction base="dms:Lookup"/>
      </xsd:simpleType>
    </xsd:element>
    <xsd:element name="CWN_x003a_Datum_x0020_Elevation_x0020__x0028_m_x0029_" ma:index="19" nillable="true" ma:displayName="Datum Elevation (m)" ma:hidden="true" ma:list="{5fc55f19-4f6a-49e4-935a-5a4f5da0e5df}" ma:internalName="CWN_x003A_Datum_x0020_Elevation_x0020__x0028_m_x0029_" ma:readOnly="true" ma:showField="Datum_x0020_Elevation_x0020__x00" ma:web="13b91043-23a0-446e-a23a-2664ac019172">
      <xsd:simpleType>
        <xsd:restriction base="dms:Lookup"/>
      </xsd:simpleType>
    </xsd:element>
    <xsd:element name="CWN_x003a_Drillers_x0020_Total_x0020_Depth_x0020__x0028_m_x0029_" ma:index="20" nillable="true" ma:displayName="Drillers Total Depth (m)" ma:hidden="true" ma:list="{5fc55f19-4f6a-49e4-935a-5a4f5da0e5df}" ma:internalName="CWN_x003A_Drillers_x0020_Total_x0020_Depth_x0020__x0028_m_x0029_" ma:readOnly="true" ma:showField="Drillers_x0020_Total_x0020_Depth" ma:web="13b91043-23a0-446e-a23a-2664ac019172">
      <xsd:simpleType>
        <xsd:restriction base="dms:Lookup"/>
      </xsd:simpleType>
    </xsd:element>
    <xsd:element name="CWN_x003a_DbMap_x0020_UWI" ma:index="21" nillable="true" ma:displayName="DbMap UWI" ma:hidden="true" ma:list="{5fc55f19-4f6a-49e4-935a-5a4f5da0e5df}" ma:internalName="CWN_x003A_DbMap_x0020_UWI" ma:readOnly="true" ma:showField="DbMap_x0020_UWI" ma:web="13b91043-23a0-446e-a23a-2664ac019172">
      <xsd:simpleType>
        <xsd:restriction base="dms:Lookup"/>
      </xsd:simpleType>
    </xsd:element>
    <xsd:element name="CWN_x003a_Surface_x0020_Latitude" ma:index="22" nillable="true" ma:displayName="Surface Latitude" ma:hidden="true" ma:list="{5fc55f19-4f6a-49e4-935a-5a4f5da0e5df}" ma:internalName="CWN_x003A_Surface_x0020_Latitude" ma:readOnly="true" ma:showField="Surface_x0020_Latitude" ma:web="13b91043-23a0-446e-a23a-2664ac019172">
      <xsd:simpleType>
        <xsd:restriction base="dms:Lookup"/>
      </xsd:simpleType>
    </xsd:element>
    <xsd:element name="CWN_x003a_Government_x0020_ID" ma:index="23" nillable="true" ma:displayName="Government ID" ma:hidden="true" ma:list="{5fc55f19-4f6a-49e4-935a-5a4f5da0e5df}" ma:internalName="CWN_x003A_Government_x0020_ID" ma:readOnly="true" ma:showField="Government_x0020_ID" ma:web="13b91043-23a0-446e-a23a-2664ac019172">
      <xsd:simpleType>
        <xsd:restriction base="dms:Lookup"/>
      </xsd:simpleType>
    </xsd:element>
    <xsd:element name="CWN_x003a_Rig_x0020_Release_x0020_Date" ma:index="24" nillable="true" ma:displayName="Rig Release Date" ma:hidden="true" ma:list="{5fc55f19-4f6a-49e4-935a-5a4f5da0e5df}" ma:internalName="CWN_x003A_Rig_x0020_Release_x0020_Date" ma:readOnly="true" ma:showField="Rig_x0020_Release_x0020_Date" ma:web="13b91043-23a0-446e-a23a-2664ac019172">
      <xsd:simpleType>
        <xsd:restriction base="dms:Lookup"/>
      </xsd:simpleType>
    </xsd:element>
    <xsd:element name="CWN_x003a_Joint_x0020_Venture_x0020_Name" ma:index="25" nillable="true" ma:displayName="Joint Venture Name" ma:hidden="true" ma:list="{5fc55f19-4f6a-49e4-935a-5a4f5da0e5df}" ma:internalName="CWN_x003A_Joint_x0020_Venture_x0020_Name" ma:readOnly="true" ma:showField="Joint_x0020_Venture_x0020_Name" ma:web="13b91043-23a0-446e-a23a-2664ac019172">
      <xsd:simpleType>
        <xsd:restriction base="dms:Lookup"/>
      </xsd:simpleType>
    </xsd:element>
    <xsd:element name="CWN_x003a_Country" ma:index="26" nillable="true" ma:displayName="Country" ma:hidden="true" ma:list="{5fc55f19-4f6a-49e4-935a-5a4f5da0e5df}" ma:internalName="CWN_x003A_Country" ma:readOnly="true" ma:showField="Country" ma:web="13b91043-23a0-446e-a23a-2664ac019172">
      <xsd:simpleType>
        <xsd:restriction base="dms:Lookup"/>
      </xsd:simpleType>
    </xsd:element>
    <xsd:element name="CWN_x003a_Geographic_x0020_CRS" ma:index="27" nillable="true" ma:displayName="Geographic CRS" ma:hidden="true" ma:list="{5fc55f19-4f6a-49e4-935a-5a4f5da0e5df}" ma:internalName="CWN_x003A_Geographic_x0020_CRS" ma:readOnly="true" ma:showField="Geographic_x0020_CRS" ma:web="13b91043-23a0-446e-a23a-2664ac019172">
      <xsd:simpleType>
        <xsd:restriction base="dms:Lookup"/>
      </xsd:simpleType>
    </xsd:element>
    <xsd:element name="CWN_x003a_Ground_x0020_Elevation_x0020__x0028_m_x0029_" ma:index="28" nillable="true" ma:displayName="Ground Elevation (m)" ma:hidden="true" ma:list="{5fc55f19-4f6a-49e4-935a-5a4f5da0e5df}" ma:internalName="CWN_x003A_Ground_x0020_Elevation_x0020__x0028_m_x0029_" ma:readOnly="true" ma:showField="Ground_x0020_Elevation_x0020__x0" ma:web="13b91043-23a0-446e-a23a-2664ac019172">
      <xsd:simpleType>
        <xsd:restriction base="dms:Lookup"/>
      </xsd:simpleType>
    </xsd:element>
    <xsd:element name="CWN_x003a_Current_x0020_Permit" ma:index="29" nillable="true" ma:displayName="Current Permit" ma:hidden="true" ma:list="{5fc55f19-4f6a-49e4-935a-5a4f5da0e5df}" ma:internalName="CWN_x003A_Current_x0020_Permit" ma:readOnly="true" ma:showField="Current_x0020_Permit" ma:web="13b91043-23a0-446e-a23a-2664ac019172">
      <xsd:simpleType>
        <xsd:restriction base="dms:Lookup"/>
      </xsd:simpleType>
    </xsd:element>
    <xsd:element name="CWN_x003a_Profile_x0020_Type" ma:index="30" nillable="true" ma:displayName="Profile Type" ma:hidden="true" ma:list="{5fc55f19-4f6a-49e4-935a-5a4f5da0e5df}" ma:internalName="CWN_x003A_Profile_x0020_Type" ma:readOnly="true" ma:showField="Profile_x0020_Type" ma:web="13b91043-23a0-446e-a23a-2664ac019172">
      <xsd:simpleType>
        <xsd:restriction base="dms:Lookup"/>
      </xsd:simpleType>
    </xsd:element>
    <xsd:element name="CWN_x003a_Max_x0020_True_x0020_Vertical_x0020_Depth_x0020__x0028_m_x0029_" ma:index="31" nillable="true" ma:displayName="Max True Vertical Depth (m)" ma:hidden="true" ma:list="{5fc55f19-4f6a-49e4-935a-5a4f5da0e5df}" ma:internalName="CWN_x003A_Max_x0020_True_x0020_Vertical_x0020_Depth_x0020__x0028_m_x0029_" ma:readOnly="true" ma:showField="Max_x0020_True_x0020_Vertical_x0" ma:web="13b91043-23a0-446e-a23a-2664ac019172">
      <xsd:simpleType>
        <xsd:restriction base="dms:Lookup"/>
      </xsd:simpleType>
    </xsd:element>
    <xsd:element name="CWN_x003a_Joint_x0020_Venture_x0020_Code" ma:index="32" nillable="true" ma:displayName="Joint Venture Code" ma:hidden="true" ma:list="{5fc55f19-4f6a-49e4-935a-5a4f5da0e5df}" ma:internalName="CWN_x003A_Joint_x0020_Venture_x0020_Code" ma:readOnly="true" ma:showField="Joint_x0020_Venture_x0020_Code" ma:web="13b91043-23a0-446e-a23a-2664ac019172">
      <xsd:simpleType>
        <xsd:restriction base="dms:Lookup"/>
      </xsd:simpleType>
    </xsd:element>
    <xsd:element name="CWN_x003a_Environment_x0020_Type" ma:index="33" nillable="true" ma:displayName="Environment Type" ma:hidden="true" ma:list="{5fc55f19-4f6a-49e4-935a-5a4f5da0e5df}" ma:internalName="CWN_x003A_Environment_x0020_Type" ma:readOnly="true" ma:showField="Environment_x0020_Type" ma:web="13b91043-23a0-446e-a23a-2664ac019172">
      <xsd:simpleType>
        <xsd:restriction base="dms:Lookup"/>
      </xsd:simpleType>
    </xsd:element>
    <xsd:element name="CWN_x003a_Current_x0020_Status" ma:index="34" nillable="true" ma:displayName="Current Status" ma:hidden="true" ma:list="{5fc55f19-4f6a-49e4-935a-5a4f5da0e5df}" ma:internalName="CWN_x003A_Current_x0020_Status" ma:readOnly="true" ma:showField="Current_x0020_Status" ma:web="13b91043-23a0-446e-a23a-2664ac019172">
      <xsd:simpleType>
        <xsd:restriction base="dms:Lookup"/>
      </xsd:simpleType>
    </xsd:element>
    <xsd:element name="CWN_x003a_KB_x002f_RT_x0020_Height_x0020__x0028_m_x0029_" ma:index="35" nillable="true" ma:displayName="KB/RT Height (m)" ma:hidden="true" ma:list="{5fc55f19-4f6a-49e4-935a-5a4f5da0e5df}" ma:internalName="CWN_x003A_KB_x002F_RT_x0020_Height_x0020__x0028_m_x0029_" ma:readOnly="true" ma:showField="KB_x002f_RT_x0020_Height_x0020__" ma:web="13b91043-23a0-446e-a23a-2664ac019172">
      <xsd:simpleType>
        <xsd:restriction base="dms:Lookup"/>
      </xsd:simpleType>
    </xsd:element>
    <xsd:element name="CWN_x003a_Surface_x0020_Longitude" ma:index="36" nillable="true" ma:displayName="Surface Longitude" ma:hidden="true" ma:list="{5fc55f19-4f6a-49e4-935a-5a4f5da0e5df}" ma:internalName="CWN_x003A_Surface_x0020_Longitude" ma:readOnly="true" ma:showField="Surface_x0020_Longitude" ma:web="13b91043-23a0-446e-a23a-2664ac019172">
      <xsd:simpleType>
        <xsd:restriction base="dms:Lookup"/>
      </xsd:simpleType>
    </xsd:element>
    <xsd:element name="CWN_x003a_Well_x0020_Intent" ma:index="37" nillable="true" ma:displayName="Well Intent" ma:hidden="true" ma:list="{5fc55f19-4f6a-49e4-935a-5a4f5da0e5df}" ma:internalName="CWN_x003A_Well_x0020_Intent" ma:readOnly="true" ma:showField="Well_x0020_Intent" ma:web="13b91043-23a0-446e-a23a-2664ac019172">
      <xsd:simpleType>
        <xsd:restriction base="dms:Lookup"/>
      </xsd:simpleType>
    </xsd:element>
    <xsd:element name="CWN_x003a_Field" ma:index="38" nillable="true" ma:displayName="Field" ma:hidden="true" ma:list="{5fc55f19-4f6a-49e4-935a-5a4f5da0e5df}" ma:internalName="CWN_x003A_Field" ma:readOnly="true" ma:showField="Field" ma:web="13b91043-23a0-446e-a23a-2664ac019172">
      <xsd:simpleType>
        <xsd:restriction base="dms:Lookup"/>
      </xsd:simpleType>
    </xsd:element>
    <xsd:element name="CWN_x003a_Current_x0020_Class" ma:index="39" nillable="true" ma:displayName="Current Class" ma:hidden="true" ma:list="{5fc55f19-4f6a-49e4-935a-5a4f5da0e5df}" ma:internalName="CWN_x003A_Current_x0020_Class" ma:readOnly="true" ma:showField="Current_x0020_Class" ma:web="13b91043-23a0-446e-a23a-2664ac019172">
      <xsd:simpleType>
        <xsd:restriction base="dms:Lookup"/>
      </xsd:simpleType>
    </xsd:element>
    <xsd:element name="CWN_x003a_Elevation_x0020_Reference_x0020_Datum" ma:index="40" nillable="true" ma:displayName="Elevation Reference Datum" ma:hidden="true" ma:list="{5fc55f19-4f6a-49e4-935a-5a4f5da0e5df}" ma:internalName="CWN_x003A_Elevation_x0020_Reference_x0020_Datum" ma:readOnly="true" ma:showField="Elevation_x0020_Reference_x0020_" ma:web="13b91043-23a0-446e-a23a-2664ac019172">
      <xsd:simpleType>
        <xsd:restriction base="dms:Lookup"/>
      </xsd:simpleType>
    </xsd:element>
    <xsd:element name="SharedWithUsers" ma:index="5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3" nillable="true" ma:displayName="Shared With Details" ma:description="" ma:hidden="true" ma:internalName="SharedWithDetails" ma:readOnly="true">
      <xsd:simpleType>
        <xsd:restriction base="dms:Note"/>
      </xsd:simpleType>
    </xsd:element>
    <xsd:element name="_dlc_DocId" ma:index="6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6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9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8b25f-fb11-42f5-ab45-7e1ed04a003d" elementFormDefault="qualified">
    <xsd:import namespace="http://schemas.microsoft.com/office/2006/documentManagement/types"/>
    <xsd:import namespace="http://schemas.microsoft.com/office/infopath/2007/PartnerControls"/>
    <xsd:element name="NewCWN" ma:index="5" nillable="true" ma:displayName="Well Name" ma:format="Dropdown" ma:internalName="NewCWN">
      <xsd:simpleType>
        <xsd:restriction base="dms:Text">
          <xsd:maxLength value="255"/>
        </xsd:restriction>
      </xsd:simpleType>
    </xsd:element>
    <xsd:element name="TmpFromDocLib" ma:index="44" nillable="true" ma:displayName="TmpFromDocLib" ma:hidden="true" ma:indexed="true" ma:internalName="TmpFromDocLib" ma:readOnly="false">
      <xsd:simpleType>
        <xsd:restriction base="dms:Text">
          <xsd:maxLength value="255"/>
        </xsd:restriction>
      </xsd:simpleType>
    </xsd:element>
    <xsd:element name="MediaServiceMetadata" ma:index="4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47" nillable="true" ma:displayName="Tags" ma:hidden="true" ma:internalName="MediaServiceAutoTags" ma:readOnly="true">
      <xsd:simpleType>
        <xsd:restriction base="dms:Text"/>
      </xsd:simpleType>
    </xsd:element>
    <xsd:element name="MediaServiceOCR" ma:index="48" nillable="true" ma:displayName="Extracted Text" ma:description="" ma:hidden="true" ma:internalName="MediaServiceOCR" ma:readOnly="true">
      <xsd:simpleType>
        <xsd:restriction base="dms:Note"/>
      </xsd:simpleType>
    </xsd:element>
    <xsd:element name="MediaServiceGenerationTime" ma:index="4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5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5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5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55" nillable="true" ma:displayName="KeyPoints" ma:description="" ma:hidden="true" ma:internalName="MediaServiceKeyPoints" ma:readOnly="true">
      <xsd:simpleType>
        <xsd:restriction base="dms:Note"/>
      </xsd:simpleType>
    </xsd:element>
    <xsd:element name="MediaServiceLocation" ma:index="5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57" nillable="true" ma:displayName="Length (seconds)" ma:hidden="true" ma:internalName="MediaLengthInSeconds" ma:readOnly="true">
      <xsd:simpleType>
        <xsd:restriction base="dms:Unknown"/>
      </xsd:simpleType>
    </xsd:element>
    <xsd:element name="test" ma:index="58" nillable="true" ma:displayName="test" ma:format="Image" ma:hidden="true" ma:internalName="test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pyNewCWNToCWN" ma:index="60" nillable="true" ma:displayName="CopyNewCWNToCWN" ma:hidden="true" ma:internalName="CopyNewCWNToCWN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cf76f155ced4ddcb4097134ff3c332f" ma:index="62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6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6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6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63" nillable="true" ma:displayName="Taxonomy Catch All Column" ma:hidden="true" ma:list="{177101ae-95cb-4f11-b978-247101dfc32a}" ma:internalName="TaxCatchAll" ma:readOnly="false" ma:showField="CatchAllData" ma:web="13b91043-23a0-446e-a23a-2664ac0191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14BE41-3237-4AB7-8AD3-1E6F2ABA78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132D402-4DF6-4DD6-8A35-693B556B39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9F5E2E-F6F1-4AEC-9259-E8706C1C4FE8}"/>
</file>

<file path=customXml/itemProps4.xml><?xml version="1.0" encoding="utf-8"?>
<ds:datastoreItem xmlns:ds="http://schemas.openxmlformats.org/officeDocument/2006/customXml" ds:itemID="{3BF96683-D336-4AD2-86C7-9623250880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Santos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Levesque, Matthew</dc:creator>
  <cp:keywords/>
  <dc:description/>
  <cp:lastModifiedBy>Matthews, Cleve (Cleve)</cp:lastModifiedBy>
  <cp:revision/>
  <dcterms:created xsi:type="dcterms:W3CDTF">2021-08-02T03:57:43Z</dcterms:created>
  <dcterms:modified xsi:type="dcterms:W3CDTF">2022-02-03T04:48:09Z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  <property fmtid="{D5CDD505-2E9C-101B-9397-08002B2CF9AE}" pid="4" name="_dlc_DocIdItemGuid">
    <vt:lpwstr>6b86a29a-3378-49f6-9444-fcff25d1e6c2</vt:lpwstr>
  </property>
</Properties>
</file>